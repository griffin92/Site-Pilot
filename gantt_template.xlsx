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comment4.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anttChart" sheetId="1" state="visible" r:id="rId1"/>
    <sheet xmlns:r="http://schemas.openxmlformats.org/officeDocument/2006/relationships" name="GanttChart-BETA" sheetId="2" state="visible" r:id="rId2"/>
    <sheet xmlns:r="http://schemas.openxmlformats.org/officeDocument/2006/relationships" name="GanttChart_Example" sheetId="3" state="visible" r:id="rId3"/>
    <sheet xmlns:r="http://schemas.openxmlformats.org/officeDocument/2006/relationships" name="Holidays" sheetId="4" state="visible" r:id="rId4"/>
    <sheet xmlns:r="http://schemas.openxmlformats.org/officeDocument/2006/relationships" name="Help" sheetId="5" state="visible" r:id="rId5"/>
    <sheet xmlns:r="http://schemas.openxmlformats.org/officeDocument/2006/relationships" name="TermsOfUse" sheetId="6" state="visible" r:id="rId6"/>
  </sheets>
  <definedNames>
    <definedName name="chart_area">GanttChart_Example!$P$11:$NO$84</definedName>
    <definedName name="display_modes">Help!$C$44:$C$46</definedName>
    <definedName name="holidays">OFFSET(Holidays!$A$10,1,0,MATCH(9.9E+100,Holidays!$A$10:$A$4997)-1,1)</definedName>
    <definedName name="lead">Help!$D$147:$D$158</definedName>
    <definedName name="lead_color">Help!$E$147:$E$158</definedName>
    <definedName name="urgency">Help!$E$161:$E$163</definedName>
    <definedName name="urgency_days">Help!$E$161:$E$163</definedName>
    <definedName name="valuevx">42.314159</definedName>
    <definedName name="chart_area" localSheetId="0">GanttChart!$P$13:$NO$38</definedName>
    <definedName name="_xlnm.Print_Titles" localSheetId="0">'GanttChart'!$9:$11</definedName>
    <definedName name="_xlnm.Print_Area" localSheetId="0">'GanttChart'!$A$3:$NO$63</definedName>
    <definedName name="chart_area" localSheetId="1">'GanttChart-BETA'!$R$12:$NQ$83</definedName>
    <definedName name="_xlnm.Print_Titles" localSheetId="1">'GanttChart-BETA'!$8:$10</definedName>
    <definedName name="_xlnm.Print_Area" localSheetId="1">'GanttChart-BETA'!$A$3:$NQ$62</definedName>
    <definedName name="_xlnm.Print_Area" localSheetId="2">'GanttChart_Example'!$A$3:$NO$63</definedName>
    <definedName name="_xlnm.Print_Area" localSheetId="4">'Help'!$A$1:$C$219</definedName>
  </definedNames>
  <calcPr calcId="191028" fullCalcOnLoad="1"/>
</workbook>
</file>

<file path=xl/styles.xml><?xml version="1.0" encoding="utf-8"?>
<styleSheet xmlns="http://schemas.openxmlformats.org/spreadsheetml/2006/main">
  <numFmts count="5">
    <numFmt numFmtId="164" formatCode="ddd\ m/dd/yy"/>
    <numFmt numFmtId="165" formatCode="m/d/yyyy\ \(dddd\)"/>
    <numFmt numFmtId="166" formatCode="m/dd/yy"/>
    <numFmt numFmtId="167" formatCode="dd\ \-\ mmm\ \-\ yy"/>
    <numFmt numFmtId="168" formatCode="d"/>
  </numFmts>
  <fonts count="54">
    <font>
      <name val="Arial"/>
      <sz val="10"/>
    </font>
    <font>
      <name val="Arial"/>
      <family val="2"/>
      <sz val="10"/>
    </font>
    <font>
      <name val="Arial"/>
      <family val="2"/>
      <color indexed="12"/>
      <sz val="10"/>
      <u val="single"/>
    </font>
    <font>
      <name val="Arial"/>
      <family val="2"/>
      <sz val="8"/>
    </font>
    <font>
      <name val="Trebuchet MS"/>
      <family val="2"/>
      <b val="1"/>
      <color indexed="16"/>
      <sz val="14"/>
    </font>
    <font>
      <name val="Arial"/>
      <family val="2"/>
      <b val="1"/>
      <sz val="12"/>
    </font>
    <font>
      <name val="Arial"/>
      <family val="2"/>
      <sz val="10"/>
    </font>
    <font>
      <name val="Arial"/>
      <family val="2"/>
      <color indexed="9"/>
      <sz val="6"/>
    </font>
    <font>
      <name val="Arial"/>
      <family val="2"/>
      <i val="1"/>
      <sz val="8"/>
    </font>
    <font>
      <name val="Arial"/>
      <family val="2"/>
      <color indexed="9"/>
      <sz val="10"/>
    </font>
    <font>
      <name val="Arial"/>
      <family val="2"/>
      <b val="1"/>
      <sz val="8"/>
    </font>
    <font>
      <name val="Arial"/>
      <family val="2"/>
      <b val="1"/>
      <sz val="10"/>
    </font>
    <font>
      <name val="Arial Narrow"/>
      <family val="2"/>
      <b val="1"/>
      <sz val="8"/>
    </font>
    <font>
      <name val="Arial Narrow"/>
      <family val="2"/>
      <sz val="8"/>
    </font>
    <font>
      <name val="Tahoma"/>
      <family val="2"/>
      <b val="1"/>
      <color indexed="81"/>
      <sz val="8"/>
    </font>
    <font>
      <name val="Tahoma"/>
      <family val="2"/>
      <color indexed="81"/>
      <sz val="8"/>
    </font>
    <font>
      <name val="Tahoma"/>
      <family val="2"/>
      <color indexed="10"/>
      <sz val="8"/>
    </font>
    <font>
      <name val="Trebuchet MS"/>
      <family val="2"/>
      <b val="1"/>
      <sz val="10"/>
    </font>
    <font>
      <name val="Arial Narrow"/>
      <family val="2"/>
      <i val="1"/>
      <sz val="8"/>
    </font>
    <font>
      <name val="Arial"/>
      <family val="2"/>
      <color indexed="56"/>
      <sz val="14"/>
    </font>
    <font>
      <name val="Arial"/>
      <family val="2"/>
      <b val="1"/>
      <sz val="9"/>
    </font>
    <font>
      <name val="Arial"/>
      <family val="2"/>
      <b val="1"/>
      <color indexed="56"/>
      <sz val="14"/>
    </font>
    <font>
      <name val="Arial"/>
      <family val="2"/>
      <color indexed="23"/>
      <sz val="7"/>
    </font>
    <font>
      <name val="Trebuchet MS"/>
      <family val="2"/>
      <b val="1"/>
      <sz val="18"/>
    </font>
    <font>
      <name val="Trebuchet MS"/>
      <family val="2"/>
      <b val="1"/>
      <sz val="12"/>
    </font>
    <font>
      <name val="Trebuchet MS"/>
      <family val="2"/>
      <sz val="8"/>
    </font>
    <font>
      <name val="Trebuchet MS"/>
      <family val="2"/>
      <b val="1"/>
      <color indexed="53"/>
      <sz val="12"/>
    </font>
    <font>
      <name val="Trebuchet MS"/>
      <family val="2"/>
      <i val="1"/>
      <sz val="10"/>
    </font>
    <font>
      <name val="Trebuchet MS"/>
      <family val="2"/>
      <color indexed="10"/>
      <sz val="10"/>
    </font>
    <font>
      <name val="Trebuchet MS"/>
      <family val="2"/>
      <b val="1"/>
      <color indexed="10"/>
      <sz val="10"/>
    </font>
    <font>
      <name val="Trebuchet MS"/>
      <family val="2"/>
      <sz val="10"/>
    </font>
    <font>
      <name val="Trebuchet MS"/>
      <family val="2"/>
      <b val="1"/>
      <i val="1"/>
      <sz val="10"/>
    </font>
    <font>
      <name val="Tahoma"/>
      <family val="2"/>
      <i val="1"/>
      <color indexed="81"/>
      <sz val="8"/>
    </font>
    <font>
      <name val="Tahoma"/>
      <family val="2"/>
      <b val="1"/>
      <i val="1"/>
      <color indexed="81"/>
      <sz val="8"/>
    </font>
    <font>
      <name val="Arial"/>
      <family val="2"/>
      <sz val="24"/>
    </font>
    <font>
      <name val="Arial"/>
      <family val="2"/>
      <sz val="12"/>
    </font>
    <font>
      <name val="Arial"/>
      <family val="2"/>
      <sz val="12"/>
      <u val="single"/>
    </font>
    <font>
      <name val="Arial"/>
      <family val="2"/>
      <sz val="14"/>
    </font>
    <font>
      <name val="Arial"/>
      <family val="2"/>
      <b val="1"/>
      <color indexed="10"/>
      <sz val="12"/>
    </font>
    <font>
      <name val="Arial"/>
      <family val="2"/>
      <color indexed="12"/>
      <sz val="10"/>
      <u val="single"/>
    </font>
    <font>
      <name val="Arial"/>
      <family val="2"/>
      <color indexed="12"/>
      <sz val="12"/>
      <u val="single"/>
    </font>
    <font>
      <name val="Tahoma"/>
      <family val="2"/>
      <b val="1"/>
      <color indexed="81"/>
      <sz val="8"/>
      <u val="single"/>
    </font>
    <font>
      <name val="Arial"/>
      <family val="2"/>
      <sz val="9"/>
    </font>
    <font>
      <name val="Arial"/>
      <family val="2"/>
      <b val="1"/>
      <color indexed="12"/>
      <sz val="12"/>
      <u val="single"/>
    </font>
    <font>
      <name val="Arial"/>
      <family val="2"/>
      <color theme="0" tint="-0.249977111117893"/>
      <sz val="6"/>
    </font>
    <font>
      <name val="Arial"/>
      <family val="2"/>
      <color theme="0" tint="-0.249977111117893"/>
      <sz val="8"/>
    </font>
    <font>
      <name val="Arial"/>
      <family val="2"/>
      <color indexed="9"/>
      <sz val="2"/>
    </font>
    <font>
      <name val="Arial"/>
      <family val="2"/>
      <color theme="1"/>
      <sz val="10"/>
    </font>
    <font>
      <name val="Arial"/>
      <family val="2"/>
      <i val="1"/>
      <sz val="12"/>
    </font>
    <font>
      <name val="Arial"/>
      <family val="2"/>
      <b val="1"/>
      <color theme="0"/>
      <sz val="11"/>
    </font>
    <font>
      <name val="Arial"/>
      <family val="2"/>
      <b val="1"/>
      <color theme="1" tint="0.3499862666707358"/>
      <sz val="9"/>
    </font>
    <font>
      <name val="Arial"/>
      <family val="2"/>
      <b val="1"/>
      <i val="1"/>
      <color theme="1" tint="0.3499862666707358"/>
      <sz val="9"/>
    </font>
    <font>
      <name val="Arial"/>
      <family val="2"/>
      <sz val="11"/>
    </font>
    <font>
      <name val="Arial"/>
      <family val="2"/>
      <sz val="7"/>
    </font>
  </fonts>
  <fills count="15">
    <fill>
      <patternFill/>
    </fill>
    <fill>
      <patternFill patternType="gray125"/>
    </fill>
    <fill>
      <patternFill patternType="solid">
        <fgColor indexed="22"/>
        <bgColor indexed="64"/>
      </patternFill>
    </fill>
    <fill>
      <patternFill patternType="solid">
        <fgColor indexed="42"/>
        <bgColor indexed="64"/>
      </patternFill>
    </fill>
    <fill>
      <patternFill patternType="solid">
        <fgColor indexed="55"/>
        <bgColor indexed="64"/>
      </patternFill>
    </fill>
    <fill>
      <patternFill patternType="solid">
        <fgColor indexed="11"/>
        <bgColor indexed="64"/>
      </patternFill>
    </fill>
    <fill>
      <patternFill patternType="solid">
        <fgColor indexed="47"/>
        <bgColor indexed="64"/>
      </patternFill>
    </fill>
    <fill>
      <patternFill patternType="solid">
        <fgColor indexed="40"/>
        <bgColor indexed="64"/>
      </patternFill>
    </fill>
    <fill>
      <patternFill patternType="solid">
        <fgColor theme="0" tint="-0.1499984740745262"/>
        <bgColor indexed="64"/>
      </patternFill>
    </fill>
    <fill>
      <patternFill patternType="solid">
        <fgColor rgb="FFCCFFCC"/>
        <bgColor indexed="64"/>
      </patternFill>
    </fill>
    <fill>
      <patternFill patternType="solid">
        <fgColor rgb="FF99FF99"/>
        <bgColor indexed="64"/>
      </patternFill>
    </fill>
    <fill>
      <patternFill patternType="solid">
        <fgColor theme="0" tint="-0.0499893185216834"/>
        <bgColor indexed="64"/>
      </patternFill>
    </fill>
    <fill>
      <patternFill patternType="solid">
        <fgColor theme="4"/>
        <bgColor theme="4"/>
      </patternFill>
    </fill>
    <fill>
      <patternFill patternType="solid">
        <fgColor indexed="65"/>
        <bgColor indexed="64"/>
      </patternFill>
    </fill>
    <fill>
      <patternFill patternType="solid">
        <fgColor theme="0"/>
        <bgColor indexed="64"/>
      </patternFill>
    </fill>
  </fills>
  <borders count="17">
    <border>
      <left/>
      <right/>
      <top/>
      <bottom/>
      <diagonal/>
    </border>
    <border>
      <left/>
      <right/>
      <top style="thin">
        <color indexed="22"/>
      </top>
      <bottom style="thin">
        <color indexed="22"/>
      </bottom>
      <diagonal/>
    </border>
    <border>
      <left/>
      <right/>
      <top/>
      <bottom style="thin">
        <color indexed="22"/>
      </bottom>
      <diagonal/>
    </border>
    <border>
      <left/>
      <right/>
      <top style="thin">
        <color indexed="64"/>
      </top>
      <bottom style="thin">
        <color indexed="64"/>
      </bottom>
      <diagonal/>
    </border>
    <border>
      <left/>
      <right/>
      <top/>
      <bottom style="dashed">
        <color indexed="64"/>
      </bottom>
      <diagonal/>
    </border>
    <border>
      <left/>
      <right/>
      <top style="thin">
        <color indexed="64"/>
      </top>
      <bottom style="dashed">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style="thin">
        <color theme="4"/>
      </right>
      <top style="thin">
        <color theme="4"/>
      </top>
      <bottom style="thin">
        <color theme="4"/>
      </bottom>
      <diagonal/>
    </border>
    <border>
      <left/>
      <right/>
      <top style="thin">
        <color theme="0" tint="-0.249946592608417"/>
      </top>
      <bottom style="thin">
        <color theme="0" tint="-0.249946592608417"/>
      </bottom>
      <diagonal/>
    </border>
    <border>
      <left/>
      <right/>
      <top/>
      <bottom style="thin">
        <color theme="0" tint="-0.249946592608417"/>
      </bottom>
      <diagonal/>
    </border>
    <border>
      <left style="thin">
        <color theme="4"/>
      </left>
      <right/>
      <top style="thin">
        <color theme="4"/>
      </top>
      <bottom style="thin">
        <color theme="4"/>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top style="thin">
        <color theme="0" tint="-0.249946592608417"/>
      </top>
      <bottom/>
      <diagonal/>
    </border>
    <border>
      <left/>
      <right/>
      <top/>
      <bottom style="thin">
        <color auto="1"/>
      </bottom>
      <diagonal/>
    </border>
    <border>
      <left/>
      <right/>
      <top style="thin">
        <color indexed="64"/>
      </top>
      <bottom/>
      <diagonal/>
    </border>
  </borders>
  <cellStyleXfs count="6">
    <xf numFmtId="0" fontId="0" fillId="0" borderId="0"/>
    <xf numFmtId="0" fontId="39" fillId="0" borderId="0" applyAlignment="1" applyProtection="1">
      <alignment vertical="top"/>
      <protection locked="0" hidden="0"/>
    </xf>
    <xf numFmtId="9" fontId="6" fillId="0" borderId="0"/>
    <xf numFmtId="0" fontId="6" fillId="0" borderId="0"/>
    <xf numFmtId="0" fontId="39" fillId="0" borderId="0" applyAlignment="1" applyProtection="1">
      <alignment vertical="top"/>
      <protection locked="0" hidden="0"/>
    </xf>
    <xf numFmtId="0" fontId="6" fillId="0" borderId="0"/>
  </cellStyleXfs>
  <cellXfs count="281">
    <xf numFmtId="0" fontId="0" fillId="0" borderId="0" pivotButton="0" quotePrefix="0" xfId="0"/>
    <xf numFmtId="0" fontId="4" fillId="2"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0" fontId="3" fillId="0" borderId="0" pivotButton="0" quotePrefix="0" xfId="0"/>
    <xf numFmtId="14" fontId="9" fillId="0" borderId="0" pivotButton="0" quotePrefix="0" xfId="0"/>
    <xf numFmtId="0" fontId="0" fillId="2" borderId="0" pivotButton="0" quotePrefix="0" xfId="0"/>
    <xf numFmtId="0" fontId="0" fillId="0" borderId="0" pivotButton="0" quotePrefix="0" xfId="0"/>
    <xf numFmtId="0" fontId="3" fillId="0" borderId="0" pivotButton="0" quotePrefix="0" xfId="0"/>
    <xf numFmtId="0" fontId="13" fillId="0" borderId="1" applyAlignment="1" applyProtection="1" pivotButton="0" quotePrefix="0" xfId="0">
      <alignment wrapText="1"/>
      <protection locked="0" hidden="0"/>
    </xf>
    <xf numFmtId="0" fontId="13" fillId="0" borderId="1" applyProtection="1" pivotButton="0" quotePrefix="0" xfId="0">
      <protection locked="0" hidden="0"/>
    </xf>
    <xf numFmtId="164" fontId="3" fillId="0" borderId="1" applyAlignment="1" pivotButton="0" quotePrefix="0" xfId="0">
      <alignment horizontal="right"/>
    </xf>
    <xf numFmtId="9" fontId="3" fillId="3" borderId="1" applyAlignment="1" applyProtection="1" pivotButton="0" quotePrefix="0" xfId="2">
      <alignment horizontal="center"/>
      <protection locked="0" hidden="0"/>
    </xf>
    <xf numFmtId="1" fontId="3" fillId="0" borderId="1" applyAlignment="1" pivotButton="0" quotePrefix="0" xfId="0">
      <alignment horizontal="center"/>
    </xf>
    <xf numFmtId="1" fontId="3" fillId="0" borderId="1" applyAlignment="1" pivotButton="0" quotePrefix="0" xfId="2">
      <alignment horizontal="center"/>
    </xf>
    <xf numFmtId="0" fontId="3" fillId="0" borderId="1" pivotButton="0" quotePrefix="0" xfId="0"/>
    <xf numFmtId="0" fontId="3" fillId="0" borderId="1" pivotButton="0" quotePrefix="0" xfId="0"/>
    <xf numFmtId="0" fontId="13" fillId="0" borderId="1" applyAlignment="1" applyProtection="1" pivotButton="0" quotePrefix="0" xfId="0">
      <alignment horizontal="left" wrapText="1" indent="1"/>
      <protection locked="0" hidden="0"/>
    </xf>
    <xf numFmtId="0" fontId="13" fillId="0" borderId="1" applyAlignment="1" applyProtection="1" pivotButton="0" quotePrefix="0" xfId="0">
      <alignment horizontal="left" wrapText="1" indent="2"/>
      <protection locked="0" hidden="0"/>
    </xf>
    <xf numFmtId="0" fontId="5" fillId="0" borderId="0" pivotButton="0" quotePrefix="0" xfId="0"/>
    <xf numFmtId="1" fontId="3" fillId="0" borderId="1" applyAlignment="1" applyProtection="1" pivotButton="0" quotePrefix="0" xfId="0">
      <alignment horizontal="center"/>
      <protection locked="0" hidden="0"/>
    </xf>
    <xf numFmtId="9" fontId="3" fillId="0" borderId="1" applyAlignment="1" applyProtection="1" pivotButton="0" quotePrefix="0" xfId="2">
      <alignment horizontal="center"/>
      <protection locked="0" hidden="0"/>
    </xf>
    <xf numFmtId="0" fontId="19" fillId="0" borderId="0" applyAlignment="1" pivotButton="0" quotePrefix="0" xfId="0">
      <alignment vertical="center"/>
    </xf>
    <xf numFmtId="0" fontId="0" fillId="0" borderId="0" pivotButton="0" quotePrefix="0" xfId="0"/>
    <xf numFmtId="0" fontId="8" fillId="0" borderId="0" applyAlignment="1" pivotButton="0" quotePrefix="0" xfId="0">
      <alignment horizontal="right"/>
    </xf>
    <xf numFmtId="14" fontId="1" fillId="0" borderId="0" applyAlignment="1" pivotButton="0" quotePrefix="0" xfId="0">
      <alignment horizontal="left"/>
    </xf>
    <xf numFmtId="0" fontId="0" fillId="0" borderId="0" pivotButton="0" quotePrefix="0" xfId="0"/>
    <xf numFmtId="0" fontId="3" fillId="0" borderId="0" pivotButton="0" quotePrefix="0" xfId="0"/>
    <xf numFmtId="0" fontId="3" fillId="2" borderId="0" pivotButton="0" quotePrefix="0" xfId="0"/>
    <xf numFmtId="0" fontId="3" fillId="2" borderId="0" pivotButton="0" quotePrefix="0" xfId="0"/>
    <xf numFmtId="0" fontId="22" fillId="2" borderId="0" applyAlignment="1" pivotButton="0" quotePrefix="0" xfId="0">
      <alignment horizontal="right" vertical="center"/>
    </xf>
    <xf numFmtId="0" fontId="18" fillId="0" borderId="1" applyProtection="1" pivotButton="0" quotePrefix="0" xfId="0">
      <protection locked="0" hidden="0"/>
    </xf>
    <xf numFmtId="0" fontId="3" fillId="0" borderId="1" applyAlignment="1" pivotButton="0" quotePrefix="0" xfId="0">
      <alignment horizontal="left"/>
    </xf>
    <xf numFmtId="0" fontId="3" fillId="0" borderId="0" pivotButton="0" quotePrefix="0" xfId="0"/>
    <xf numFmtId="0" fontId="10" fillId="2" borderId="0" pivotButton="0" quotePrefix="0" xfId="0"/>
    <xf numFmtId="0" fontId="7" fillId="0" borderId="0" pivotButton="0" quotePrefix="0" xfId="0"/>
    <xf numFmtId="0" fontId="3" fillId="0" borderId="1" applyAlignment="1" pivotButton="0" quotePrefix="0" xfId="0">
      <alignment horizontal="center"/>
    </xf>
    <xf numFmtId="0" fontId="3" fillId="0" borderId="0" pivotButton="0" quotePrefix="0" xfId="0"/>
    <xf numFmtId="0" fontId="3" fillId="2" borderId="0" pivotButton="0" quotePrefix="0" xfId="0"/>
    <xf numFmtId="0" fontId="21" fillId="2" borderId="0" applyAlignment="1" pivotButton="0" quotePrefix="0" xfId="0">
      <alignment vertical="center"/>
    </xf>
    <xf numFmtId="0" fontId="24" fillId="2" borderId="0" pivotButton="0" quotePrefix="0" xfId="0"/>
    <xf numFmtId="0" fontId="0" fillId="2" borderId="0" applyAlignment="1" pivotButton="0" quotePrefix="0" xfId="0">
      <alignment wrapText="1"/>
    </xf>
    <xf numFmtId="0" fontId="25" fillId="2" borderId="0" applyAlignment="1" pivotButton="0" quotePrefix="0" xfId="0">
      <alignment horizontal="right"/>
    </xf>
    <xf numFmtId="0" fontId="0" fillId="0" borderId="0" pivotButton="0" quotePrefix="0" xfId="0"/>
    <xf numFmtId="0" fontId="24" fillId="0" borderId="0" pivotButton="0" quotePrefix="0" xfId="0"/>
    <xf numFmtId="0" fontId="0" fillId="0" borderId="0" applyAlignment="1" pivotButton="0" quotePrefix="0" xfId="0">
      <alignment horizontal="left" indent="1"/>
    </xf>
    <xf numFmtId="0" fontId="2" fillId="0" borderId="0" applyAlignment="1" pivotButton="0" quotePrefix="0" xfId="1">
      <alignment horizontal="center"/>
    </xf>
    <xf numFmtId="0" fontId="0" fillId="2" borderId="0" applyAlignment="1" pivotButton="0" quotePrefix="0" xfId="0">
      <alignment horizontal="center"/>
    </xf>
    <xf numFmtId="0" fontId="28" fillId="0" borderId="0" applyAlignment="1" pivotButton="0" quotePrefix="0" xfId="0">
      <alignment horizontal="left"/>
    </xf>
    <xf numFmtId="0" fontId="30" fillId="0" borderId="0" applyAlignment="1" pivotButton="0" quotePrefix="0" xfId="0">
      <alignment horizontal="left" indent="1"/>
    </xf>
    <xf numFmtId="0" fontId="3" fillId="5" borderId="0" pivotButton="0" quotePrefix="0" xfId="0"/>
    <xf numFmtId="0" fontId="26" fillId="0" borderId="0" applyAlignment="1" pivotButton="0" quotePrefix="0" xfId="0">
      <alignment horizontal="left"/>
    </xf>
    <xf numFmtId="0" fontId="1" fillId="3" borderId="0" pivotButton="0" quotePrefix="0" xfId="0"/>
    <xf numFmtId="0" fontId="1" fillId="3" borderId="0" applyAlignment="1" pivotButton="0" quotePrefix="0" xfId="0">
      <alignment horizontal="center"/>
    </xf>
    <xf numFmtId="0" fontId="1" fillId="5" borderId="0" applyAlignment="1" pivotButton="0" quotePrefix="0" xfId="0">
      <alignment horizontal="center"/>
    </xf>
    <xf numFmtId="0" fontId="11" fillId="0" borderId="0" applyAlignment="1" pivotButton="0" quotePrefix="0" xfId="0">
      <alignment horizontal="right"/>
    </xf>
    <xf numFmtId="0" fontId="30" fillId="0" borderId="0" pivotButton="0" quotePrefix="0" xfId="0"/>
    <xf numFmtId="0" fontId="30" fillId="0" borderId="0" pivotButton="0" quotePrefix="0" xfId="0"/>
    <xf numFmtId="0" fontId="30" fillId="0" borderId="0" applyAlignment="1" pivotButton="0" quotePrefix="0" xfId="0">
      <alignment horizontal="left" wrapText="1" indent="1"/>
    </xf>
    <xf numFmtId="0" fontId="30" fillId="0" borderId="0" applyAlignment="1" pivotButton="0" quotePrefix="0" xfId="0">
      <alignment horizontal="left"/>
    </xf>
    <xf numFmtId="0" fontId="30" fillId="0" borderId="0" pivotButton="0" quotePrefix="0" xfId="0"/>
    <xf numFmtId="0" fontId="27" fillId="0" borderId="0" pivotButton="0" quotePrefix="0" xfId="0"/>
    <xf numFmtId="0" fontId="17" fillId="0" borderId="0" pivotButton="0" quotePrefix="0" xfId="0"/>
    <xf numFmtId="0" fontId="17" fillId="0" borderId="0" applyAlignment="1" pivotButton="0" quotePrefix="0" xfId="0">
      <alignment horizontal="left" wrapText="1" indent="1"/>
    </xf>
    <xf numFmtId="0" fontId="17" fillId="2" borderId="0" applyAlignment="1" pivotButton="0" quotePrefix="0" xfId="0">
      <alignment wrapText="1"/>
    </xf>
    <xf numFmtId="0" fontId="30" fillId="0" borderId="0" applyAlignment="1" pivotButton="0" quotePrefix="1" xfId="0">
      <alignment horizontal="left" wrapText="1" indent="1"/>
    </xf>
    <xf numFmtId="0" fontId="17" fillId="0" borderId="0" applyAlignment="1" pivotButton="0" quotePrefix="1" xfId="0">
      <alignment horizontal="left" indent="1"/>
    </xf>
    <xf numFmtId="0" fontId="2" fillId="0" borderId="0" applyAlignment="1" pivotButton="0" quotePrefix="0" xfId="1">
      <alignment horizontal="left" indent="1"/>
    </xf>
    <xf numFmtId="0" fontId="3" fillId="0" borderId="0" pivotButton="0" quotePrefix="0" xfId="0"/>
    <xf numFmtId="0" fontId="10" fillId="8" borderId="1" applyAlignment="1" pivotButton="0" quotePrefix="0" xfId="0">
      <alignment horizontal="left"/>
    </xf>
    <xf numFmtId="0" fontId="12" fillId="8" borderId="1" applyAlignment="1" applyProtection="1" pivotButton="0" quotePrefix="0" xfId="0">
      <alignment wrapText="1"/>
      <protection locked="0" hidden="0"/>
    </xf>
    <xf numFmtId="0" fontId="13" fillId="8" borderId="1" applyProtection="1" pivotButton="0" quotePrefix="0" xfId="0">
      <protection locked="0" hidden="0"/>
    </xf>
    <xf numFmtId="0" fontId="3" fillId="8" borderId="1" applyAlignment="1" pivotButton="0" quotePrefix="0" xfId="0">
      <alignment horizontal="center"/>
    </xf>
    <xf numFmtId="1" fontId="3" fillId="8" borderId="1" applyAlignment="1" pivotButton="0" quotePrefix="0" xfId="0">
      <alignment horizontal="center"/>
    </xf>
    <xf numFmtId="1" fontId="3" fillId="8" borderId="1" applyAlignment="1" pivotButton="0" quotePrefix="0" xfId="2">
      <alignment horizontal="center"/>
    </xf>
    <xf numFmtId="0" fontId="3" fillId="8" borderId="1" pivotButton="0" quotePrefix="0" xfId="0"/>
    <xf numFmtId="0" fontId="10" fillId="0" borderId="1" applyAlignment="1" pivotButton="0" quotePrefix="0" xfId="0">
      <alignment horizontal="left"/>
    </xf>
    <xf numFmtId="164" fontId="3" fillId="9" borderId="1" applyAlignment="1" pivotButton="0" quotePrefix="0" xfId="0">
      <alignment horizontal="right"/>
    </xf>
    <xf numFmtId="1" fontId="3" fillId="9" borderId="1" applyAlignment="1" applyProtection="1" pivotButton="0" quotePrefix="0" xfId="0">
      <alignment horizontal="center"/>
      <protection locked="0" hidden="0"/>
    </xf>
    <xf numFmtId="9" fontId="3" fillId="9" borderId="1" applyAlignment="1" applyProtection="1" pivotButton="0" quotePrefix="0" xfId="2">
      <alignment horizontal="center"/>
      <protection locked="0" hidden="0"/>
    </xf>
    <xf numFmtId="0" fontId="3" fillId="9" borderId="1" applyAlignment="1" pivotButton="0" quotePrefix="0" xfId="0">
      <alignment horizontal="center"/>
    </xf>
    <xf numFmtId="164" fontId="3" fillId="10" borderId="1" applyAlignment="1" pivotButton="0" quotePrefix="0" xfId="0">
      <alignment horizontal="right"/>
    </xf>
    <xf numFmtId="9" fontId="3" fillId="10" borderId="1" applyAlignment="1" pivotButton="0" quotePrefix="0" xfId="2">
      <alignment horizontal="center"/>
    </xf>
    <xf numFmtId="164" fontId="3" fillId="10" borderId="2" applyAlignment="1" pivotButton="0" quotePrefix="0" xfId="0">
      <alignment horizontal="right"/>
    </xf>
    <xf numFmtId="0" fontId="10" fillId="0" borderId="1" applyAlignment="1" applyProtection="1" pivotButton="0" quotePrefix="0" xfId="0">
      <alignment wrapText="1"/>
      <protection locked="0" hidden="0"/>
    </xf>
    <xf numFmtId="0" fontId="10" fillId="8" borderId="0" pivotButton="0" quotePrefix="0" xfId="0"/>
    <xf numFmtId="0" fontId="3" fillId="8" borderId="0" pivotButton="0" quotePrefix="0" xfId="0"/>
    <xf numFmtId="0" fontId="3" fillId="8" borderId="0" pivotButton="0" quotePrefix="0" xfId="0"/>
    <xf numFmtId="0" fontId="34" fillId="0" borderId="4" applyAlignment="1" pivotButton="0" quotePrefix="0" xfId="0">
      <alignment vertical="top"/>
    </xf>
    <xf numFmtId="0" fontId="34" fillId="0" borderId="0" pivotButton="0" quotePrefix="0" xfId="0"/>
    <xf numFmtId="0" fontId="35" fillId="0" borderId="0" applyAlignment="1" pivotButton="0" quotePrefix="0" xfId="0">
      <alignment vertical="top"/>
    </xf>
    <xf numFmtId="0" fontId="35" fillId="0" borderId="0" pivotButton="0" quotePrefix="0" xfId="0"/>
    <xf numFmtId="0" fontId="35" fillId="0" borderId="0" pivotButton="0" quotePrefix="0" xfId="3"/>
    <xf numFmtId="0" fontId="35" fillId="0" borderId="0" applyAlignment="1" pivotButton="0" quotePrefix="0" xfId="0">
      <alignment vertical="top" wrapText="1"/>
    </xf>
    <xf numFmtId="0" fontId="36" fillId="0" borderId="0" applyAlignment="1" pivotButton="0" quotePrefix="0" xfId="0">
      <alignment vertical="top"/>
    </xf>
    <xf numFmtId="0" fontId="37" fillId="2" borderId="5"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wrapText="1"/>
    </xf>
    <xf numFmtId="0" fontId="0" fillId="0" borderId="0" pivotButton="0" quotePrefix="0" xfId="0"/>
    <xf numFmtId="0" fontId="40" fillId="0" borderId="0" applyAlignment="1" pivotButton="0" quotePrefix="0" xfId="4">
      <alignment vertical="top" wrapText="1"/>
    </xf>
    <xf numFmtId="0" fontId="27" fillId="0" borderId="0" applyAlignment="1" pivotButton="0" quotePrefix="0" xfId="0">
      <alignment horizontal="left" indent="1"/>
    </xf>
    <xf numFmtId="0" fontId="11" fillId="0" borderId="0" applyAlignment="1" pivotButton="0" quotePrefix="0" xfId="0">
      <alignment horizontal="center"/>
    </xf>
    <xf numFmtId="0" fontId="0" fillId="0" borderId="6" pivotButton="0" quotePrefix="0" xfId="0"/>
    <xf numFmtId="0" fontId="0" fillId="0" borderId="6" applyAlignment="1" pivotButton="0" quotePrefix="0" xfId="0">
      <alignment horizontal="center"/>
    </xf>
    <xf numFmtId="1" fontId="3" fillId="11" borderId="1" applyAlignment="1" pivotButton="0" quotePrefix="0" xfId="0">
      <alignment horizontal="center"/>
    </xf>
    <xf numFmtId="0" fontId="17" fillId="0" borderId="0" pivotButton="0" quotePrefix="0" xfId="0"/>
    <xf numFmtId="0" fontId="2" fillId="0" borderId="0" applyAlignment="1" pivotButton="0" quotePrefix="0" xfId="1">
      <alignment horizontal="left" indent="1"/>
    </xf>
    <xf numFmtId="0" fontId="42" fillId="0" borderId="0" applyAlignment="1" pivotButton="0" quotePrefix="0" xfId="0">
      <alignment horizontal="right"/>
    </xf>
    <xf numFmtId="0" fontId="43" fillId="0" borderId="0" pivotButton="0" quotePrefix="0" xfId="1"/>
    <xf numFmtId="0" fontId="17" fillId="0" borderId="0" applyAlignment="1" pivotButton="0" quotePrefix="0" xfId="0">
      <alignment horizontal="left" indent="1"/>
    </xf>
    <xf numFmtId="0" fontId="3" fillId="0" borderId="1" applyAlignment="1" pivotButton="0" quotePrefix="0" xfId="0">
      <alignment horizontal="center" vertical="center"/>
    </xf>
    <xf numFmtId="0" fontId="0" fillId="2" borderId="0" pivotButton="0" quotePrefix="0" xfId="0"/>
    <xf numFmtId="1" fontId="3" fillId="9" borderId="1" applyAlignment="1" pivotButton="0" quotePrefix="0" xfId="0">
      <alignment horizontal="center"/>
    </xf>
    <xf numFmtId="0" fontId="44" fillId="2" borderId="0" applyAlignment="1" pivotButton="0" quotePrefix="0" xfId="0">
      <alignment horizontal="center" vertical="center"/>
    </xf>
    <xf numFmtId="0" fontId="45" fillId="2" borderId="0" applyAlignment="1" pivotButton="0" quotePrefix="0" xfId="0">
      <alignment horizontal="center" vertical="center"/>
    </xf>
    <xf numFmtId="0" fontId="30" fillId="0" borderId="0" pivotButton="0" quotePrefix="0" xfId="5"/>
    <xf numFmtId="0" fontId="17" fillId="0" borderId="0" pivotButton="0" quotePrefix="0" xfId="5"/>
    <xf numFmtId="0" fontId="46" fillId="0" borderId="0" applyAlignment="1" pivotButton="0" quotePrefix="0" xfId="0">
      <alignment horizontal="right"/>
    </xf>
    <xf numFmtId="0" fontId="3" fillId="2" borderId="0" pivotButton="0" quotePrefix="0" xfId="0"/>
    <xf numFmtId="0" fontId="3" fillId="0" borderId="0" applyAlignment="1" pivotButton="0" quotePrefix="0" xfId="0">
      <alignment vertical="center"/>
    </xf>
    <xf numFmtId="0" fontId="1" fillId="0" borderId="0" applyProtection="1" pivotButton="0" quotePrefix="0" xfId="0">
      <protection locked="0" hidden="0"/>
    </xf>
    <xf numFmtId="165" fontId="1" fillId="0" borderId="0" applyAlignment="1" applyProtection="1" pivotButton="0" quotePrefix="0" xfId="0">
      <alignment horizontal="left"/>
      <protection locked="0" hidden="0"/>
    </xf>
    <xf numFmtId="165" fontId="1" fillId="0" borderId="0" applyAlignment="1" pivotButton="0" quotePrefix="0" xfId="0">
      <alignment horizontal="left"/>
    </xf>
    <xf numFmtId="166" fontId="3" fillId="11" borderId="1" applyAlignment="1" pivotButton="0" quotePrefix="0" xfId="0">
      <alignment horizontal="center"/>
    </xf>
    <xf numFmtId="0" fontId="10" fillId="11" borderId="1" applyAlignment="1" pivotButton="0" quotePrefix="0" xfId="0">
      <alignment horizontal="left"/>
    </xf>
    <xf numFmtId="0" fontId="12" fillId="11" borderId="1" applyAlignment="1" applyProtection="1" pivotButton="0" quotePrefix="0" xfId="0">
      <alignment wrapText="1"/>
      <protection locked="0" hidden="0"/>
    </xf>
    <xf numFmtId="0" fontId="13" fillId="11" borderId="1" applyProtection="1" pivotButton="0" quotePrefix="0" xfId="0">
      <protection locked="0" hidden="0"/>
    </xf>
    <xf numFmtId="0" fontId="3" fillId="11" borderId="1" applyAlignment="1" pivotButton="0" quotePrefix="0" xfId="0">
      <alignment horizontal="center"/>
    </xf>
    <xf numFmtId="164" fontId="3" fillId="11" borderId="1" applyAlignment="1" pivotButton="0" quotePrefix="0" xfId="0">
      <alignment horizontal="right"/>
    </xf>
    <xf numFmtId="9" fontId="3" fillId="11" borderId="1" applyAlignment="1" pivotButton="0" quotePrefix="0" xfId="2">
      <alignment horizontal="center"/>
    </xf>
    <xf numFmtId="1" fontId="3" fillId="11" borderId="1" applyAlignment="1" pivotButton="0" quotePrefix="0" xfId="2">
      <alignment horizontal="center"/>
    </xf>
    <xf numFmtId="0" fontId="3" fillId="11" borderId="1" pivotButton="0" quotePrefix="0" xfId="0"/>
    <xf numFmtId="0" fontId="3" fillId="11" borderId="1" applyAlignment="1" pivotButton="0" quotePrefix="0" xfId="0">
      <alignment horizontal="center" vertical="center"/>
    </xf>
    <xf numFmtId="0" fontId="1" fillId="0" borderId="0" pivotButton="0" quotePrefix="0" xfId="0"/>
    <xf numFmtId="0" fontId="3" fillId="0" borderId="1" applyProtection="1" pivotButton="0" quotePrefix="0" xfId="0">
      <protection locked="0" hidden="0"/>
    </xf>
    <xf numFmtId="0" fontId="0" fillId="0" borderId="0" applyAlignment="1" pivotButton="0" quotePrefix="0" xfId="0">
      <alignment vertical="center"/>
    </xf>
    <xf numFmtId="0" fontId="3" fillId="0" borderId="1" applyAlignment="1" pivotButton="0" quotePrefix="0" xfId="0">
      <alignment vertical="center"/>
    </xf>
    <xf numFmtId="0" fontId="49" fillId="12" borderId="10" applyAlignment="1" pivotButton="0" quotePrefix="0" xfId="0">
      <alignment horizontal="center" vertical="center"/>
    </xf>
    <xf numFmtId="0" fontId="49" fillId="12" borderId="7" applyAlignment="1" pivotButton="0" quotePrefix="0" xfId="0">
      <alignment horizontal="left" vertical="center" indent="1"/>
    </xf>
    <xf numFmtId="14" fontId="47" fillId="0" borderId="6" pivotButton="0" quotePrefix="0" xfId="0"/>
    <xf numFmtId="0" fontId="47" fillId="0" borderId="6" applyAlignment="1" pivotButton="0" quotePrefix="0" xfId="0">
      <alignment horizontal="left" indent="1"/>
    </xf>
    <xf numFmtId="0" fontId="3" fillId="0" borderId="11" applyAlignment="1" pivotButton="0" quotePrefix="0" xfId="0">
      <alignment horizontal="center" vertical="center"/>
    </xf>
    <xf numFmtId="0" fontId="13" fillId="0" borderId="11" applyAlignment="1" applyProtection="1" pivotButton="0" quotePrefix="0" xfId="0">
      <alignment vertical="center" wrapText="1"/>
      <protection locked="0" hidden="0"/>
    </xf>
    <xf numFmtId="0" fontId="13" fillId="0" borderId="11" applyAlignment="1" applyProtection="1" pivotButton="0" quotePrefix="0" xfId="0">
      <alignment vertical="center"/>
      <protection locked="0" hidden="0"/>
    </xf>
    <xf numFmtId="1" fontId="3" fillId="9" borderId="11" applyAlignment="1" pivotButton="0" quotePrefix="0" xfId="0">
      <alignment horizontal="center" vertical="center"/>
    </xf>
    <xf numFmtId="0" fontId="0" fillId="13" borderId="13" applyAlignment="1" pivotButton="0" quotePrefix="0" xfId="0">
      <alignment vertical="center"/>
    </xf>
    <xf numFmtId="9" fontId="0" fillId="0" borderId="0" applyAlignment="1" pivotButton="0" quotePrefix="0" xfId="0">
      <alignment horizontal="center"/>
    </xf>
    <xf numFmtId="164" fontId="3" fillId="0" borderId="11" applyAlignment="1" pivotButton="0" quotePrefix="0" xfId="0">
      <alignment horizontal="center"/>
    </xf>
    <xf numFmtId="1" fontId="3" fillId="9" borderId="11" applyAlignment="1" applyProtection="1" pivotButton="0" quotePrefix="0" xfId="0">
      <alignment horizontal="center"/>
      <protection locked="0" hidden="0"/>
    </xf>
    <xf numFmtId="9" fontId="3" fillId="9" borderId="11" applyAlignment="1" applyProtection="1" pivotButton="0" quotePrefix="0" xfId="2">
      <alignment horizontal="center"/>
      <protection locked="0" hidden="0"/>
    </xf>
    <xf numFmtId="1" fontId="3" fillId="0" borderId="11" applyAlignment="1" pivotButton="0" quotePrefix="0" xfId="0">
      <alignment horizontal="center"/>
    </xf>
    <xf numFmtId="1" fontId="3" fillId="0" borderId="11" applyAlignment="1" pivotButton="0" quotePrefix="0" xfId="2">
      <alignment horizontal="center"/>
    </xf>
    <xf numFmtId="0" fontId="53" fillId="0" borderId="0" pivotButton="0" quotePrefix="0" xfId="0"/>
    <xf numFmtId="0" fontId="13" fillId="0" borderId="11" applyAlignment="1" applyProtection="1" pivotButton="0" quotePrefix="0" xfId="0">
      <alignment vertical="center" wrapText="1"/>
      <protection locked="0" hidden="0"/>
    </xf>
    <xf numFmtId="0" fontId="50" fillId="0" borderId="0" applyAlignment="1" pivotButton="0" quotePrefix="0" xfId="0">
      <alignment horizontal="left" vertical="top" wrapText="1"/>
    </xf>
    <xf numFmtId="0" fontId="19" fillId="14"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52" fillId="0" borderId="0" applyProtection="1" pivotButton="0" quotePrefix="0" xfId="0">
      <protection locked="0" hidden="0"/>
    </xf>
    <xf numFmtId="0" fontId="0" fillId="0" borderId="0" applyProtection="1" pivotButton="0" quotePrefix="0" xfId="0">
      <protection locked="0" hidden="0"/>
    </xf>
    <xf numFmtId="0" fontId="0" fillId="0" borderId="0" applyProtection="1" pivotButton="0" quotePrefix="0" xfId="0">
      <protection locked="0" hidden="0"/>
    </xf>
    <xf numFmtId="0" fontId="1" fillId="0" borderId="0" applyProtection="1" pivotButton="0" quotePrefix="0" xfId="0">
      <protection locked="0" hidden="0"/>
    </xf>
    <xf numFmtId="2" fontId="0" fillId="9" borderId="0" applyProtection="1" pivotButton="0" quotePrefix="0" xfId="2">
      <protection locked="0" hidden="0"/>
    </xf>
    <xf numFmtId="0" fontId="0" fillId="0" borderId="0" applyProtection="1" pivotButton="0" quotePrefix="0" xfId="0">
      <protection locked="0" hidden="0"/>
    </xf>
    <xf numFmtId="0" fontId="0" fillId="0" borderId="0" applyProtection="1" pivotButton="0" quotePrefix="0" xfId="0">
      <protection locked="0" hidden="0"/>
    </xf>
    <xf numFmtId="0" fontId="46" fillId="0" borderId="0" applyAlignment="1" applyProtection="1" pivotButton="0" quotePrefix="0" xfId="0">
      <alignment horizontal="right"/>
      <protection locked="0" hidden="0"/>
    </xf>
    <xf numFmtId="0" fontId="1" fillId="0" borderId="0" applyAlignment="1" applyProtection="1" pivotButton="0" quotePrefix="0" xfId="0">
      <alignment horizontal="right"/>
      <protection locked="0" hidden="0"/>
    </xf>
    <xf numFmtId="0" fontId="0" fillId="0" borderId="0" applyAlignment="1" applyProtection="1" pivotButton="0" quotePrefix="0" xfId="0">
      <alignment horizontal="right"/>
      <protection locked="0" hidden="0"/>
    </xf>
    <xf numFmtId="164" fontId="0" fillId="0" borderId="0" applyProtection="1" pivotButton="0" quotePrefix="0" xfId="0">
      <protection locked="0" hidden="0"/>
    </xf>
    <xf numFmtId="0" fontId="10" fillId="11" borderId="1" applyAlignment="1" applyProtection="1" pivotButton="0" quotePrefix="0" xfId="0">
      <alignment horizontal="left"/>
      <protection locked="0" hidden="0"/>
    </xf>
    <xf numFmtId="0" fontId="3" fillId="11" borderId="1" applyAlignment="1" applyProtection="1" pivotButton="0" quotePrefix="0" xfId="0">
      <alignment horizontal="center"/>
      <protection locked="0" hidden="0"/>
    </xf>
    <xf numFmtId="1" fontId="3" fillId="11" borderId="1" applyAlignment="1" applyProtection="1" pivotButton="0" quotePrefix="0" xfId="0">
      <alignment horizontal="center"/>
      <protection locked="0" hidden="0"/>
    </xf>
    <xf numFmtId="9" fontId="3" fillId="11" borderId="1" applyAlignment="1" applyProtection="1" pivotButton="0" quotePrefix="0" xfId="2">
      <alignment horizontal="center"/>
      <protection locked="0" hidden="0"/>
    </xf>
    <xf numFmtId="0" fontId="0" fillId="13" borderId="12" applyAlignment="1" applyProtection="1" pivotButton="0" quotePrefix="0" xfId="0">
      <alignment vertical="center"/>
      <protection locked="0" hidden="0"/>
    </xf>
    <xf numFmtId="0" fontId="11" fillId="0" borderId="11" applyAlignment="1" applyProtection="1" pivotButton="0" quotePrefix="0" xfId="0">
      <alignment horizontal="center" wrapText="1"/>
      <protection locked="0" hidden="0"/>
    </xf>
    <xf numFmtId="0" fontId="0" fillId="0" borderId="11" applyAlignment="1" applyProtection="1" pivotButton="0" quotePrefix="0" xfId="0">
      <alignment horizontal="center"/>
      <protection locked="0" hidden="0"/>
    </xf>
    <xf numFmtId="0" fontId="0" fillId="13" borderId="11" applyAlignment="1" applyProtection="1" pivotButton="0" quotePrefix="0" xfId="0">
      <alignment vertical="center"/>
      <protection locked="0" hidden="0"/>
    </xf>
    <xf numFmtId="0" fontId="3" fillId="0" borderId="11" applyAlignment="1" applyProtection="1" pivotButton="0" quotePrefix="0" xfId="0">
      <alignment horizontal="center" vertical="center"/>
      <protection locked="0" hidden="0"/>
    </xf>
    <xf numFmtId="164" fontId="3" fillId="0" borderId="11" applyAlignment="1" applyProtection="1" pivotButton="0" quotePrefix="0" xfId="0">
      <alignment horizontal="center"/>
      <protection locked="0" hidden="0"/>
    </xf>
    <xf numFmtId="1" fontId="3" fillId="0" borderId="11" applyAlignment="1" applyProtection="1" pivotButton="0" quotePrefix="0" xfId="2">
      <alignment horizontal="center"/>
      <protection locked="0" hidden="0"/>
    </xf>
    <xf numFmtId="1" fontId="3" fillId="9" borderId="11" applyAlignment="1" applyProtection="1" pivotButton="0" quotePrefix="0" xfId="0">
      <alignment horizontal="center" vertical="center"/>
      <protection locked="0" hidden="0"/>
    </xf>
    <xf numFmtId="0" fontId="0" fillId="0" borderId="0" applyAlignment="1" pivotButton="0" quotePrefix="0" xfId="0">
      <alignment vertical="center"/>
    </xf>
    <xf numFmtId="0" fontId="0" fillId="13" borderId="11" applyAlignment="1" pivotButton="0" quotePrefix="0" xfId="0">
      <alignment horizontal="center"/>
    </xf>
    <xf numFmtId="14" fontId="11" fillId="0" borderId="11" applyAlignment="1" pivotButton="0" quotePrefix="0" xfId="0">
      <alignment horizontal="center"/>
    </xf>
    <xf numFmtId="14" fontId="11" fillId="0" borderId="11" applyAlignment="1" pivotButton="0" quotePrefix="0" xfId="0">
      <alignment horizontal="center"/>
    </xf>
    <xf numFmtId="167" fontId="53" fillId="0" borderId="0" applyAlignment="1" pivotButton="0" quotePrefix="0" xfId="0">
      <alignment horizontal="center" textRotation="90"/>
    </xf>
    <xf numFmtId="168" fontId="3" fillId="0" borderId="0" applyAlignment="1" pivotButton="0" quotePrefix="0" xfId="0">
      <alignment horizontal="center"/>
    </xf>
    <xf numFmtId="0" fontId="10" fillId="0" borderId="0" applyAlignment="1" applyProtection="1" pivotButton="0" quotePrefix="0" xfId="0">
      <alignment horizontal="center" wrapText="1"/>
      <protection locked="0" hidden="0"/>
    </xf>
    <xf numFmtId="0" fontId="3" fillId="0" borderId="0" applyAlignment="1" applyProtection="1" pivotButton="0" quotePrefix="0" xfId="0">
      <alignment horizontal="center" wrapText="1"/>
      <protection locked="0" hidden="0"/>
    </xf>
    <xf numFmtId="0" fontId="19" fillId="9" borderId="0" applyAlignment="1" applyProtection="1" pivotButton="0" quotePrefix="0" xfId="0">
      <alignment horizontal="center" vertical="center" wrapText="1"/>
      <protection locked="0" hidden="0"/>
    </xf>
    <xf numFmtId="0" fontId="10" fillId="0" borderId="0" applyAlignment="1" applyProtection="1" pivotButton="0" quotePrefix="0" xfId="0">
      <alignment horizontal="center"/>
      <protection locked="0" hidden="0"/>
    </xf>
    <xf numFmtId="0" fontId="20" fillId="9" borderId="0" applyAlignment="1" applyProtection="1" pivotButton="0" quotePrefix="0" xfId="0">
      <alignment horizontal="center"/>
      <protection locked="0" hidden="0"/>
    </xf>
    <xf numFmtId="0" fontId="20" fillId="0" borderId="0" applyAlignment="1" applyProtection="1" pivotButton="0" quotePrefix="0" xfId="0">
      <alignment horizontal="center" wrapText="1"/>
      <protection locked="0" hidden="0"/>
    </xf>
    <xf numFmtId="0" fontId="20" fillId="0" borderId="0" applyAlignment="1" applyProtection="1" pivotButton="0" quotePrefix="0" xfId="0">
      <alignment horizontal="center" wrapText="1"/>
      <protection locked="0" hidden="0"/>
    </xf>
    <xf numFmtId="14" fontId="20" fillId="0" borderId="0" applyAlignment="1" applyProtection="1" pivotButton="0" quotePrefix="0" xfId="0">
      <alignment horizontal="center"/>
      <protection locked="0" hidden="0"/>
    </xf>
    <xf numFmtId="0" fontId="20" fillId="0" borderId="0" applyAlignment="1" applyProtection="1" pivotButton="0" quotePrefix="0" xfId="0">
      <alignment horizontal="center"/>
      <protection locked="0" hidden="0"/>
    </xf>
    <xf numFmtId="0" fontId="1" fillId="0" borderId="0" applyAlignment="1" applyProtection="1" pivotButton="0" quotePrefix="0" xfId="0">
      <alignment horizontal="right"/>
      <protection locked="0" hidden="0"/>
    </xf>
    <xf numFmtId="0" fontId="0" fillId="0" borderId="0" applyAlignment="1" applyProtection="1" pivotButton="0" quotePrefix="0" xfId="0">
      <alignment horizontal="right"/>
      <protection locked="0" hidden="0"/>
    </xf>
    <xf numFmtId="0" fontId="1" fillId="9" borderId="9" applyAlignment="1" applyProtection="1" pivotButton="0" quotePrefix="0" xfId="0">
      <alignment horizontal="left"/>
      <protection locked="0" hidden="0"/>
    </xf>
    <xf numFmtId="165" fontId="1" fillId="9" borderId="8" applyAlignment="1" applyProtection="1" pivotButton="0" quotePrefix="0" xfId="0">
      <alignment horizontal="left"/>
      <protection locked="0" hidden="0"/>
    </xf>
    <xf numFmtId="165" fontId="1" fillId="0" borderId="8" applyAlignment="1" pivotButton="0" quotePrefix="0" xfId="0">
      <alignment horizontal="left"/>
    </xf>
    <xf numFmtId="166" fontId="11" fillId="0" borderId="14" applyAlignment="1" pivotButton="0" quotePrefix="0" xfId="0">
      <alignment horizontal="left"/>
    </xf>
    <xf numFmtId="167" fontId="3" fillId="0" borderId="0" applyAlignment="1" pivotButton="0" quotePrefix="0" xfId="0">
      <alignment horizontal="center" textRotation="90"/>
    </xf>
    <xf numFmtId="167" fontId="0" fillId="0" borderId="0" applyAlignment="1" pivotButton="0" quotePrefix="0" xfId="0">
      <alignment horizontal="center" textRotation="90"/>
    </xf>
    <xf numFmtId="0" fontId="3" fillId="0" borderId="0" applyAlignment="1" pivotButton="0" quotePrefix="0" xfId="0">
      <alignment horizontal="center" textRotation="90" wrapText="1"/>
    </xf>
    <xf numFmtId="0" fontId="10" fillId="0" borderId="0" applyAlignment="1" pivotButton="0" quotePrefix="0" xfId="0">
      <alignment horizontal="center" wrapText="1"/>
    </xf>
    <xf numFmtId="0" fontId="10" fillId="0" borderId="0" applyAlignment="1" pivotButton="0" quotePrefix="0" xfId="0">
      <alignment horizontal="center"/>
    </xf>
    <xf numFmtId="0" fontId="20" fillId="0" borderId="0" applyAlignment="1" pivotButton="0" quotePrefix="0" xfId="0">
      <alignment horizontal="left"/>
    </xf>
    <xf numFmtId="0" fontId="20" fillId="0" borderId="0" applyAlignment="1" pivotButton="0" quotePrefix="0" xfId="0">
      <alignment horizontal="center" wrapText="1"/>
    </xf>
    <xf numFmtId="0" fontId="20" fillId="0" borderId="0" applyAlignment="1" pivotButton="0" quotePrefix="0" xfId="0">
      <alignment horizontal="center" wrapText="1"/>
    </xf>
    <xf numFmtId="0" fontId="20" fillId="0" borderId="0" applyAlignment="1" pivotButton="0" quotePrefix="0" xfId="0">
      <alignment horizontal="center"/>
    </xf>
    <xf numFmtId="0" fontId="1" fillId="0" borderId="0" applyAlignment="1" pivotButton="0" quotePrefix="0" xfId="0">
      <alignment horizontal="right"/>
    </xf>
    <xf numFmtId="0" fontId="0" fillId="0" borderId="0" applyAlignment="1" pivotButton="0" quotePrefix="0" xfId="0">
      <alignment horizontal="right"/>
    </xf>
    <xf numFmtId="0" fontId="1" fillId="0" borderId="9" applyAlignment="1" applyProtection="1" pivotButton="0" quotePrefix="0" xfId="0">
      <alignment horizontal="left"/>
      <protection locked="0" hidden="0"/>
    </xf>
    <xf numFmtId="165" fontId="1" fillId="0" borderId="8" applyAlignment="1" applyProtection="1" pivotButton="0" quotePrefix="0" xfId="0">
      <alignment horizontal="left"/>
      <protection locked="0" hidden="0"/>
    </xf>
    <xf numFmtId="165" fontId="1" fillId="0" borderId="3" applyAlignment="1" applyProtection="1" pivotButton="0" quotePrefix="0" xfId="0">
      <alignment horizontal="left"/>
      <protection locked="0" hidden="0"/>
    </xf>
    <xf numFmtId="165" fontId="1" fillId="0" borderId="3" applyAlignment="1" pivotButton="0" quotePrefix="0" xfId="0">
      <alignment horizontal="left"/>
    </xf>
    <xf numFmtId="0" fontId="50" fillId="0" borderId="0" applyAlignment="1" pivotButton="0" quotePrefix="0" xfId="0">
      <alignment horizontal="left" vertical="top" wrapText="1"/>
    </xf>
    <xf numFmtId="0" fontId="10" fillId="0" borderId="15" applyAlignment="1" applyProtection="1" pivotButton="0" quotePrefix="0" xfId="0">
      <alignment horizontal="center"/>
      <protection locked="0" hidden="0"/>
    </xf>
    <xf numFmtId="0" fontId="20" fillId="9" borderId="15" applyAlignment="1" applyProtection="1" pivotButton="0" quotePrefix="0" xfId="0">
      <alignment horizontal="center"/>
      <protection locked="0" hidden="0"/>
    </xf>
    <xf numFmtId="0" fontId="20" fillId="0" borderId="15" applyAlignment="1" applyProtection="1" pivotButton="0" quotePrefix="0" xfId="0">
      <alignment horizontal="center" wrapText="1"/>
      <protection locked="0" hidden="0"/>
    </xf>
    <xf numFmtId="0" fontId="20" fillId="0" borderId="15" applyAlignment="1" applyProtection="1" pivotButton="0" quotePrefix="0" xfId="0">
      <alignment horizontal="center" wrapText="1"/>
      <protection locked="0" hidden="0"/>
    </xf>
    <xf numFmtId="0" fontId="20" fillId="0" borderId="15" applyAlignment="1" applyProtection="1" pivotButton="0" quotePrefix="0" xfId="0">
      <alignment horizontal="center"/>
      <protection locked="0" hidden="0"/>
    </xf>
    <xf numFmtId="0" fontId="10" fillId="0" borderId="15" applyAlignment="1" applyProtection="1" pivotButton="0" quotePrefix="0" xfId="0">
      <alignment horizontal="center" wrapText="1"/>
      <protection locked="0" hidden="0"/>
    </xf>
    <xf numFmtId="0" fontId="3" fillId="0" borderId="15" applyAlignment="1" applyProtection="1" pivotButton="0" quotePrefix="0" xfId="0">
      <alignment horizontal="center" wrapText="1"/>
      <protection locked="0" hidden="0"/>
    </xf>
    <xf numFmtId="0" fontId="0" fillId="0" borderId="15" pivotButton="0" quotePrefix="0" xfId="0"/>
    <xf numFmtId="0" fontId="3" fillId="11" borderId="15" applyAlignment="1" pivotButton="0" quotePrefix="0" xfId="0">
      <alignment horizontal="center"/>
    </xf>
    <xf numFmtId="0" fontId="1" fillId="0" borderId="0" applyAlignment="1" applyProtection="1" pivotButton="0" quotePrefix="0" xfId="0">
      <alignment horizontal="left"/>
      <protection locked="0" hidden="0"/>
    </xf>
    <xf numFmtId="0" fontId="3" fillId="0" borderId="0" applyAlignment="1" pivotButton="0" quotePrefix="0" xfId="0">
      <alignment horizontal="center" wrapText="1"/>
    </xf>
    <xf numFmtId="0" fontId="10" fillId="0" borderId="15" applyAlignment="1" pivotButton="0" quotePrefix="0" xfId="0">
      <alignment horizontal="center"/>
    </xf>
    <xf numFmtId="0" fontId="20" fillId="0" borderId="15" applyAlignment="1" pivotButton="0" quotePrefix="0" xfId="0">
      <alignment horizontal="left"/>
    </xf>
    <xf numFmtId="0" fontId="20" fillId="0" borderId="15" applyAlignment="1" pivotButton="0" quotePrefix="0" xfId="0">
      <alignment horizontal="center" wrapText="1"/>
    </xf>
    <xf numFmtId="0" fontId="20" fillId="0" borderId="15" applyAlignment="1" pivotButton="0" quotePrefix="0" xfId="0">
      <alignment horizontal="center" wrapText="1"/>
    </xf>
    <xf numFmtId="0" fontId="20" fillId="0" borderId="15" applyAlignment="1" pivotButton="0" quotePrefix="0" xfId="0">
      <alignment horizontal="center"/>
    </xf>
    <xf numFmtId="0" fontId="10" fillId="0" borderId="15" applyAlignment="1" pivotButton="0" quotePrefix="0" xfId="0">
      <alignment horizontal="center" wrapText="1"/>
    </xf>
    <xf numFmtId="0" fontId="3" fillId="0" borderId="15" applyAlignment="1" pivotButton="0" quotePrefix="0" xfId="0">
      <alignment horizontal="center" wrapText="1"/>
    </xf>
    <xf numFmtId="0" fontId="3" fillId="0" borderId="15" applyAlignment="1" pivotButton="0" quotePrefix="0" xfId="0">
      <alignment horizontal="center" textRotation="90" wrapText="1"/>
    </xf>
    <xf numFmtId="0" fontId="3" fillId="0" borderId="15" applyAlignment="1" pivotButton="0" quotePrefix="0" xfId="0">
      <alignment horizontal="center"/>
    </xf>
    <xf numFmtId="0" fontId="3" fillId="0" borderId="1" applyAlignment="1" applyProtection="1" pivotButton="0" quotePrefix="0" xfId="0">
      <alignment wrapText="1"/>
      <protection locked="0" hidden="0"/>
    </xf>
    <xf numFmtId="0" fontId="3" fillId="0" borderId="0" applyAlignment="1" pivotButton="0" quotePrefix="0" xfId="0">
      <alignment horizontal="right"/>
    </xf>
    <xf numFmtId="0" fontId="1" fillId="0" borderId="15" applyAlignment="1" applyProtection="1" pivotButton="0" quotePrefix="0" xfId="0">
      <alignment horizontal="left"/>
      <protection locked="0" hidden="0"/>
    </xf>
    <xf numFmtId="0" fontId="23" fillId="6" borderId="15" applyAlignment="1" pivotButton="0" quotePrefix="0" xfId="0">
      <alignment vertical="center"/>
    </xf>
    <xf numFmtId="0" fontId="23" fillId="6" borderId="15" applyAlignment="1" pivotButton="0" quotePrefix="0" xfId="0">
      <alignment vertical="center" wrapText="1"/>
    </xf>
    <xf numFmtId="0" fontId="3" fillId="7" borderId="0" pivotButton="0" quotePrefix="0" xfId="0"/>
    <xf numFmtId="0" fontId="3" fillId="4" borderId="0" pivotButton="0" quotePrefix="0" xfId="0"/>
    <xf numFmtId="0" fontId="1" fillId="0" borderId="6" pivotButton="0" quotePrefix="0" xfId="0"/>
    <xf numFmtId="0" fontId="1" fillId="0" borderId="6" applyAlignment="1" pivotButton="0" quotePrefix="0" xfId="0">
      <alignment horizontal="center"/>
    </xf>
    <xf numFmtId="0" fontId="1" fillId="0" borderId="0" applyAlignment="1" pivotButton="0" quotePrefix="0" xfId="0">
      <alignment horizontal="right"/>
    </xf>
    <xf numFmtId="0" fontId="3" fillId="0" borderId="0" applyAlignment="1" pivotButton="0" quotePrefix="1" xfId="0">
      <alignment horizontal="left" indent="1"/>
    </xf>
    <xf numFmtId="0" fontId="0" fillId="0" borderId="9" applyProtection="1" pivotButton="0" quotePrefix="0" xfId="0">
      <protection locked="0" hidden="0"/>
    </xf>
    <xf numFmtId="165" fontId="1" fillId="9" borderId="8" applyAlignment="1" applyProtection="1" pivotButton="0" quotePrefix="0" xfId="0">
      <alignment horizontal="left"/>
      <protection locked="0" hidden="0"/>
    </xf>
    <xf numFmtId="0" fontId="0" fillId="0" borderId="8" applyProtection="1" pivotButton="0" quotePrefix="0" xfId="0">
      <protection locked="0" hidden="0"/>
    </xf>
    <xf numFmtId="165" fontId="1" fillId="0" borderId="8" applyAlignment="1" pivotButton="0" quotePrefix="0" xfId="0">
      <alignment horizontal="left"/>
    </xf>
    <xf numFmtId="0" fontId="0" fillId="0" borderId="8" pivotButton="0" quotePrefix="0" xfId="0"/>
    <xf numFmtId="166" fontId="11" fillId="0" borderId="14" applyAlignment="1" pivotButton="0" quotePrefix="0" xfId="0">
      <alignment horizontal="left"/>
    </xf>
    <xf numFmtId="0" fontId="0" fillId="0" borderId="14" pivotButton="0" quotePrefix="0" xfId="0"/>
    <xf numFmtId="164" fontId="0" fillId="0" borderId="0" applyProtection="1" pivotButton="0" quotePrefix="0" xfId="0">
      <protection locked="0" hidden="0"/>
    </xf>
    <xf numFmtId="14" fontId="20" fillId="0" borderId="15" applyAlignment="1" applyProtection="1" pivotButton="0" quotePrefix="0" xfId="0">
      <alignment horizontal="center"/>
      <protection locked="0" hidden="0"/>
    </xf>
    <xf numFmtId="167" fontId="53" fillId="0" borderId="0" applyAlignment="1" pivotButton="0" quotePrefix="0" xfId="0">
      <alignment horizontal="center" textRotation="90"/>
    </xf>
    <xf numFmtId="168" fontId="3" fillId="0" borderId="0" applyAlignment="1" pivotButton="0" quotePrefix="0" xfId="0">
      <alignment horizontal="center"/>
    </xf>
    <xf numFmtId="0" fontId="0" fillId="0" borderId="15" applyProtection="1" pivotButton="0" quotePrefix="0" xfId="0">
      <protection locked="0" hidden="0"/>
    </xf>
    <xf numFmtId="164" fontId="3" fillId="11" borderId="1" applyAlignment="1" pivotButton="0" quotePrefix="0" xfId="0">
      <alignment horizontal="right"/>
    </xf>
    <xf numFmtId="164" fontId="3" fillId="0" borderId="11" applyAlignment="1" pivotButton="0" quotePrefix="0" xfId="0">
      <alignment horizontal="center"/>
    </xf>
    <xf numFmtId="164" fontId="3" fillId="0" borderId="11" applyAlignment="1" applyProtection="1" pivotButton="0" quotePrefix="0" xfId="0">
      <alignment horizontal="center"/>
      <protection locked="0" hidden="0"/>
    </xf>
    <xf numFmtId="0" fontId="13" fillId="0" borderId="11" applyAlignment="1" pivotButton="0" quotePrefix="0" xfId="0">
      <alignment vertical="center" wrapText="1"/>
    </xf>
    <xf numFmtId="0" fontId="13" fillId="0" borderId="11" applyAlignment="1" pivotButton="0" quotePrefix="0" xfId="0">
      <alignment vertical="center"/>
    </xf>
    <xf numFmtId="1" fontId="3" fillId="9" borderId="11" applyAlignment="1" pivotButton="0" quotePrefix="0" xfId="0">
      <alignment horizontal="center"/>
    </xf>
    <xf numFmtId="9" fontId="3" fillId="9" borderId="11" applyAlignment="1" pivotButton="0" quotePrefix="0" xfId="0">
      <alignment horizontal="center"/>
    </xf>
    <xf numFmtId="165" fontId="1" fillId="0" borderId="0" applyAlignment="1" applyProtection="1" pivotButton="0" quotePrefix="0" xfId="0">
      <alignment horizontal="left"/>
      <protection locked="0" hidden="0"/>
    </xf>
    <xf numFmtId="165" fontId="1" fillId="0" borderId="8" applyAlignment="1" applyProtection="1" pivotButton="0" quotePrefix="0" xfId="0">
      <alignment horizontal="left"/>
      <protection locked="0" hidden="0"/>
    </xf>
    <xf numFmtId="165" fontId="1" fillId="0" borderId="0" applyAlignment="1" pivotButton="0" quotePrefix="0" xfId="0">
      <alignment horizontal="left"/>
    </xf>
    <xf numFmtId="167" fontId="3" fillId="0" borderId="0" applyAlignment="1" pivotButton="0" quotePrefix="0" xfId="0">
      <alignment horizontal="center" textRotation="90"/>
    </xf>
    <xf numFmtId="166" fontId="3" fillId="11" borderId="1" applyAlignment="1" pivotButton="0" quotePrefix="0" xfId="0">
      <alignment horizontal="center"/>
    </xf>
    <xf numFmtId="164" fontId="3" fillId="10" borderId="1" applyAlignment="1" pivotButton="0" quotePrefix="0" xfId="0">
      <alignment horizontal="right"/>
    </xf>
    <xf numFmtId="164" fontId="3" fillId="9" borderId="1" applyAlignment="1" pivotButton="0" quotePrefix="0" xfId="0">
      <alignment horizontal="right"/>
    </xf>
    <xf numFmtId="164" fontId="3" fillId="0" borderId="1" applyAlignment="1" pivotButton="0" quotePrefix="0" xfId="0">
      <alignment horizontal="right"/>
    </xf>
    <xf numFmtId="164" fontId="3" fillId="10" borderId="2" applyAlignment="1" pivotButton="0" quotePrefix="0" xfId="0">
      <alignment horizontal="right"/>
    </xf>
    <xf numFmtId="165" fontId="1" fillId="0" borderId="3" applyAlignment="1" applyProtection="1" pivotButton="0" quotePrefix="0" xfId="0">
      <alignment horizontal="left"/>
      <protection locked="0" hidden="0"/>
    </xf>
    <xf numFmtId="0" fontId="0" fillId="0" borderId="3" applyProtection="1" pivotButton="0" quotePrefix="0" xfId="0">
      <protection locked="0" hidden="0"/>
    </xf>
    <xf numFmtId="165" fontId="1" fillId="0" borderId="3" applyAlignment="1" pivotButton="0" quotePrefix="0" xfId="0">
      <alignment horizontal="left"/>
    </xf>
    <xf numFmtId="0" fontId="0" fillId="0" borderId="3" pivotButton="0" quotePrefix="0" xfId="0"/>
  </cellXfs>
  <cellStyles count="6">
    <cellStyle name="Normal" xfId="0" builtinId="0"/>
    <cellStyle name="Hyperlink" xfId="1" builtinId="8"/>
    <cellStyle name="Percent" xfId="2" builtinId="5"/>
    <cellStyle name="Normal 2" xfId="3"/>
    <cellStyle name="Hyperlink 2" xfId="4"/>
    <cellStyle name="Normal_Help" xfId="5"/>
  </cellStyles>
  <dxfs count="204">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border>
        <left style="thin">
          <color theme="0" tint="-0.3499862666707358"/>
        </left>
        <vertical/>
        <horizontal/>
      </border>
    </dxf>
    <dxf>
      <font>
        <color rgb="FF00B050"/>
      </font>
    </dxf>
    <dxf>
      <font>
        <color rgb="FFC00000"/>
      </font>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fill>
        <patternFill patternType="darkUp">
          <fgColor theme="0" tint="-0.3499862666707358"/>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border>
        <left style="thin">
          <color theme="0" tint="-0.3499862666707358"/>
        </left>
        <vertical/>
        <horizontal/>
      </border>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numFmt numFmtId="169" formatCode="yyyy\ mmm"/>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numFmt numFmtId="169" formatCode="yyyy\ mmm"/>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border>
        <left style="thin">
          <color theme="0" tint="-0.3499862666707358"/>
        </left>
        <vertical/>
        <horizontal/>
      </border>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numFmt numFmtId="169" formatCode="yyyy\ mmm"/>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border>
        <left style="thin">
          <color theme="0" tint="-0.3499862666707358"/>
        </left>
        <vertical/>
        <horizontal/>
      </border>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numFmt numFmtId="169" formatCode="yyyy\ mmm"/>
    </dxf>
    <dxf>
      <font>
        <color theme="0"/>
      </font>
      <fill>
        <patternFill>
          <bgColor rgb="FF0070C0"/>
        </patternFill>
      </fill>
    </dxf>
    <dxf>
      <font>
        <color auto="1"/>
      </font>
      <fill>
        <patternFill>
          <bgColor theme="9" tint="0.3999450666829432"/>
        </patternFill>
      </fill>
    </dxf>
    <dxf>
      <font>
        <color auto="1"/>
      </font>
      <fill>
        <patternFill>
          <bgColor theme="8" tint="0.3999450666829432"/>
        </patternFill>
      </fill>
    </dxf>
    <dxf>
      <font>
        <color auto="1"/>
      </font>
      <fill>
        <patternFill>
          <bgColor theme="7" tint="0.3999450666829432"/>
        </patternFill>
      </fill>
    </dxf>
    <dxf>
      <font>
        <color auto="1"/>
      </font>
      <fill>
        <patternFill>
          <bgColor theme="6" tint="0.3999450666829432"/>
        </patternFill>
      </fill>
    </dxf>
    <dxf>
      <font>
        <color auto="1"/>
      </font>
      <fill>
        <patternFill>
          <bgColor theme="5" tint="0.3999450666829432"/>
        </patternFill>
      </fill>
    </dxf>
    <dxf>
      <font>
        <color auto="1"/>
      </font>
      <fill>
        <patternFill>
          <bgColor theme="4" tint="0.3999450666829432"/>
        </patternFill>
      </fill>
    </dxf>
    <dxf>
      <font>
        <color theme="0"/>
      </font>
      <fill>
        <patternFill>
          <bgColor rgb="FFC00000"/>
        </patternFill>
      </fill>
    </dxf>
    <dxf>
      <font>
        <color theme="0"/>
      </font>
      <fill>
        <patternFill>
          <bgColor rgb="FF00B050"/>
        </patternFill>
      </fill>
    </dxf>
    <dxf>
      <font>
        <color theme="0"/>
      </font>
      <fill>
        <patternFill>
          <bgColor rgb="FF7030A0"/>
        </patternFill>
      </fill>
    </dxf>
    <dxf>
      <font>
        <color auto="1"/>
      </font>
      <fill>
        <patternFill>
          <bgColor rgb="FFFFFF00"/>
        </patternFill>
      </fill>
    </dxf>
    <dxf>
      <font>
        <color auto="1"/>
      </font>
      <fill>
        <patternFill>
          <bgColor rgb="FFFFC000"/>
        </patternFill>
      </fill>
    </dxf>
    <dxf>
      <font>
        <color theme="0"/>
      </font>
      <fill>
        <patternFill>
          <bgColor rgb="FF000000"/>
        </patternFill>
      </fill>
    </dxf>
    <dxf>
      <font>
        <color theme="0"/>
      </font>
      <fill>
        <patternFill>
          <bgColor theme="0" tint="-0.499984740745262"/>
        </patternFill>
      </fill>
    </dxf>
    <dxf>
      <border>
        <left style="thin">
          <color theme="0" tint="-0.1499679555650502"/>
        </left>
        <vertical/>
        <horizontal/>
      </border>
    </dxf>
    <dxf>
      <font>
        <color theme="0"/>
      </font>
      <fill>
        <patternFill>
          <bgColor rgb="FFFF0000"/>
        </patternFill>
      </fill>
      <border>
        <left style="thin">
          <color rgb="FFFF0000"/>
        </left>
        <right style="thin">
          <color rgb="FFFF0000"/>
        </right>
        <top style="thin">
          <color rgb="FFFF0000"/>
        </top>
        <bottom style="thin">
          <color rgb="FFFF0000"/>
        </bottom>
      </border>
    </dxf>
    <dxf>
      <border>
        <left style="thin">
          <color theme="0" tint="-0.3499862666707358"/>
        </left>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Vertex42</author>
    <author>Jon</author>
  </authors>
  <commentList>
    <comment ref="I1" authorId="0" shapeId="0">
      <text>
        <t>See the Terms Of Use worksheet and the license agreement on Vertex42.com for information about terms of use, copyright, warranties, and disclaimers. Removing copyright notices is illegal.</t>
      </text>
    </comment>
    <comment ref="J1" authorId="0" shapeId="0">
      <text>
        <t>Show 7 Day Week:
1 = true
0 = false</t>
      </text>
    </comment>
    <comment ref="K1" authorId="0" shapeId="0">
      <text>
        <t>Scroll-Bar Cell Link:
Starting day, week, or month. (Added to the Project start date).</t>
      </text>
    </comment>
    <comment ref="L1" authorId="0" shapeId="0">
      <text>
        <t>Display Mode:
This value is set via the drop-down field.</t>
      </text>
    </comment>
    <comment ref="M1" authorId="0" shapeId="0">
      <text>
        <t>Start of Work Week:
Sunday = 1 :: weekend is defined as Friday &amp; Saturday
Monday = 2 :: weekend is defined as Saturday &amp; Sunday</t>
      </text>
    </comment>
    <comment ref="B6" authorId="0" shapeId="0">
      <text>
        <t>Project Start Date
Enter the Start Date for the Project. Avoid choosing a date that falls on a Saturday or Sunday.</t>
      </text>
    </comment>
    <comment ref="B7" authorId="0" shapeId="0">
      <text>
        <t>Today's Date:
Use the formula =TODAY() to make the red line in the gantt chart display the current day, or enter the date manually.</t>
      </text>
    </comment>
    <comment ref="A9" authorId="1" shapeId="0">
      <text>
        <t>Work Breakdown Structure
Level 1: 1, 2, 3, ...
Level 2: 1.1, 1.2, 1.3, ...
Level 3: 1.1.1, 1.1.2, 1.1.3, …
The WBS uses a formula to control the numbering, but the formulas are different for different levels.</t>
      </text>
    </comment>
    <comment ref="B9" authorId="0" shapeId="0">
      <text>
        <t>Task
Enter the name of each task and sub-task. Use indents for sub-tasks.</t>
      </text>
    </comment>
    <comment ref="C9" authorId="0" shapeId="0">
      <text>
        <t>Task Lead
Enter the name of the Task Lead in this column.</t>
      </text>
    </comment>
    <comment ref="D9" authorId="0" shapeId="0">
      <text>
        <t>Predecessor Tasks
[ You can hide these columns if you are not going to use them ]
Use a formula like =A15 to reference the WBS of the Predecessor Task that must be completed before this task can start. Doing so will help ensure that if you move the task, the dependency will remain correct. You can also enter the WBS as a text value by entering an apostrophe before the number like '2.3. Avoid circular references, such as choosing the current task as its own Predecessor.</t>
      </text>
    </comment>
    <comment ref="G9" authorId="0" shapeId="0">
      <text>
        <t>Task Start Date
You can manually enter the Start Date for each task or use a formula to create a dependency on a Predecessor. For example, you could enter =enddate+1 to set the Start date to the next calendar day, or =WORKDAY(enddate,1,holidays) to set the Start date to the next work day (excluding weekends and holidays), where enddate is the cell reference for the End date of the Predecessor task.</t>
      </text>
    </comment>
    <comment ref="H9" authorId="1" shapeId="0">
      <text>
        <t xml:space="preserve">End Date
The WORKDAY() function is used to calculate the ending date so that the End Date does not fall on a weekend or a holiday. If you choose to use the Duration as the input, the End date is calculated as the Start date + Duration - 1.
</t>
      </text>
    </comment>
    <comment ref="I9" authorId="1" shapeId="0">
      <text>
        <t>Work Days
Enter the number of Work Days that you estimate this task will require to complete. Work Days exclude Saturday and Sunday and holidays listed in the Holidays worksheet.</t>
      </text>
    </comment>
    <comment ref="J9" authorId="1" shapeId="0">
      <text>
        <t>Percent Complete
Update the status of this task by entering the percent complete (between 0% and 100%).</t>
      </text>
    </comment>
    <comment ref="K9" authorId="1" shapeId="0">
      <text>
        <t>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ref="L9" authorId="1" shapeId="0">
      <text>
        <t>Calendar Days Complete
[ You can hide this column prior to printing ]
This column is calculated by multiplying the Work Days by the %Complete and using the WORKDAY() function to determine how many calendar days have been completed.
Note: The conditional formatting used to create the gantt chart references this column.</t>
      </text>
    </comment>
    <comment ref="M9" authorId="1" shapeId="0">
      <text>
        <t>Calendar Days Remaining
[ You can hide this column prior to printing ]
This column is calculated by subtracting the Days Complete from the Duration.</t>
      </text>
    </comment>
    <comment ref="N9" authorId="0" shapeId="0">
      <text>
        <t>Color (Optional):
Enter a color code in this column to change the color of the incomplete portion of the gantt chart.
1 - 6 = theme-based accent colors
k = black
r = red
o = orange
y = yellow
p = purple
g = green</t>
      </text>
    </comment>
  </commentList>
</comments>
</file>

<file path=xl/comments/comment2.xml><?xml version="1.0" encoding="utf-8"?>
<comments xmlns="http://schemas.openxmlformats.org/spreadsheetml/2006/main">
  <authors>
    <author>Vertex42</author>
    <author>Jon</author>
  </authors>
  <commentList>
    <comment ref="I1" authorId="0" shapeId="0">
      <text>
        <t>Show Original Dates:
1 = true
0 = false</t>
      </text>
    </comment>
    <comment ref="K1" authorId="0" shapeId="0">
      <text>
        <t>See the Terms Of Use worksheet and the license agreement on Vertex42.com for information about terms of use, copyright, warranties, and disclaimers. Removing copyright notices is illegal.</t>
      </text>
    </comment>
    <comment ref="L1" authorId="0" shapeId="0">
      <text>
        <t>Show 7 Day Week:
1 = true
0 = false</t>
      </text>
    </comment>
    <comment ref="M1" authorId="0" shapeId="0">
      <text>
        <t>Scroll-Bar Cell Link:
Starting day, week, or month. (Added to the Project start date).</t>
      </text>
    </comment>
    <comment ref="N1" authorId="0" shapeId="0">
      <text>
        <t>Display Mode:
This value is set via the drop-down field.</t>
      </text>
    </comment>
    <comment ref="O1" authorId="0" shapeId="0">
      <text>
        <t>Start of Work Week:
Sunday = 1 :: weekend is defined as Friday &amp; Saturday
Monday = 2 :: weekend is defined as Saturday &amp; Sunday</t>
      </text>
    </comment>
    <comment ref="B6" authorId="0" shapeId="0">
      <text>
        <t>Project Start Date
Enter the Start Date for the Project. Avoid choosing a date that falls on a Saturday or Sunday.</t>
      </text>
    </comment>
    <comment ref="B7" authorId="0" shapeId="0">
      <text>
        <t>Today's Date:
Use the formula =TODAY() to make the red line in the gantt chart display the current day, or enter the date manually.</t>
      </text>
    </comment>
    <comment ref="A8" authorId="1" shapeId="0">
      <text>
        <t>Work Breakdown Structure
Level 1: 1, 2, 3, ...
Level 2: 1.1, 1.2, 1.3, ...
Level 3: 1.1.1, 1.1.2, 1.1.3, …
The WBS uses a formula to control the numbering, but the formulas are different for different levels.</t>
      </text>
    </comment>
    <comment ref="B8" authorId="0" shapeId="0">
      <text>
        <t>Task
Enter the name of each task and sub-task. Use indents for sub-tasks.</t>
      </text>
    </comment>
    <comment ref="C8" authorId="0" shapeId="0">
      <text>
        <t>Task Lead
Enter the name of the Task Lead in this column.</t>
      </text>
    </comment>
    <comment ref="D8" authorId="0" shapeId="0">
      <text>
        <t>Predecessor Tasks
Use a formula like =A15 to reference the WBS of the Predecessor Task that must be completed before this task can start. Doing so will help ensure that if you move the task, the dependency will remain correct. You can also enter the WBS as a text value by entering an apostrophe before the number like '2.3. Avoid circular references, such as choosing the current task as its own Predecessor.</t>
      </text>
    </comment>
    <comment ref="G8" authorId="0" shapeId="0">
      <text>
        <t>Task Start Date
You can manually enter the Start Date for each task or use a formula to create a dependency on a Predecessor. For example, you could enter =enddate+1 to set the Start date to the next calendar day, or =WORKDAY(enddate,1,holidays) to set the Start date to the next work day (excluding weekends and holidays), where enddate is the cell reference for the End date of the Predecessor task.</t>
      </text>
    </comment>
    <comment ref="H8" authorId="1" shapeId="0">
      <text>
        <t xml:space="preserve">End Date
The WORKDAY() function is used to calculate the ending date so that the End Date does not fall on a weekend or a holiday. If you choose to use the Duration as the input, the End date is calculated as the Start date + Duration - 1.
</t>
      </text>
    </comment>
    <comment ref="I8" authorId="1" shapeId="0">
      <text>
        <t>Original Start:
After creating your gantt chart, copy the Start dates into this column but PASTE VALUES ONLY. This will be used as a reference so that you can see the difference between the original plan and the actual dates.
Tip: You may want to hide this column after entering the original dates.</t>
      </text>
    </comment>
    <comment ref="J8" authorId="1" shapeId="0">
      <text>
        <t>Original End:
After creating your gantt chart, copy the End dates into this column but PASTE VALUES ONLY. This will be used as a reference so that you can see the difference between the original plan and the actual dates.
Tip: You may want to hide this column after entering the original dates.</t>
      </text>
    </comment>
    <comment ref="K8" authorId="1" shapeId="0">
      <text>
        <t>Work Days
Enter the number of Work Days that you estimate this task will require to complete. Work Days exclude Saturday and Sunday and holidays listed in the Holidays worksheet.</t>
      </text>
    </comment>
    <comment ref="L8" authorId="1" shapeId="0">
      <text>
        <t>Percent Complete
Update the status of this task by entering the percent complete (between 0% and 100%).</t>
      </text>
    </comment>
    <comment ref="M8" authorId="1" shapeId="0">
      <text>
        <t>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ref="N8" authorId="1" shapeId="0">
      <text>
        <t>Calendar Days Complete
This column is calculated by multiplying the Work Days by the %Complete and using the WORKDAY() function to determine how many calendar days have been completed.
Note: The conditional formatting used to create the gantt chart references this column.</t>
      </text>
    </comment>
    <comment ref="O8" authorId="1" shapeId="0">
      <text>
        <t>Calendar Days Remaining
This column is calculated by subtracting the Days Complete from the Duration.</t>
      </text>
    </comment>
    <comment ref="P8" authorId="0" shapeId="0">
      <text>
        <t>Color (Optional):
Enter a color code in this column to change the color of the incomplete portion of the gantt chart.
1 - 6 = theme-based accent colors
k = black
r = red
o = orange
y = yellow
p = purple
g = green</t>
      </text>
    </comment>
  </commentList>
</comments>
</file>

<file path=xl/comments/comment3.xml><?xml version="1.0" encoding="utf-8"?>
<comments xmlns="http://schemas.openxmlformats.org/spreadsheetml/2006/main">
  <authors>
    <author>Vertex42</author>
    <author>Jon</author>
  </authors>
  <commentList>
    <comment ref="I1" authorId="0" shapeId="0">
      <text>
        <t>See the Terms Of Use worksheet and the license agreement on Vertex42.com for information about terms of use, copyright, warranties, and disclaimers. Removing copyright notices is illegal.</t>
      </text>
    </comment>
    <comment ref="J1" authorId="0" shapeId="0">
      <text>
        <t>Show 7 Day Week:
1 = true
0 = false</t>
      </text>
    </comment>
    <comment ref="K1" authorId="0" shapeId="0">
      <text>
        <t>Scroll-Bar Cell Link:
Starting day, week, or month. (Added to the Project start date).</t>
      </text>
    </comment>
    <comment ref="L1" authorId="0" shapeId="0">
      <text>
        <t>Display Mode:
This value is set via the drop-down field.</t>
      </text>
    </comment>
    <comment ref="M1" authorId="0" shapeId="0">
      <text>
        <t>Start of Work Week:
Sunday = 1 :: weekend is defined as Friday &amp; Saturday
Monday = 2 :: weekend is defined as Saturday &amp; Sunday</t>
      </text>
    </comment>
    <comment ref="B6" authorId="0" shapeId="0">
      <text>
        <t>Project Start Date
Enter the Start Date for the Project. Avoid choosing a date that falls on a Saturday or Sunday.</t>
      </text>
    </comment>
    <comment ref="B7" authorId="0" shapeId="0">
      <text>
        <t>Today's Date:
Use the formula =TODAY() to make the red line in the gantt chart display the current day, or enter the date manually.</t>
      </text>
    </comment>
    <comment ref="A8" authorId="1" shapeId="0">
      <text>
        <t>Work Breakdown Structure
Level 1: 1, 2, 3, ...
Level 2: 1.1, 1.2, 1.3, ...
Level 3: 1.1.1, 1.1.2, 1.1.3, …
The WBS uses a formula to control the numbering, but the formulas are different for different levels.</t>
      </text>
    </comment>
    <comment ref="B8" authorId="0" shapeId="0">
      <text>
        <t>Task
Enter the name of each task and sub-task. Use indents for sub-tasks.</t>
      </text>
    </comment>
    <comment ref="C8" authorId="0" shapeId="0">
      <text>
        <t>Task Lead
Enter the name of the Task Lead in this column.</t>
      </text>
    </comment>
    <comment ref="D8" authorId="0" shapeId="0">
      <text>
        <t>Predecessor Tasks
Use a formula like =A15 to reference the WBS of the Predecessor Task that must be completed before this task can start. Doing so will help ensure that if you move the task, the dependency will remain correct. You can also enter the WBS as a text value by entering an apostrophe before the number like '2.3. Avoid circular references, such as choosing the current task as its own Predecessor.</t>
      </text>
    </comment>
    <comment ref="G8" authorId="0" shapeId="0">
      <text>
        <t>Task Start Date
You can manually enter the Start Date for each task or use a formula to create a dependency on a Predecessor. For example, you could enter =enddate+1 to set the Start date to the next calendar day, or =WORKDAY(enddate,1,holidays) to set the Start date to the next work day (excluding weekends and holidays), where enddate is the cell reference for the End date of the Predecessor task.</t>
      </text>
    </comment>
    <comment ref="H8" authorId="1" shapeId="0">
      <text>
        <t xml:space="preserve">End Date
The WORKDAY() function is used to calculate the ending date so that the End Date does not fall on a weekend or a holiday. If you choose to use the Duration as the input, the End date is calculated as the Start date + Duration - 1.
</t>
      </text>
    </comment>
    <comment ref="I8" authorId="1" shapeId="0">
      <text>
        <t>Work Days
Enter the number of Work Days that you estimate this task will require to complete. Work Days exclude Saturday and Sunday and holidays listed in the Holidays worksheet.</t>
      </text>
    </comment>
    <comment ref="J8" authorId="1" shapeId="0">
      <text>
        <t>Percent Complete
Update the status of this task by entering the percent complete (between 0% and 100%).</t>
      </text>
    </comment>
    <comment ref="K8" authorId="1" shapeId="0">
      <text>
        <t>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ref="L8" authorId="1" shapeId="0">
      <text>
        <t>Calendar Days Complete
This column is calculated by multiplying the Work Days by the %Complete and using the WORKDAY() function to determine how many calendar days have been completed.
Note: The conditional formatting used to create the gantt chart references this column.</t>
      </text>
    </comment>
    <comment ref="M8" authorId="1" shapeId="0">
      <text>
        <t>Calendar Days Remaining
This column is calculated by subtracting the Days Complete from the Duration.</t>
      </text>
    </comment>
    <comment ref="N8" authorId="0" shapeId="0">
      <text>
        <t>Color (Optional):
Enter a color code in this column to change the color of the incomplete portion of the gantt chart.
1 - 6 = theme-based accent colors
k = black
r = red
o = orange
y = yellow
p = purple
g = green</t>
      </text>
    </comment>
  </commentList>
</comments>
</file>

<file path=xl/comments/comment4.xml><?xml version="1.0" encoding="utf-8"?>
<comments xmlns="http://schemas.openxmlformats.org/spreadsheetml/2006/main">
  <authors>
    <author>Vertex42</author>
  </authors>
  <commentList>
    <comment ref="C2" authorId="0" shapeId="0">
      <text>
        <t>See the Terms Of Use worksheet and the license agreement on Vertex42.com for information about terms of use, copyright, warranties, and disclaimers. Removing copyright notices is illegal.</t>
      </text>
    </comment>
    <comment ref="C25" authorId="0" shapeId="0">
      <text>
        <t>This is an example comment.</t>
      </text>
    </comment>
  </commentList>
</comments>
</file>

<file path=xl/comments/comment5.xml><?xml version="1.0" encoding="utf-8"?>
<comments xmlns="http://schemas.openxmlformats.org/spreadsheetml/2006/main">
  <authors>
    <author>Jon</author>
  </authors>
  <commentList>
    <comment ref="A3" authorId="0" shapeId="0">
      <text>
        <t xml:space="preserve">Limited Warranty
THE SOFTWARE AND ANY RELATED DOCUMENTATION ARE PROVIDED TO YOU "AS IS."
If you purchased this template from Vertex42.com through CLICKBANK, we warrant that for a period of 60 days after delivery of the Software to you, we will return the price you paid upon your request, provided that you destroy all copies of the Software and Documentation in your possession.
VERTEX42, LLC EXPRESSLY DISCLAIMS ALL OTHER REPRESENTATIONS, ORAL OR WRITTEN, TERMS, CONDITIONS, AND WARRANTIES, INCLUDING BUT NOT LIMITED TO, IMPLIED WARRANTIES OF MERCHANTABILITY, FITNESS FOR A PARTICULAR PURPOSE, AND NONINFRINGEMENT. WITHOUT LIMITING THE ABOVE YOU ACCEPT THAT THE SOFTWARE MAY NOT MEET YOUR REQUIREMENTS, OPERATE ERROR FREE, OR IDENTIFY ANY OR ALL ERRORS OR PROBLEMS, OR DO SO ACCURATELY. This Agreement does not affect any statutory rights you may have as a consumer.
Limitation of Liability
IN NO EVENT SHALL VERTEX42, LLC BE LIABLE TO YOU, FOR ANY DAMAGES, INCLUDING ANY LOST PROFITS, LOST SAVINGS, OR ANY OTHER DIRECT, INDIRECT, SPECIAL, INCIDENTAL, OR CONSEQUENTIAL DAMAGES ARISING FROM THE USE OR THE INABILITY TO USE THE SOFTWARE (EVEN IF WE OR AN AUTHORIZED DEALER OR DISTRIBUTOR HAS BEEN ADVISED OF THE POSSIBILITY OF THESE DAMAGES), OR ANY MISTAKES AND NEGLIGENCE IN DEVELOPING THIS SOFTWARE, OR FOR ANY CLAIM BY ANY OTHER PARTY. THE ORGANIZATION, BUSINESS, OR PERSON USING THIS SOFTWARE BEARS ALL RISKS AND RESPONSIBILITY FOR THE QUALITY AND PERFORMANCE OF THIS SOFTWARE.
Some states do not allow the limitation or exclusion of liability for incidental or consequential damages, so the above limitation may not apply to you.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1</col>
      <colOff>5124450</colOff>
      <row>0</row>
      <rowOff>9525</rowOff>
    </from>
    <to>
      <col>3</col>
      <colOff>85725</colOff>
      <row>1</row>
      <rowOff>0</rowOff>
    </to>
    <pic>
      <nvPicPr>
        <cNvPr id="5123" name="Picture 3" descr="vertex42_logo_40px">
          <a:hlinkClick xmlns:a="http://schemas.openxmlformats.org/drawingml/2006/main" xmlns:r="http://schemas.openxmlformats.org/officeDocument/2006/relationships"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943600" y="9525"/>
          <a:ext cx="1343025" cy="2857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161925</colOff>
      <row>123</row>
      <rowOff>57150</rowOff>
    </from>
    <to>
      <col>1</col>
      <colOff>5105400</colOff>
      <row>131</row>
      <rowOff>38100</rowOff>
    </to>
    <pic>
      <nvPicPr>
        <cNvPr id="5129" name="Picture 9"/>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981075" y="16440150"/>
          <a:ext cx="4943475" cy="1504950"/>
        </a:xfrm>
        <a:prstGeom xmlns:a="http://schemas.openxmlformats.org/drawingml/2006/main" prst="rect">
          <avLst/>
        </a:prstGeom>
        <a:noFill xmlns:a="http://schemas.openxmlformats.org/drawingml/2006/main"/>
        <a:ln xmlns:a="http://schemas.openxmlformats.org/drawingml/2006/main" w="1">
          <a:solidFill>
            <a:srgbClr val="808080"/>
          </a:solidFill>
          <a:prstDash val="dash"/>
          <a:miter lim="800000"/>
          <a:headEnd/>
          <a:tailEnd/>
        </a:ln>
      </spPr>
    </pic>
    <clientData/>
  </twoCellAnchor>
  <twoCellAnchor editAs="oneCell">
    <from>
      <col>1</col>
      <colOff>133350</colOff>
      <row>93</row>
      <rowOff>95250</rowOff>
    </from>
    <to>
      <col>1</col>
      <colOff>5162550</colOff>
      <row>97</row>
      <rowOff>19050</rowOff>
    </to>
    <pic>
      <nvPicPr>
        <cNvPr id="5130" name="Picture 1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b="18182"/>
        <a:stretch xmlns:a="http://schemas.openxmlformats.org/drawingml/2006/main">
          <a:fillRect/>
        </a:stretch>
      </blipFill>
      <spPr bwMode="auto">
        <a:xfrm xmlns:a="http://schemas.openxmlformats.org/drawingml/2006/main">
          <a:off x="952500" y="11334750"/>
          <a:ext cx="5029200" cy="685800"/>
        </a:xfrm>
        <a:prstGeom xmlns:a="http://schemas.openxmlformats.org/drawingml/2006/main" prst="rect">
          <avLst/>
        </a:prstGeom>
        <a:noFill xmlns:a="http://schemas.openxmlformats.org/drawingml/2006/main"/>
        <a:ln xmlns:a="http://schemas.openxmlformats.org/drawingml/2006/main" w="1">
          <a:solidFill>
            <a:srgbClr val="808080"/>
          </a:solidFill>
          <a:prstDash val="dash"/>
          <a:miter lim="800000"/>
          <a:headEnd/>
          <a:tailEnd/>
        </a:ln>
      </spPr>
    </pic>
    <clientData/>
  </twoCellAnchor>
  <twoCellAnchor editAs="oneCell">
    <from>
      <col>1</col>
      <colOff>123825</colOff>
      <row>192</row>
      <rowOff>114300</rowOff>
    </from>
    <to>
      <col>1</col>
      <colOff>4429125</colOff>
      <row>201</row>
      <rowOff>0</rowOff>
    </to>
    <pic>
      <nvPicPr>
        <cNvPr id="5131" name="Picture 11"/>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942975" y="24936450"/>
          <a:ext cx="4305300" cy="1343025"/>
        </a:xfrm>
        <a:prstGeom xmlns:a="http://schemas.openxmlformats.org/drawingml/2006/main" prst="rect">
          <avLst/>
        </a:prstGeom>
        <a:noFill xmlns:a="http://schemas.openxmlformats.org/drawingml/2006/main"/>
        <a:ln xmlns:a="http://schemas.openxmlformats.org/drawingml/2006/main" w="1">
          <a:solidFill>
            <a:srgbClr val="808080"/>
          </a:solidFill>
          <a:prstDash val="dash"/>
          <a:miter lim="800000"/>
          <a:headEnd/>
          <a:tailEnd/>
        </a:ln>
      </spPr>
    </pic>
    <clientData/>
  </twoCellAnchor>
</wsDr>
</file>

<file path=xl/drawings/drawing2.xml><?xml version="1.0" encoding="utf-8"?>
<wsDr xmlns="http://schemas.openxmlformats.org/drawingml/2006/spreadsheetDrawing">
  <twoCellAnchor editAs="oneCell">
    <from>
      <col>0</col>
      <colOff>4781550</colOff>
      <row>0</row>
      <rowOff>0</rowOff>
    </from>
    <to>
      <col>1</col>
      <colOff>0</colOff>
      <row>0</row>
      <rowOff>342900</rowOff>
    </to>
    <pic>
      <nvPicPr>
        <cNvPr id="2" name="Picture 1" descr="vertex42_logo_40px"/>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781550" y="0"/>
          <a:ext cx="1600200" cy="3429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www.vertex42.com/support.html" TargetMode="External" Id="rId1"/><Relationship Type="http://schemas.openxmlformats.org/officeDocument/2006/relationships/hyperlink" Target="http://www.vertex42.com/ExcelTemplates/excel-gantt-chart.html?xls" TargetMode="External" Id="rId2"/><Relationship Type="http://schemas.openxmlformats.org/officeDocument/2006/relationships/hyperlink" Target="http://www.screencast.com/t/T8UoGKOZtHY" TargetMode="External" Id="rId3"/><Relationship Type="http://schemas.openxmlformats.org/officeDocument/2006/relationships/hyperlink" Target="http://excel-formulas.blogspot.com/2011/09/formulas-for-week-numbering-in-excel.html" TargetMode="External" Id="rId4"/><Relationship Type="http://schemas.openxmlformats.org/officeDocument/2006/relationships/drawing" Target="/xl/drawings/drawing1.xml" Id="rId5"/><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www.vertex42.com/licensing/EULA_privateuse.html" TargetMode="External" Id="rId1"/><Relationship Type="http://schemas.openxmlformats.org/officeDocument/2006/relationships/drawing" Target="/xl/drawings/drawing2.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SK63"/>
  <sheetViews>
    <sheetView showGridLines="0" tabSelected="1" topLeftCell="A3" zoomScale="145" zoomScaleNormal="145" workbookViewId="0">
      <pane ySplit="11" topLeftCell="A14" activePane="bottomLeft" state="frozen"/>
      <selection pane="bottomLeft" activeCell="L3" sqref="L3"/>
      <selection activeCell="A3" sqref="A3"/>
    </sheetView>
  </sheetViews>
  <sheetFormatPr baseColWidth="8" defaultColWidth="9.140625" defaultRowHeight="12.75"/>
  <cols>
    <col width="4" customWidth="1" style="99" min="1" max="1"/>
    <col width="21.7109375" bestFit="1" customWidth="1" style="99" min="2" max="2"/>
    <col hidden="1" width="4.7109375" customWidth="1" style="99" min="3" max="3"/>
    <col hidden="1" width="3.7109375" customWidth="1" style="99" min="4" max="4"/>
    <col hidden="1" width="6.7109375" customWidth="1" style="99" min="5" max="5"/>
    <col hidden="1" width="3.7109375" customWidth="1" style="99" min="6" max="6"/>
    <col width="11" customWidth="1" style="99" min="7" max="7"/>
    <col width="11.7109375" customWidth="1" style="99" min="8" max="8"/>
    <col width="4.7109375" customWidth="1" style="99" min="9" max="10"/>
    <col width="7.7109375" customWidth="1" style="99" min="11" max="11"/>
    <col width="7" bestFit="1" customWidth="1" style="99" min="12" max="12"/>
    <col width="4.140625" bestFit="1" customWidth="1" style="99" min="13" max="13"/>
    <col hidden="1" width="4.42578125" customWidth="1" style="99" min="14" max="14"/>
    <col width="1.7109375" customWidth="1" style="99" min="15" max="15"/>
    <col width="0.42578125" customWidth="1" style="99" min="16" max="231"/>
    <col width="0.42578125" customWidth="1" style="99" min="232" max="253"/>
    <col width="0.42578125" customWidth="1" style="99" min="254" max="259"/>
    <col width="0.42578125" customWidth="1" style="99" min="260" max="295"/>
    <col width="0.42578125" customWidth="1" style="99" min="296" max="301"/>
    <col width="0.42578125" customWidth="1" style="99" min="302" max="337"/>
    <col width="0.42578125" customWidth="1" style="99" min="338" max="343"/>
    <col width="0.42578125" customWidth="1" style="99" min="344" max="393"/>
    <col width="0.42578125" customWidth="1" style="99" min="394" max="399"/>
    <col width="0.42578125" customWidth="1" style="99" min="400" max="421"/>
    <col width="0.42578125" customWidth="1" style="99" min="422" max="427"/>
    <col width="0.42578125" customWidth="1" style="99" min="428" max="463"/>
    <col width="0.42578125" customWidth="1" style="99" min="464" max="469"/>
    <col width="0.42578125" customWidth="1" style="99" min="470" max="505"/>
    <col width="9.140625" customWidth="1" style="99" min="506" max="16384"/>
  </cols>
  <sheetData>
    <row r="1" hidden="1" ht="19.5" customHeight="1" s="99">
      <c r="A1" s="40" t="inlineStr">
        <is>
          <t>Gantt Chart Template</t>
        </is>
      </c>
      <c r="B1" s="1" t="n"/>
      <c r="C1" s="112" t="n"/>
      <c r="D1" s="112" t="n"/>
      <c r="E1" s="112" t="n"/>
      <c r="F1" s="112" t="n"/>
      <c r="G1" s="31" t="n"/>
      <c r="H1" s="112" t="n"/>
      <c r="I1" s="31" t="inlineStr">
        <is>
          <t>© 2006-2014 Vertex42.com</t>
        </is>
      </c>
      <c r="J1" s="114" t="b">
        <v>0</v>
      </c>
      <c r="K1" s="115" t="n">
        <v>1</v>
      </c>
      <c r="L1" s="115" t="n">
        <v>1</v>
      </c>
      <c r="M1" s="115" t="n">
        <v>2</v>
      </c>
      <c r="N1" s="120" t="inlineStr">
        <is>
          <t>[Hide this row]</t>
        </is>
      </c>
    </row>
    <row r="2" hidden="1" ht="18" customHeight="1" s="99">
      <c r="L2" s="25" t="n"/>
    </row>
    <row r="3" ht="37.15" customHeight="1" s="99">
      <c r="A3" s="189" t="inlineStr">
        <is>
          <t>PROJECT NAME</t>
        </is>
      </c>
      <c r="B3" s="164" t="n"/>
      <c r="C3" s="164" t="n"/>
      <c r="D3" s="164" t="n"/>
      <c r="E3" s="164" t="n"/>
      <c r="F3" s="164" t="n"/>
      <c r="G3" s="164" t="n"/>
      <c r="H3" s="156" t="n"/>
      <c r="I3" s="156" t="n"/>
      <c r="J3" s="164" t="n"/>
      <c r="K3" s="164" t="n"/>
      <c r="L3" s="164" t="n"/>
      <c r="M3" s="164" t="n"/>
      <c r="N3" s="164" t="n"/>
    </row>
    <row r="4" ht="14.25" customHeight="1" s="99">
      <c r="A4" s="158" t="inlineStr">
        <is>
          <t>SCK Contractors</t>
        </is>
      </c>
      <c r="B4" s="164" t="n"/>
      <c r="C4" s="164" t="n"/>
      <c r="D4" s="164" t="n"/>
      <c r="E4" s="164" t="n"/>
      <c r="F4" s="164" t="n"/>
      <c r="G4" s="164" t="n"/>
      <c r="H4" s="164" t="n"/>
      <c r="I4" s="164" t="n"/>
      <c r="J4" s="164" t="n"/>
      <c r="K4" s="164" t="n"/>
      <c r="L4" s="164" t="n"/>
      <c r="M4" s="164" t="n"/>
      <c r="N4" s="164" t="n"/>
    </row>
    <row r="5">
      <c r="A5" s="161" t="n"/>
      <c r="B5" s="196" t="inlineStr">
        <is>
          <t xml:space="preserve">Project Lead: </t>
        </is>
      </c>
      <c r="C5" s="164" t="n"/>
      <c r="D5" s="164" t="n"/>
      <c r="E5" s="164" t="n"/>
      <c r="F5" s="164" t="n"/>
      <c r="G5" s="198" t="inlineStr">
        <is>
          <t>YOUR NAME</t>
        </is>
      </c>
      <c r="H5" s="249" t="n"/>
      <c r="I5" s="164" t="n"/>
      <c r="J5" s="164" t="n"/>
      <c r="K5" s="164" t="n"/>
      <c r="L5" s="164" t="n"/>
      <c r="M5" s="164" t="n"/>
      <c r="N5" s="164" t="n"/>
    </row>
    <row r="6" s="99">
      <c r="A6" s="164" t="n"/>
      <c r="B6" s="196" t="inlineStr">
        <is>
          <t xml:space="preserve">Project Start Date: </t>
        </is>
      </c>
      <c r="C6" s="164" t="n"/>
      <c r="D6" s="164" t="n"/>
      <c r="E6" s="164" t="n"/>
      <c r="F6" s="164" t="n"/>
      <c r="G6" s="250" t="n">
        <v>45200</v>
      </c>
      <c r="H6" s="251" t="n"/>
      <c r="I6" s="164" t="n"/>
      <c r="J6" s="161" t="inlineStr">
        <is>
          <t>Project Weeks:</t>
        </is>
      </c>
      <c r="K6" s="164" t="n"/>
      <c r="L6" s="162" t="n">
        <v>12.5</v>
      </c>
      <c r="M6" s="164" t="n"/>
      <c r="N6" s="161" t="inlineStr">
        <is>
          <t>Weeks</t>
        </is>
      </c>
    </row>
    <row r="7" ht="13.15" customHeight="1" s="99">
      <c r="A7" s="164" t="n"/>
      <c r="B7" s="196" t="inlineStr">
        <is>
          <t xml:space="preserve">Today's Date: </t>
        </is>
      </c>
      <c r="C7" s="164" t="n"/>
      <c r="D7" s="164" t="n"/>
      <c r="E7" s="164" t="n"/>
      <c r="F7" s="164" t="n"/>
      <c r="G7" s="252">
        <f>TODAY()</f>
        <v/>
      </c>
      <c r="H7" s="253" t="n"/>
      <c r="I7" s="164" t="n"/>
      <c r="J7" s="164" t="n"/>
      <c r="K7" s="164" t="n"/>
      <c r="L7" s="164" t="n"/>
      <c r="M7" s="165" t="inlineStr">
        <is>
          <t>[42]</t>
        </is>
      </c>
      <c r="N7" s="164" t="n"/>
      <c r="P7" s="6">
        <f>IF($L$1=1,(G6-WEEKDAY(G6,1)+M1)+7*(K1-1),IF($L$1=2,(G6-WEEKDAY(G6,1)+M1)+7*(K1-1),IF($L$1&gt;=3,DATE(YEAR(G6),MONTH(G6)+K1-1,1),0)))</f>
        <v/>
      </c>
      <c r="Q7" s="6">
        <f>IF($L$1=1,P7,IF($L$1=2,P7+1,IF($L$1=3,P7+4,IF($L$1=4,P7+13,1))))</f>
        <v/>
      </c>
      <c r="R7" s="6">
        <f>IF($L$1=1,Q7,IF($L$1=2,Q7+1,IF($L$1=3,Q7+4,IF($L$1=4,Q7+12,1))))</f>
        <v/>
      </c>
      <c r="S7" s="6">
        <f>IF($L$1=1,R7,IF($L$1=2,R7+1,IF($L$1=3,R7+4,IF($L$1=4,R7+13,1))))</f>
        <v/>
      </c>
      <c r="T7" s="6">
        <f>IF($L$1=1,S7,IF($L$1=2,S7+1,IF($L$1=3,S7+4,IF($L$1=4,S7+12,1))))</f>
        <v/>
      </c>
      <c r="U7" s="6">
        <f>IF($L$1=1,T7,IF($L$1=2,T7+1,IF($L$1=3,T7+4,IF($L$1=4,T7+13,1))))</f>
        <v/>
      </c>
      <c r="V7" s="6">
        <f>IF($L$1=1,U7,IF($L$1=2,U7+1,IF($L$1=3,U7+4,IF($L$1=4,U7+12,1))))</f>
        <v/>
      </c>
      <c r="W7" s="6">
        <f>IF($L$1=1,IF(AND(NOT($J$1),WEEKDAY(V7,$M$1+1)=4),V7+3,V7+1),IF($L$1=2,V7+1,IF($L$1=3,DATE(YEAR(P7),MONTH(P7)+1,1),IF($L$1=4,DATE(YEAR(P7),MONTH(P7)+3,1),1))))</f>
        <v/>
      </c>
      <c r="X7" s="6">
        <f>IF($L$1=1,W7,IF($L$1=2,W7+1,IF($L$1=3,W7+4,IF($L$1=4,W7+13,1))))</f>
        <v/>
      </c>
      <c r="Y7" s="6">
        <f>IF($L$1=1,X7,IF($L$1=2,X7+1,IF($L$1=3,X7+4,IF($L$1=4,X7+12,1))))</f>
        <v/>
      </c>
      <c r="Z7" s="6">
        <f>IF($L$1=1,Y7,IF($L$1=2,Y7+1,IF($L$1=3,Y7+4,IF($L$1=4,Y7+13,1))))</f>
        <v/>
      </c>
      <c r="AA7" s="6">
        <f>IF($L$1=1,Z7,IF($L$1=2,Z7+1,IF($L$1=3,Z7+4,IF($L$1=4,Z7+12,1))))</f>
        <v/>
      </c>
      <c r="AB7" s="6">
        <f>IF($L$1=1,AA7,IF($L$1=2,AA7+1,IF($L$1=3,AA7+4,IF($L$1=4,AA7+13,1))))</f>
        <v/>
      </c>
      <c r="AC7" s="6">
        <f>IF($L$1=1,AB7,IF($L$1=2,AB7+1,IF($L$1=3,AB7+4,IF($L$1=4,AB7+12,1))))</f>
        <v/>
      </c>
      <c r="AD7" s="6">
        <f>IF($L$1=1,IF(AND(NOT($J$1),WEEKDAY(AC7,$M$1+1)=4),AC7+3,AC7+1),IF($L$1=2,AC7+1,IF($L$1=3,DATE(YEAR(W7),MONTH(W7)+1,1),IF($L$1=4,DATE(YEAR(W7),MONTH(W7)+3,1),1))))</f>
        <v/>
      </c>
      <c r="AE7" s="6">
        <f>IF($L$1=1,AD7,IF($L$1=2,AD7+1,IF($L$1=3,AD7+4,IF($L$1=4,AD7+13,1))))</f>
        <v/>
      </c>
      <c r="AF7" s="6">
        <f>IF($L$1=1,AE7,IF($L$1=2,AE7+1,IF($L$1=3,AE7+4,IF($L$1=4,AE7+12,1))))</f>
        <v/>
      </c>
      <c r="AG7" s="6">
        <f>IF($L$1=1,AF7,IF($L$1=2,AF7+1,IF($L$1=3,AF7+4,IF($L$1=4,AF7+13,1))))</f>
        <v/>
      </c>
      <c r="AH7" s="6">
        <f>IF($L$1=1,AG7,IF($L$1=2,AG7+1,IF($L$1=3,AG7+4,IF($L$1=4,AG7+12,1))))</f>
        <v/>
      </c>
      <c r="AI7" s="6">
        <f>IF($L$1=1,AH7,IF($L$1=2,AH7+1,IF($L$1=3,AH7+4,IF($L$1=4,AH7+13,1))))</f>
        <v/>
      </c>
      <c r="AJ7" s="6">
        <f>IF($L$1=1,AI7,IF($L$1=2,AI7+1,IF($L$1=3,AI7+4,IF($L$1=4,AI7+12,1))))</f>
        <v/>
      </c>
      <c r="AK7" s="6">
        <f>IF($L$1=1,IF(AND(NOT($J$1),WEEKDAY(AJ7,$M$1+1)=4),AJ7+3,AJ7+1),IF($L$1=2,AJ7+1,IF($L$1=3,DATE(YEAR(AD7),MONTH(AD7)+1,1),IF($L$1=4,DATE(YEAR(AD7),MONTH(AD7)+3,1),1))))</f>
        <v/>
      </c>
      <c r="AL7" s="6">
        <f>IF($L$1=1,AK7,IF($L$1=2,AK7+1,IF($L$1=3,AK7+4,IF($L$1=4,AK7+13,1))))</f>
        <v/>
      </c>
      <c r="AM7" s="6">
        <f>IF($L$1=1,AL7,IF($L$1=2,AL7+1,IF($L$1=3,AL7+4,IF($L$1=4,AL7+12,1))))</f>
        <v/>
      </c>
      <c r="AN7" s="6">
        <f>IF($L$1=1,AM7,IF($L$1=2,AM7+1,IF($L$1=3,AM7+4,IF($L$1=4,AM7+13,1))))</f>
        <v/>
      </c>
      <c r="AO7" s="6">
        <f>IF($L$1=1,AN7,IF($L$1=2,AN7+1,IF($L$1=3,AN7+4,IF($L$1=4,AN7+12,1))))</f>
        <v/>
      </c>
      <c r="AP7" s="6">
        <f>IF($L$1=1,AO7,IF($L$1=2,AO7+1,IF($L$1=3,AO7+4,IF($L$1=4,AO7+13,1))))</f>
        <v/>
      </c>
      <c r="AQ7" s="6">
        <f>IF($L$1=1,AP7,IF($L$1=2,AP7+1,IF($L$1=3,AP7+4,IF($L$1=4,AP7+12,1))))</f>
        <v/>
      </c>
      <c r="AR7" s="6">
        <f>IF($L$1=1,IF(AND(NOT($J$1),WEEKDAY(AQ7,$M$1+1)=4),AQ7+3,AQ7+1),IF($L$1=2,AQ7+1,IF($L$1=3,DATE(YEAR(AK7),MONTH(AK7)+1,1),IF($L$1=4,DATE(YEAR(AK7),MONTH(AK7)+3,1),1))))</f>
        <v/>
      </c>
      <c r="AS7" s="6">
        <f>IF($L$1=1,AR7,IF($L$1=2,AR7+1,IF($L$1=3,AR7+4,IF($L$1=4,AR7+13,1))))</f>
        <v/>
      </c>
      <c r="AT7" s="6">
        <f>IF($L$1=1,AS7,IF($L$1=2,AS7+1,IF($L$1=3,AS7+4,IF($L$1=4,AS7+12,1))))</f>
        <v/>
      </c>
      <c r="AU7" s="6">
        <f>IF($L$1=1,AT7,IF($L$1=2,AT7+1,IF($L$1=3,AT7+4,IF($L$1=4,AT7+13,1))))</f>
        <v/>
      </c>
      <c r="AV7" s="6">
        <f>IF($L$1=1,AU7,IF($L$1=2,AU7+1,IF($L$1=3,AU7+4,IF($L$1=4,AU7+12,1))))</f>
        <v/>
      </c>
      <c r="AW7" s="6">
        <f>IF($L$1=1,AV7,IF($L$1=2,AV7+1,IF($L$1=3,AV7+4,IF($L$1=4,AV7+13,1))))</f>
        <v/>
      </c>
      <c r="AX7" s="6">
        <f>IF($L$1=1,AW7,IF($L$1=2,AW7+1,IF($L$1=3,AW7+4,IF($L$1=4,AW7+12,1))))</f>
        <v/>
      </c>
      <c r="AY7" s="6">
        <f>IF($L$1=1,IF(AND(NOT($J$1),WEEKDAY(AX7,$M$1+1)=4),AX7+3,AX7+1),IF($L$1=2,AX7+1,IF($L$1=3,DATE(YEAR(AR7),MONTH(AR7)+1,1),IF($L$1=4,DATE(YEAR(AR7),MONTH(AR7)+3,1),1))))</f>
        <v/>
      </c>
      <c r="AZ7" s="6">
        <f>IF($L$1=1,AY7,IF($L$1=2,AY7+1,IF($L$1=3,AY7+4,IF($L$1=4,AY7+13,1))))</f>
        <v/>
      </c>
      <c r="BA7" s="6">
        <f>IF($L$1=1,AZ7,IF($L$1=2,AZ7+1,IF($L$1=3,AZ7+4,IF($L$1=4,AZ7+12,1))))</f>
        <v/>
      </c>
      <c r="BB7" s="6">
        <f>IF($L$1=1,BA7,IF($L$1=2,BA7+1,IF($L$1=3,BA7+4,IF($L$1=4,BA7+13,1))))</f>
        <v/>
      </c>
      <c r="BC7" s="6">
        <f>IF($L$1=1,BB7,IF($L$1=2,BB7+1,IF($L$1=3,BB7+4,IF($L$1=4,BB7+12,1))))</f>
        <v/>
      </c>
      <c r="BD7" s="6">
        <f>IF($L$1=1,BC7,IF($L$1=2,BC7+1,IF($L$1=3,BC7+4,IF($L$1=4,BC7+13,1))))</f>
        <v/>
      </c>
      <c r="BE7" s="6">
        <f>IF($L$1=1,BD7,IF($L$1=2,BD7+1,IF($L$1=3,BD7+4,IF($L$1=4,BD7+12,1))))</f>
        <v/>
      </c>
      <c r="BF7" s="6">
        <f>IF($L$1=1,IF(AND(NOT($J$1),WEEKDAY(BE7,$M$1+1)=4),BE7+3,BE7+1),IF($L$1=2,BE7+1,IF($L$1=3,DATE(YEAR(AY7),MONTH(AY7)+1,1),IF($L$1=4,DATE(YEAR(AY7),MONTH(AY7)+3,1),1))))</f>
        <v/>
      </c>
      <c r="BG7" s="6">
        <f>IF($L$1=1,BF7,IF($L$1=2,BF7+1,IF($L$1=3,BF7+4,IF($L$1=4,BF7+13,1))))</f>
        <v/>
      </c>
      <c r="BH7" s="6">
        <f>IF($L$1=1,BG7,IF($L$1=2,BG7+1,IF($L$1=3,BG7+4,IF($L$1=4,BG7+12,1))))</f>
        <v/>
      </c>
      <c r="BI7" s="6">
        <f>IF($L$1=1,BH7,IF($L$1=2,BH7+1,IF($L$1=3,BH7+4,IF($L$1=4,BH7+13,1))))</f>
        <v/>
      </c>
      <c r="BJ7" s="6">
        <f>IF($L$1=1,BI7,IF($L$1=2,BI7+1,IF($L$1=3,BI7+4,IF($L$1=4,BI7+12,1))))</f>
        <v/>
      </c>
      <c r="BK7" s="6">
        <f>IF($L$1=1,BJ7,IF($L$1=2,BJ7+1,IF($L$1=3,BJ7+4,IF($L$1=4,BJ7+13,1))))</f>
        <v/>
      </c>
      <c r="BL7" s="6">
        <f>IF($L$1=1,BK7,IF($L$1=2,BK7+1,IF($L$1=3,BK7+4,IF($L$1=4,BK7+12,1))))</f>
        <v/>
      </c>
      <c r="BM7" s="6">
        <f>IF($L$1=1,IF(AND(NOT($J$1),WEEKDAY(BL7,$M$1+1)=4),BL7+3,BL7+1),IF($L$1=2,BL7+1,IF($L$1=3,DATE(YEAR(BF7),MONTH(BF7)+1,1),IF($L$1=4,DATE(YEAR(BF7),MONTH(BF7)+3,1),1))))</f>
        <v/>
      </c>
      <c r="BN7" s="6">
        <f>IF($L$1=1,BM7,IF($L$1=2,BM7+1,IF($L$1=3,BM7+4,IF($L$1=4,BM7+13,1))))</f>
        <v/>
      </c>
      <c r="BO7" s="6">
        <f>IF($L$1=1,BN7,IF($L$1=2,BN7+1,IF($L$1=3,BN7+4,IF($L$1=4,BN7+12,1))))</f>
        <v/>
      </c>
      <c r="BP7" s="6">
        <f>IF($L$1=1,BO7,IF($L$1=2,BO7+1,IF($L$1=3,BO7+4,IF($L$1=4,BO7+13,1))))</f>
        <v/>
      </c>
      <c r="BQ7" s="6">
        <f>IF($L$1=1,BP7,IF($L$1=2,BP7+1,IF($L$1=3,BP7+4,IF($L$1=4,BP7+12,1))))</f>
        <v/>
      </c>
      <c r="BR7" s="6">
        <f>IF($L$1=1,BQ7,IF($L$1=2,BQ7+1,IF($L$1=3,BQ7+4,IF($L$1=4,BQ7+13,1))))</f>
        <v/>
      </c>
      <c r="BS7" s="6">
        <f>IF($L$1=1,BR7,IF($L$1=2,BR7+1,IF($L$1=3,BR7+4,IF($L$1=4,BR7+12,1))))</f>
        <v/>
      </c>
      <c r="BT7" s="6">
        <f>IF($L$1=1,IF(AND(NOT($J$1),WEEKDAY(BS7,$M$1+1)=4),BS7+3,BS7+1),IF($L$1=2,BS7+1,IF($L$1=3,DATE(YEAR(BM7),MONTH(BM7)+1,1),IF($L$1=4,DATE(YEAR(BM7),MONTH(BM7)+3,1),1))))</f>
        <v/>
      </c>
      <c r="BU7" s="6">
        <f>IF($L$1=1,BT7,IF($L$1=2,BT7+1,IF($L$1=3,BT7+4,IF($L$1=4,BT7+13,1))))</f>
        <v/>
      </c>
      <c r="BV7" s="6">
        <f>IF($L$1=1,BU7,IF($L$1=2,BU7+1,IF($L$1=3,BU7+4,IF($L$1=4,BU7+12,1))))</f>
        <v/>
      </c>
      <c r="BW7" s="6">
        <f>IF($L$1=1,BV7,IF($L$1=2,BV7+1,IF($L$1=3,BV7+4,IF($L$1=4,BV7+13,1))))</f>
        <v/>
      </c>
      <c r="BX7" s="6">
        <f>IF($L$1=1,BW7,IF($L$1=2,BW7+1,IF($L$1=3,BW7+4,IF($L$1=4,BW7+12,1))))</f>
        <v/>
      </c>
      <c r="BY7" s="6">
        <f>IF($L$1=1,BX7,IF($L$1=2,BX7+1,IF($L$1=3,BX7+4,IF($L$1=4,BX7+13,1))))</f>
        <v/>
      </c>
      <c r="BZ7" s="6">
        <f>IF($L$1=1,BY7,IF($L$1=2,BY7+1,IF($L$1=3,BY7+4,IF($L$1=4,BY7+12,1))))</f>
        <v/>
      </c>
      <c r="CA7" s="6">
        <f>IF($L$1=1,IF(AND(NOT($J$1),WEEKDAY(BZ7,$M$1+1)=4),BZ7+3,BZ7+1),IF($L$1=2,BZ7+1,IF($L$1=3,DATE(YEAR(BT7),MONTH(BT7)+1,1),IF($L$1=4,DATE(YEAR(BT7),MONTH(BT7)+3,1),1))))</f>
        <v/>
      </c>
      <c r="CB7" s="6">
        <f>IF($L$1=1,CA7,IF($L$1=2,CA7+1,IF($L$1=3,CA7+4,IF($L$1=4,CA7+13,1))))</f>
        <v/>
      </c>
      <c r="CC7" s="6">
        <f>IF($L$1=1,CB7,IF($L$1=2,CB7+1,IF($L$1=3,CB7+4,IF($L$1=4,CB7+12,1))))</f>
        <v/>
      </c>
      <c r="CD7" s="6">
        <f>IF($L$1=1,CC7,IF($L$1=2,CC7+1,IF($L$1=3,CC7+4,IF($L$1=4,CC7+13,1))))</f>
        <v/>
      </c>
      <c r="CE7" s="6">
        <f>IF($L$1=1,CD7,IF($L$1=2,CD7+1,IF($L$1=3,CD7+4,IF($L$1=4,CD7+12,1))))</f>
        <v/>
      </c>
      <c r="CF7" s="6">
        <f>IF($L$1=1,CE7,IF($L$1=2,CE7+1,IF($L$1=3,CE7+4,IF($L$1=4,CE7+13,1))))</f>
        <v/>
      </c>
      <c r="CG7" s="6">
        <f>IF($L$1=1,CF7,IF($L$1=2,CF7+1,IF($L$1=3,CF7+4,IF($L$1=4,CF7+12,1))))</f>
        <v/>
      </c>
      <c r="CH7" s="6">
        <f>IF($L$1=1,IF(AND(NOT($J$1),WEEKDAY(CG7,$M$1+1)=4),CG7+3,CG7+1),IF($L$1=2,CG7+1,IF($L$1=3,DATE(YEAR(CA7),MONTH(CA7)+1,1),IF($L$1=4,DATE(YEAR(CA7),MONTH(CA7)+3,1),1))))</f>
        <v/>
      </c>
      <c r="CI7" s="6">
        <f>IF($L$1=1,CH7,IF($L$1=2,CH7+1,IF($L$1=3,CH7+4,IF($L$1=4,CH7+13,1))))</f>
        <v/>
      </c>
      <c r="CJ7" s="6">
        <f>IF($L$1=1,CI7,IF($L$1=2,CI7+1,IF($L$1=3,CI7+4,IF($L$1=4,CI7+12,1))))</f>
        <v/>
      </c>
      <c r="CK7" s="6">
        <f>IF($L$1=1,CJ7,IF($L$1=2,CJ7+1,IF($L$1=3,CJ7+4,IF($L$1=4,CJ7+13,1))))</f>
        <v/>
      </c>
      <c r="CL7" s="6">
        <f>IF($L$1=1,CK7,IF($L$1=2,CK7+1,IF($L$1=3,CK7+4,IF($L$1=4,CK7+12,1))))</f>
        <v/>
      </c>
      <c r="CM7" s="6">
        <f>IF($L$1=1,CL7,IF($L$1=2,CL7+1,IF($L$1=3,CL7+4,IF($L$1=4,CL7+13,1))))</f>
        <v/>
      </c>
      <c r="CN7" s="6">
        <f>IF($L$1=1,CM7,IF($L$1=2,CM7+1,IF($L$1=3,CM7+4,IF($L$1=4,CM7+12,1))))</f>
        <v/>
      </c>
      <c r="CO7" s="6">
        <f>IF($L$1=1,IF(AND(NOT($J$1),WEEKDAY(CN7,$M$1+1)=4),CN7+3,CN7+1),IF($L$1=2,CN7+1,IF($L$1=3,DATE(YEAR(CH7),MONTH(CH7)+1,1),IF($L$1=4,DATE(YEAR(CH7),MONTH(CH7)+3,1),1))))</f>
        <v/>
      </c>
      <c r="CP7" s="6">
        <f>IF($L$1=1,CO7,IF($L$1=2,CO7+1,IF($L$1=3,CO7+4,IF($L$1=4,CO7+13,1))))</f>
        <v/>
      </c>
      <c r="CQ7" s="6">
        <f>IF($L$1=1,CP7,IF($L$1=2,CP7+1,IF($L$1=3,CP7+4,IF($L$1=4,CP7+12,1))))</f>
        <v/>
      </c>
      <c r="CR7" s="6">
        <f>IF($L$1=1,CQ7,IF($L$1=2,CQ7+1,IF($L$1=3,CQ7+4,IF($L$1=4,CQ7+13,1))))</f>
        <v/>
      </c>
      <c r="CS7" s="6">
        <f>IF($L$1=1,CR7,IF($L$1=2,CR7+1,IF($L$1=3,CR7+4,IF($L$1=4,CR7+12,1))))</f>
        <v/>
      </c>
      <c r="CT7" s="6">
        <f>IF($L$1=1,CS7,IF($L$1=2,CS7+1,IF($L$1=3,CS7+4,IF($L$1=4,CS7+13,1))))</f>
        <v/>
      </c>
      <c r="CU7" s="6">
        <f>IF($L$1=1,CT7,IF($L$1=2,CT7+1,IF($L$1=3,CT7+4,IF($L$1=4,CT7+12,1))))</f>
        <v/>
      </c>
      <c r="CV7" s="6">
        <f>IF($L$1=1,IF(AND(NOT($J$1),WEEKDAY(CU7,$M$1+1)=4),CU7+3,CU7+1),IF($L$1=2,CU7+1,IF($L$1=3,DATE(YEAR(CO7),MONTH(CO7)+1,1),IF($L$1=4,DATE(YEAR(CO7),MONTH(CO7)+3,1),1))))</f>
        <v/>
      </c>
      <c r="CW7" s="6">
        <f>IF($L$1=1,CV7,IF($L$1=2,CV7+1,IF($L$1=3,CV7+4,IF($L$1=4,CV7+13,1))))</f>
        <v/>
      </c>
      <c r="CX7" s="6">
        <f>IF($L$1=1,CW7,IF($L$1=2,CW7+1,IF($L$1=3,CW7+4,IF($L$1=4,CW7+12,1))))</f>
        <v/>
      </c>
      <c r="CY7" s="6">
        <f>IF($L$1=1,CX7,IF($L$1=2,CX7+1,IF($L$1=3,CX7+4,IF($L$1=4,CX7+13,1))))</f>
        <v/>
      </c>
      <c r="CZ7" s="6">
        <f>IF($L$1=1,CY7,IF($L$1=2,CY7+1,IF($L$1=3,CY7+4,IF($L$1=4,CY7+12,1))))</f>
        <v/>
      </c>
      <c r="DA7" s="6">
        <f>IF($L$1=1,CZ7,IF($L$1=2,CZ7+1,IF($L$1=3,CZ7+4,IF($L$1=4,CZ7+13,1))))</f>
        <v/>
      </c>
      <c r="DB7" s="6">
        <f>IF($L$1=1,DA7,IF($L$1=2,DA7+1,IF($L$1=3,DA7+4,IF($L$1=4,DA7+12,1))))</f>
        <v/>
      </c>
      <c r="DC7" s="6">
        <f>IF($L$1=1,IF(AND(NOT($J$1),WEEKDAY(DB7,$M$1+1)=4),DB7+3,DB7+1),IF($L$1=2,DB7+1,IF($L$1=3,DATE(YEAR(CV7),MONTH(CV7)+1,1),IF($L$1=4,DATE(YEAR(CV7),MONTH(CV7)+3,1),1))))</f>
        <v/>
      </c>
      <c r="DD7" s="6">
        <f>IF($L$1=1,DC7,IF($L$1=2,DC7+1,IF($L$1=3,DC7+4,IF($L$1=4,DC7+13,1))))</f>
        <v/>
      </c>
      <c r="DE7" s="6">
        <f>IF($L$1=1,DD7,IF($L$1=2,DD7+1,IF($L$1=3,DD7+4,IF($L$1=4,DD7+12,1))))</f>
        <v/>
      </c>
      <c r="DF7" s="6">
        <f>IF($L$1=1,DE7,IF($L$1=2,DE7+1,IF($L$1=3,DE7+4,IF($L$1=4,DE7+13,1))))</f>
        <v/>
      </c>
      <c r="DG7" s="6">
        <f>IF($L$1=1,DF7,IF($L$1=2,DF7+1,IF($L$1=3,DF7+4,IF($L$1=4,DF7+12,1))))</f>
        <v/>
      </c>
      <c r="DH7" s="6">
        <f>IF($L$1=1,DG7,IF($L$1=2,DG7+1,IF($L$1=3,DG7+4,IF($L$1=4,DG7+13,1))))</f>
        <v/>
      </c>
      <c r="DI7" s="6">
        <f>IF($L$1=1,DH7,IF($L$1=2,DH7+1,IF($L$1=3,DH7+4,IF($L$1=4,DH7+12,1))))</f>
        <v/>
      </c>
      <c r="DJ7" s="6">
        <f>IF($L$1=1,IF(AND(NOT($J$1),WEEKDAY(DI7,$M$1+1)=4),DI7+3,DI7+1),IF($L$1=2,DI7+1,IF($L$1=3,DATE(YEAR(DC7),MONTH(DC7)+1,1),IF($L$1=4,DATE(YEAR(DC7),MONTH(DC7)+3,1),1))))</f>
        <v/>
      </c>
      <c r="DK7" s="6">
        <f>IF($L$1=1,DJ7,IF($L$1=2,DJ7+1,IF($L$1=3,DJ7+4,IF($L$1=4,DJ7+13,1))))</f>
        <v/>
      </c>
      <c r="DL7" s="6">
        <f>IF($L$1=1,DK7,IF($L$1=2,DK7+1,IF($L$1=3,DK7+4,IF($L$1=4,DK7+12,1))))</f>
        <v/>
      </c>
      <c r="DM7" s="6">
        <f>IF($L$1=1,DL7,IF($L$1=2,DL7+1,IF($L$1=3,DL7+4,IF($L$1=4,DL7+13,1))))</f>
        <v/>
      </c>
      <c r="DN7" s="6">
        <f>IF($L$1=1,DM7,IF($L$1=2,DM7+1,IF($L$1=3,DM7+4,IF($L$1=4,DM7+12,1))))</f>
        <v/>
      </c>
      <c r="DO7" s="6">
        <f>IF($L$1=1,DN7,IF($L$1=2,DN7+1,IF($L$1=3,DN7+4,IF($L$1=4,DN7+13,1))))</f>
        <v/>
      </c>
      <c r="DP7" s="6">
        <f>IF($L$1=1,DO7,IF($L$1=2,DO7+1,IF($L$1=3,DO7+4,IF($L$1=4,DO7+12,1))))</f>
        <v/>
      </c>
      <c r="DQ7" s="6">
        <f>IF($L$1=1,IF(AND(NOT($J$1),WEEKDAY(DP7,$M$1+1)=4),DP7+3,DP7+1),IF($L$1=2,DP7+1,IF($L$1=3,DATE(YEAR(DJ7),MONTH(DJ7)+1,1),IF($L$1=4,DATE(YEAR(DJ7),MONTH(DJ7)+3,1),1))))</f>
        <v/>
      </c>
      <c r="DR7" s="6">
        <f>IF($L$1=1,DQ7,IF($L$1=2,DQ7+1,IF($L$1=3,DQ7+4,IF($L$1=4,DQ7+13,1))))</f>
        <v/>
      </c>
      <c r="DS7" s="6">
        <f>IF($L$1=1,DR7,IF($L$1=2,DR7+1,IF($L$1=3,DR7+4,IF($L$1=4,DR7+12,1))))</f>
        <v/>
      </c>
      <c r="DT7" s="6">
        <f>IF($L$1=1,DS7,IF($L$1=2,DS7+1,IF($L$1=3,DS7+4,IF($L$1=4,DS7+13,1))))</f>
        <v/>
      </c>
      <c r="DU7" s="6">
        <f>IF($L$1=1,DT7,IF($L$1=2,DT7+1,IF($L$1=3,DT7+4,IF($L$1=4,DT7+12,1))))</f>
        <v/>
      </c>
      <c r="DV7" s="6">
        <f>IF($L$1=1,DU7,IF($L$1=2,DU7+1,IF($L$1=3,DU7+4,IF($L$1=4,DU7+13,1))))</f>
        <v/>
      </c>
      <c r="DW7" s="6">
        <f>IF($L$1=1,DV7,IF($L$1=2,DV7+1,IF($L$1=3,DV7+4,IF($L$1=4,DV7+12,1))))</f>
        <v/>
      </c>
      <c r="DX7" s="6">
        <f>IF($L$1=1,IF(AND(NOT($J$1),WEEKDAY(DW7,$M$1+1)=4),DW7+3,DW7+1),IF($L$1=2,DW7+1,IF($L$1=3,DATE(YEAR(DQ7),MONTH(DQ7)+1,1),IF($L$1=4,DATE(YEAR(DQ7),MONTH(DQ7)+3,1),1))))</f>
        <v/>
      </c>
      <c r="DY7" s="6">
        <f>IF($L$1=1,DX7,IF($L$1=2,DX7+1,IF($L$1=3,DX7+4,IF($L$1=4,DX7+13,1))))</f>
        <v/>
      </c>
      <c r="DZ7" s="6">
        <f>IF($L$1=1,DY7,IF($L$1=2,DY7+1,IF($L$1=3,DY7+4,IF($L$1=4,DY7+12,1))))</f>
        <v/>
      </c>
      <c r="EA7" s="6">
        <f>IF($L$1=1,DZ7,IF($L$1=2,DZ7+1,IF($L$1=3,DZ7+4,IF($L$1=4,DZ7+13,1))))</f>
        <v/>
      </c>
      <c r="EB7" s="6">
        <f>IF($L$1=1,EA7,IF($L$1=2,EA7+1,IF($L$1=3,EA7+4,IF($L$1=4,EA7+12,1))))</f>
        <v/>
      </c>
      <c r="EC7" s="6">
        <f>IF($L$1=1,EB7,IF($L$1=2,EB7+1,IF($L$1=3,EB7+4,IF($L$1=4,EB7+13,1))))</f>
        <v/>
      </c>
      <c r="ED7" s="6">
        <f>IF($L$1=1,EC7,IF($L$1=2,EC7+1,IF($L$1=3,EC7+4,IF($L$1=4,EC7+12,1))))</f>
        <v/>
      </c>
      <c r="EE7" s="6">
        <f>IF($L$1=1,IF(AND(NOT($J$1),WEEKDAY(ED7,$M$1+1)=4),ED7+3,ED7+1),IF($L$1=2,ED7+1,IF($L$1=3,DATE(YEAR(DX7),MONTH(DX7)+1,1),IF($L$1=4,DATE(YEAR(DX7),MONTH(DX7)+3,1),1))))</f>
        <v/>
      </c>
      <c r="EF7" s="6">
        <f>IF($L$1=1,EE7,IF($L$1=2,EE7+1,IF($L$1=3,EE7+4,IF($L$1=4,EE7+13,1))))</f>
        <v/>
      </c>
      <c r="EG7" s="6">
        <f>IF($L$1=1,EF7,IF($L$1=2,EF7+1,IF($L$1=3,EF7+4,IF($L$1=4,EF7+12,1))))</f>
        <v/>
      </c>
      <c r="EH7" s="6">
        <f>IF($L$1=1,EG7,IF($L$1=2,EG7+1,IF($L$1=3,EG7+4,IF($L$1=4,EG7+13,1))))</f>
        <v/>
      </c>
      <c r="EI7" s="6">
        <f>IF($L$1=1,EH7,IF($L$1=2,EH7+1,IF($L$1=3,EH7+4,IF($L$1=4,EH7+12,1))))</f>
        <v/>
      </c>
      <c r="EJ7" s="6">
        <f>IF($L$1=1,EI7,IF($L$1=2,EI7+1,IF($L$1=3,EI7+4,IF($L$1=4,EI7+13,1))))</f>
        <v/>
      </c>
      <c r="EK7" s="6">
        <f>IF($L$1=1,EJ7,IF($L$1=2,EJ7+1,IF($L$1=3,EJ7+4,IF($L$1=4,EJ7+12,1))))</f>
        <v/>
      </c>
      <c r="EL7" s="6">
        <f>IF($L$1=1,IF(AND(NOT($J$1),WEEKDAY(EK7,$M$1+1)=4),EK7+3,EK7+1),IF($L$1=2,EK7+1,IF($L$1=3,DATE(YEAR(EE7),MONTH(EE7)+1,1),IF($L$1=4,DATE(YEAR(EE7),MONTH(EE7)+3,1),1))))</f>
        <v/>
      </c>
      <c r="EM7" s="6">
        <f>IF($L$1=1,EL7,IF($L$1=2,EL7+1,IF($L$1=3,EL7+4,IF($L$1=4,EL7+13,1))))</f>
        <v/>
      </c>
      <c r="EN7" s="6">
        <f>IF($L$1=1,EM7,IF($L$1=2,EM7+1,IF($L$1=3,EM7+4,IF($L$1=4,EM7+12,1))))</f>
        <v/>
      </c>
      <c r="EO7" s="6">
        <f>IF($L$1=1,EN7,IF($L$1=2,EN7+1,IF($L$1=3,EN7+4,IF($L$1=4,EN7+13,1))))</f>
        <v/>
      </c>
      <c r="EP7" s="6">
        <f>IF($L$1=1,EO7,IF($L$1=2,EO7+1,IF($L$1=3,EO7+4,IF($L$1=4,EO7+12,1))))</f>
        <v/>
      </c>
      <c r="EQ7" s="6">
        <f>IF($L$1=1,EP7,IF($L$1=2,EP7+1,IF($L$1=3,EP7+4,IF($L$1=4,EP7+13,1))))</f>
        <v/>
      </c>
      <c r="ER7" s="6">
        <f>IF($L$1=1,EQ7,IF($L$1=2,EQ7+1,IF($L$1=3,EQ7+4,IF($L$1=4,EQ7+12,1))))</f>
        <v/>
      </c>
      <c r="ES7" s="6">
        <f>IF($L$1=1,IF(AND(NOT($J$1),WEEKDAY(ER7,$M$1+1)=4),ER7+3,ER7+1),IF($L$1=2,ER7+1,IF($L$1=3,DATE(YEAR(EL7),MONTH(EL7)+1,1),IF($L$1=4,DATE(YEAR(EL7),MONTH(EL7)+3,1),1))))</f>
        <v/>
      </c>
      <c r="ET7" s="6">
        <f>IF($L$1=1,ES7,IF($L$1=2,ES7+1,IF($L$1=3,ES7+4,IF($L$1=4,ES7+13,1))))</f>
        <v/>
      </c>
      <c r="EU7" s="6">
        <f>IF($L$1=1,ET7,IF($L$1=2,ET7+1,IF($L$1=3,ET7+4,IF($L$1=4,ET7+12,1))))</f>
        <v/>
      </c>
      <c r="EV7" s="6">
        <f>IF($L$1=1,EU7,IF($L$1=2,EU7+1,IF($L$1=3,EU7+4,IF($L$1=4,EU7+13,1))))</f>
        <v/>
      </c>
      <c r="EW7" s="6">
        <f>IF($L$1=1,EV7,IF($L$1=2,EV7+1,IF($L$1=3,EV7+4,IF($L$1=4,EV7+12,1))))</f>
        <v/>
      </c>
      <c r="EX7" s="6">
        <f>IF($L$1=1,EW7,IF($L$1=2,EW7+1,IF($L$1=3,EW7+4,IF($L$1=4,EW7+13,1))))</f>
        <v/>
      </c>
      <c r="EY7" s="6">
        <f>IF($L$1=1,EX7,IF($L$1=2,EX7+1,IF($L$1=3,EX7+4,IF($L$1=4,EX7+12,1))))</f>
        <v/>
      </c>
      <c r="EZ7" s="6">
        <f>IF($L$1=1,IF(AND(NOT($J$1),WEEKDAY(EY7,$M$1+1)=4),EY7+3,EY7+1),IF($L$1=2,EY7+1,IF($L$1=3,DATE(YEAR(ES7),MONTH(ES7)+1,1),IF($L$1=4,DATE(YEAR(ES7),MONTH(ES7)+3,1),1))))</f>
        <v/>
      </c>
      <c r="FA7" s="6">
        <f>IF($L$1=1,EZ7,IF($L$1=2,EZ7+1,IF($L$1=3,EZ7+4,IF($L$1=4,EZ7+13,1))))</f>
        <v/>
      </c>
      <c r="FB7" s="6">
        <f>IF($L$1=1,FA7,IF($L$1=2,FA7+1,IF($L$1=3,FA7+4,IF($L$1=4,FA7+12,1))))</f>
        <v/>
      </c>
      <c r="FC7" s="6">
        <f>IF($L$1=1,FB7,IF($L$1=2,FB7+1,IF($L$1=3,FB7+4,IF($L$1=4,FB7+13,1))))</f>
        <v/>
      </c>
      <c r="FD7" s="6">
        <f>IF($L$1=1,FC7,IF($L$1=2,FC7+1,IF($L$1=3,FC7+4,IF($L$1=4,FC7+12,1))))</f>
        <v/>
      </c>
      <c r="FE7" s="6">
        <f>IF($L$1=1,FD7,IF($L$1=2,FD7+1,IF($L$1=3,FD7+4,IF($L$1=4,FD7+13,1))))</f>
        <v/>
      </c>
      <c r="FF7" s="6">
        <f>IF($L$1=1,FE7,IF($L$1=2,FE7+1,IF($L$1=3,FE7+4,IF($L$1=4,FE7+12,1))))</f>
        <v/>
      </c>
      <c r="FG7" s="6">
        <f>IF($L$1=1,IF(AND(NOT($J$1),WEEKDAY(FF7,$M$1+1)=4),FF7+3,FF7+1),IF($L$1=2,FF7+1,IF($L$1=3,DATE(YEAR(EZ7),MONTH(EZ7)+1,1),IF($L$1=4,DATE(YEAR(EZ7),MONTH(EZ7)+3,1),1))))</f>
        <v/>
      </c>
      <c r="FH7" s="6">
        <f>IF($L$1=1,FG7,IF($L$1=2,FG7+1,IF($L$1=3,FG7+4,IF($L$1=4,FG7+13,1))))</f>
        <v/>
      </c>
      <c r="FI7" s="6">
        <f>IF($L$1=1,FH7,IF($L$1=2,FH7+1,IF($L$1=3,FH7+4,IF($L$1=4,FH7+12,1))))</f>
        <v/>
      </c>
      <c r="FJ7" s="6">
        <f>IF($L$1=1,FI7,IF($L$1=2,FI7+1,IF($L$1=3,FI7+4,IF($L$1=4,FI7+13,1))))</f>
        <v/>
      </c>
      <c r="FK7" s="6">
        <f>IF($L$1=1,FJ7,IF($L$1=2,FJ7+1,IF($L$1=3,FJ7+4,IF($L$1=4,FJ7+12,1))))</f>
        <v/>
      </c>
      <c r="FL7" s="6">
        <f>IF($L$1=1,FK7,IF($L$1=2,FK7+1,IF($L$1=3,FK7+4,IF($L$1=4,FK7+13,1))))</f>
        <v/>
      </c>
      <c r="FM7" s="6">
        <f>IF($L$1=1,FL7,IF($L$1=2,FL7+1,IF($L$1=3,FL7+4,IF($L$1=4,FL7+12,1))))</f>
        <v/>
      </c>
      <c r="FN7" s="6">
        <f>IF($L$1=1,IF(AND(NOT($J$1),WEEKDAY(FM7,$M$1+1)=4),FM7+3,FM7+1),IF($L$1=2,FM7+1,IF($L$1=3,DATE(YEAR(FG7),MONTH(FG7)+1,1),IF($L$1=4,DATE(YEAR(FG7),MONTH(FG7)+3,1),1))))</f>
        <v/>
      </c>
      <c r="FO7" s="6">
        <f>IF($L$1=1,FN7,IF($L$1=2,FN7+1,IF($L$1=3,FN7+4,IF($L$1=4,FN7+13,1))))</f>
        <v/>
      </c>
      <c r="FP7" s="6">
        <f>IF($L$1=1,FO7,IF($L$1=2,FO7+1,IF($L$1=3,FO7+4,IF($L$1=4,FO7+12,1))))</f>
        <v/>
      </c>
      <c r="FQ7" s="6">
        <f>IF($L$1=1,FP7,IF($L$1=2,FP7+1,IF($L$1=3,FP7+4,IF($L$1=4,FP7+13,1))))</f>
        <v/>
      </c>
      <c r="FR7" s="6">
        <f>IF($L$1=1,FQ7,IF($L$1=2,FQ7+1,IF($L$1=3,FQ7+4,IF($L$1=4,FQ7+12,1))))</f>
        <v/>
      </c>
      <c r="FS7" s="6">
        <f>IF($L$1=1,FR7,IF($L$1=2,FR7+1,IF($L$1=3,FR7+4,IF($L$1=4,FR7+13,1))))</f>
        <v/>
      </c>
      <c r="FT7" s="6">
        <f>IF($L$1=1,FS7,IF($L$1=2,FS7+1,IF($L$1=3,FS7+4,IF($L$1=4,FS7+12,1))))</f>
        <v/>
      </c>
      <c r="FU7" s="6">
        <f>IF($L$1=1,IF(AND(NOT($J$1),WEEKDAY(FT7,$M$1+1)=4),FT7+3,FT7+1),IF($L$1=2,FT7+1,IF($L$1=3,DATE(YEAR(FN7),MONTH(FN7)+1,1),IF($L$1=4,DATE(YEAR(FN7),MONTH(FN7)+3,1),1))))</f>
        <v/>
      </c>
      <c r="FV7" s="6">
        <f>IF($L$1=1,FU7,IF($L$1=2,FU7+1,IF($L$1=3,FU7+4,IF($L$1=4,FU7+13,1))))</f>
        <v/>
      </c>
      <c r="FW7" s="6">
        <f>IF($L$1=1,FV7,IF($L$1=2,FV7+1,IF($L$1=3,FV7+4,IF($L$1=4,FV7+12,1))))</f>
        <v/>
      </c>
      <c r="FX7" s="6">
        <f>IF($L$1=1,FW7,IF($L$1=2,FW7+1,IF($L$1=3,FW7+4,IF($L$1=4,FW7+13,1))))</f>
        <v/>
      </c>
      <c r="FY7" s="6">
        <f>IF($L$1=1,FX7,IF($L$1=2,FX7+1,IF($L$1=3,FX7+4,IF($L$1=4,FX7+12,1))))</f>
        <v/>
      </c>
      <c r="FZ7" s="6">
        <f>IF($L$1=1,FY7,IF($L$1=2,FY7+1,IF($L$1=3,FY7+4,IF($L$1=4,FY7+13,1))))</f>
        <v/>
      </c>
      <c r="GA7" s="6">
        <f>IF($L$1=1,FZ7,IF($L$1=2,FZ7+1,IF($L$1=3,FZ7+4,IF($L$1=4,FZ7+12,1))))</f>
        <v/>
      </c>
      <c r="GB7" s="6">
        <f>IF($L$1=1,IF(AND(NOT($J$1),WEEKDAY(GA7,$M$1+1)=4),GA7+3,GA7+1),IF($L$1=2,GA7+1,IF($L$1=3,DATE(YEAR(FU7),MONTH(FU7)+1,1),IF($L$1=4,DATE(YEAR(FU7),MONTH(FU7)+3,1),1))))</f>
        <v/>
      </c>
      <c r="GC7" s="6">
        <f>IF($L$1=1,GB7,IF($L$1=2,GB7+1,IF($L$1=3,GB7+4,IF($L$1=4,GB7+13,1))))</f>
        <v/>
      </c>
      <c r="GD7" s="6">
        <f>IF($L$1=1,GC7,IF($L$1=2,GC7+1,IF($L$1=3,GC7+4,IF($L$1=4,GC7+12,1))))</f>
        <v/>
      </c>
      <c r="GE7" s="6">
        <f>IF($L$1=1,GD7,IF($L$1=2,GD7+1,IF($L$1=3,GD7+4,IF($L$1=4,GD7+13,1))))</f>
        <v/>
      </c>
      <c r="GF7" s="6">
        <f>IF($L$1=1,GE7,IF($L$1=2,GE7+1,IF($L$1=3,GE7+4,IF($L$1=4,GE7+12,1))))</f>
        <v/>
      </c>
      <c r="GG7" s="6">
        <f>IF($L$1=1,GF7,IF($L$1=2,GF7+1,IF($L$1=3,GF7+4,IF($L$1=4,GF7+13,1))))</f>
        <v/>
      </c>
      <c r="GH7" s="6">
        <f>IF($L$1=1,GG7,IF($L$1=2,GG7+1,IF($L$1=3,GG7+4,IF($L$1=4,GG7+12,1))))</f>
        <v/>
      </c>
      <c r="GI7" s="6">
        <f>IF($L$1=1,IF(AND(NOT($J$1),WEEKDAY(GH7,$M$1+1)=4),GH7+3,GH7+1),IF($L$1=2,GH7+1,IF($L$1=3,DATE(YEAR(GB7),MONTH(GB7)+1,1),IF($L$1=4,DATE(YEAR(GB7),MONTH(GB7)+3,1),1))))</f>
        <v/>
      </c>
      <c r="GJ7" s="6">
        <f>IF($L$1=1,GI7,IF($L$1=2,GI7+1,IF($L$1=3,GI7+4,IF($L$1=4,GI7+13,1))))</f>
        <v/>
      </c>
      <c r="GK7" s="6">
        <f>IF($L$1=1,GJ7,IF($L$1=2,GJ7+1,IF($L$1=3,GJ7+4,IF($L$1=4,GJ7+12,1))))</f>
        <v/>
      </c>
      <c r="GL7" s="6">
        <f>IF($L$1=1,GK7,IF($L$1=2,GK7+1,IF($L$1=3,GK7+4,IF($L$1=4,GK7+13,1))))</f>
        <v/>
      </c>
      <c r="GM7" s="6">
        <f>IF($L$1=1,GL7,IF($L$1=2,GL7+1,IF($L$1=3,GL7+4,IF($L$1=4,GL7+12,1))))</f>
        <v/>
      </c>
      <c r="GN7" s="6">
        <f>IF($L$1=1,GM7,IF($L$1=2,GM7+1,IF($L$1=3,GM7+4,IF($L$1=4,GM7+13,1))))</f>
        <v/>
      </c>
      <c r="GO7" s="6">
        <f>IF($L$1=1,GN7,IF($L$1=2,GN7+1,IF($L$1=3,GN7+4,IF($L$1=4,GN7+12,1))))</f>
        <v/>
      </c>
      <c r="GP7" s="6">
        <f>IF($L$1=1,IF(AND(NOT($J$1),WEEKDAY(GO7,$M$1+1)=4),GO7+3,GO7+1),IF($L$1=2,GO7+1,IF($L$1=3,DATE(YEAR(GI7),MONTH(GI7)+1,1),IF($L$1=4,DATE(YEAR(GI7),MONTH(GI7)+3,1),1))))</f>
        <v/>
      </c>
      <c r="GQ7" s="6">
        <f>IF($L$1=1,GP7,IF($L$1=2,GP7+1,IF($L$1=3,GP7+4,IF($L$1=4,GP7+13,1))))</f>
        <v/>
      </c>
      <c r="GR7" s="6">
        <f>IF($L$1=1,GQ7,IF($L$1=2,GQ7+1,IF($L$1=3,GQ7+4,IF($L$1=4,GQ7+12,1))))</f>
        <v/>
      </c>
      <c r="GS7" s="6">
        <f>IF($L$1=1,GR7,IF($L$1=2,GR7+1,IF($L$1=3,GR7+4,IF($L$1=4,GR7+13,1))))</f>
        <v/>
      </c>
      <c r="GT7" s="6">
        <f>IF($L$1=1,GS7,IF($L$1=2,GS7+1,IF($L$1=3,GS7+4,IF($L$1=4,GS7+12,1))))</f>
        <v/>
      </c>
      <c r="GU7" s="6">
        <f>IF($L$1=1,GT7,IF($L$1=2,GT7+1,IF($L$1=3,GT7+4,IF($L$1=4,GT7+13,1))))</f>
        <v/>
      </c>
      <c r="GV7" s="6">
        <f>IF($L$1=1,GU7,IF($L$1=2,GU7+1,IF($L$1=3,GU7+4,IF($L$1=4,GU7+12,1))))</f>
        <v/>
      </c>
      <c r="GW7" s="6">
        <f>IF($L$1=1,IF(AND(NOT($J$1),WEEKDAY(GV7,$M$1+1)=4),GV7+3,GV7+1),IF($L$1=2,GV7+1,IF($L$1=3,DATE(YEAR(GP7),MONTH(GP7)+1,1),IF($L$1=4,DATE(YEAR(GP7),MONTH(GP7)+3,1),1))))</f>
        <v/>
      </c>
      <c r="GX7" s="6">
        <f>IF($L$1=1,GW7,IF($L$1=2,GW7+1,IF($L$1=3,GW7+4,IF($L$1=4,GW7+13,1))))</f>
        <v/>
      </c>
      <c r="GY7" s="6">
        <f>IF($L$1=1,GX7,IF($L$1=2,GX7+1,IF($L$1=3,GX7+4,IF($L$1=4,GX7+12,1))))</f>
        <v/>
      </c>
      <c r="GZ7" s="6">
        <f>IF($L$1=1,GY7,IF($L$1=2,GY7+1,IF($L$1=3,GY7+4,IF($L$1=4,GY7+13,1))))</f>
        <v/>
      </c>
      <c r="HA7" s="6">
        <f>IF($L$1=1,GZ7,IF($L$1=2,GZ7+1,IF($L$1=3,GZ7+4,IF($L$1=4,GZ7+12,1))))</f>
        <v/>
      </c>
      <c r="HB7" s="6">
        <f>IF($L$1=1,HA7,IF($L$1=2,HA7+1,IF($L$1=3,HA7+4,IF($L$1=4,HA7+13,1))))</f>
        <v/>
      </c>
      <c r="HC7" s="6">
        <f>IF($L$1=1,HB7,IF($L$1=2,HB7+1,IF($L$1=3,HB7+4,IF($L$1=4,HB7+12,1))))</f>
        <v/>
      </c>
      <c r="HD7" s="6">
        <f>IF($L$1=1,IF(AND(NOT($J$1),WEEKDAY(HC7,$M$1+1)=4),HC7+3,HC7+1),IF($L$1=2,HC7+1,IF($L$1=3,DATE(YEAR(GW7),MONTH(GW7)+1,1),IF($L$1=4,DATE(YEAR(GW7),MONTH(GW7)+3,1),1))))</f>
        <v/>
      </c>
      <c r="HE7" s="6">
        <f>IF($L$1=1,HD7,IF($L$1=2,HD7+1,IF($L$1=3,HD7+4,IF($L$1=4,HD7+13,1))))</f>
        <v/>
      </c>
      <c r="HF7" s="6">
        <f>IF($L$1=1,HE7,IF($L$1=2,HE7+1,IF($L$1=3,HE7+4,IF($L$1=4,HE7+12,1))))</f>
        <v/>
      </c>
      <c r="HG7" s="6">
        <f>IF($L$1=1,HF7,IF($L$1=2,HF7+1,IF($L$1=3,HF7+4,IF($L$1=4,HF7+13,1))))</f>
        <v/>
      </c>
      <c r="HH7" s="6">
        <f>IF($L$1=1,HG7,IF($L$1=2,HG7+1,IF($L$1=3,HG7+4,IF($L$1=4,HG7+12,1))))</f>
        <v/>
      </c>
      <c r="HI7" s="6">
        <f>IF($L$1=1,HH7,IF($L$1=2,HH7+1,IF($L$1=3,HH7+4,IF($L$1=4,HH7+13,1))))</f>
        <v/>
      </c>
      <c r="HJ7" s="6">
        <f>IF($L$1=1,HI7,IF($L$1=2,HI7+1,IF($L$1=3,HI7+4,IF($L$1=4,HI7+12,1))))</f>
        <v/>
      </c>
      <c r="HK7" s="6">
        <f>IF($L$1=1,IF(AND(NOT($J$1),WEEKDAY(HJ7,$M$1+1)=4),HJ7+3,HJ7+1),IF($L$1=2,HJ7+1,IF($L$1=3,DATE(YEAR(HD7),MONTH(HD7)+1,1),IF($L$1=4,DATE(YEAR(HD7),MONTH(HD7)+3,1),1))))</f>
        <v/>
      </c>
      <c r="HL7" s="6">
        <f>IF($L$1=1,HK7,IF($L$1=2,HK7+1,IF($L$1=3,HK7+4,IF($L$1=4,HK7+13,1))))</f>
        <v/>
      </c>
      <c r="HM7" s="6">
        <f>IF($L$1=1,HL7,IF($L$1=2,HL7+1,IF($L$1=3,HL7+4,IF($L$1=4,HL7+12,1))))</f>
        <v/>
      </c>
      <c r="HN7" s="6">
        <f>IF($L$1=1,HM7,IF($L$1=2,HM7+1,IF($L$1=3,HM7+4,IF($L$1=4,HM7+13,1))))</f>
        <v/>
      </c>
      <c r="HO7" s="6">
        <f>IF($L$1=1,HN7,IF($L$1=2,HN7+1,IF($L$1=3,HN7+4,IF($L$1=4,HN7+12,1))))</f>
        <v/>
      </c>
      <c r="HP7" s="6">
        <f>IF($L$1=1,HO7,IF($L$1=2,HO7+1,IF($L$1=3,HO7+4,IF($L$1=4,HO7+13,1))))</f>
        <v/>
      </c>
      <c r="HQ7" s="6">
        <f>IF($L$1=1,HP7,IF($L$1=2,HP7+1,IF($L$1=3,HP7+4,IF($L$1=4,HP7+12,1))))</f>
        <v/>
      </c>
      <c r="HR7" s="6">
        <f>IF($L$1=1,IF(AND(NOT($J$1),WEEKDAY(HQ7,$M$1+1)=4),HQ7+3,HQ7+1),IF($L$1=2,HQ7+1,IF($L$1=3,DATE(YEAR(HK7),MONTH(HK7)+1,1),IF($L$1=4,DATE(YEAR(HK7),MONTH(HK7)+3,1),1))))</f>
        <v/>
      </c>
      <c r="HS7" s="6">
        <f>IF($L$1=1,HR7,IF($L$1=2,HR7+1,IF($L$1=3,HR7+4,IF($L$1=4,HR7+13,1))))</f>
        <v/>
      </c>
      <c r="HT7" s="6">
        <f>IF($L$1=1,HS7,IF($L$1=2,HS7+1,IF($L$1=3,HS7+4,IF($L$1=4,HS7+12,1))))</f>
        <v/>
      </c>
      <c r="HU7" s="6">
        <f>IF($L$1=1,HT7,IF($L$1=2,HT7+1,IF($L$1=3,HT7+4,IF($L$1=4,HT7+13,1))))</f>
        <v/>
      </c>
      <c r="HV7" s="6">
        <f>IF($L$1=1,HU7,IF($L$1=2,HU7+1,IF($L$1=3,HU7+4,IF($L$1=4,HU7+12,1))))</f>
        <v/>
      </c>
      <c r="HW7" s="6">
        <f>IF($L$1=1,HV7,IF($L$1=2,HV7+1,IF($L$1=3,HV7+4,IF($L$1=4,HV7+13,1))))</f>
        <v/>
      </c>
      <c r="HX7" s="6">
        <f>IF($L$1=1,HW7,IF($L$1=2,HW7+1,IF($L$1=3,HW7+4,IF($L$1=4,HW7+12,1))))</f>
        <v/>
      </c>
      <c r="HY7" s="6">
        <f>IF($L$1=1,IF(AND(NOT($J$1),WEEKDAY(HX7,$M$1+1)=4),HX7+3,HX7+1),IF($L$1=2,HX7+1,IF($L$1=3,DATE(YEAR(HR7),MONTH(HR7)+1,1),IF($L$1=4,DATE(YEAR(HR7),MONTH(HR7)+3,1),1))))</f>
        <v/>
      </c>
      <c r="HZ7" s="6">
        <f>IF($L$1=1,HY7,IF($L$1=2,HY7+1,IF($L$1=3,HY7+4,IF($L$1=4,HY7+13,1))))</f>
        <v/>
      </c>
      <c r="IA7" s="6">
        <f>IF($L$1=1,HZ7,IF($L$1=2,HZ7+1,IF($L$1=3,HZ7+4,IF($L$1=4,HZ7+12,1))))</f>
        <v/>
      </c>
      <c r="IB7" s="6">
        <f>IF($L$1=1,IA7,IF($L$1=2,IA7+1,IF($L$1=3,IA7+4,IF($L$1=4,IA7+13,1))))</f>
        <v/>
      </c>
      <c r="IC7" s="6">
        <f>IF($L$1=1,IB7,IF($L$1=2,IB7+1,IF($L$1=3,IB7+4,IF($L$1=4,IB7+12,1))))</f>
        <v/>
      </c>
      <c r="ID7" s="6">
        <f>IF($L$1=1,IC7,IF($L$1=2,IC7+1,IF($L$1=3,IC7+4,IF($L$1=4,IC7+13,1))))</f>
        <v/>
      </c>
      <c r="IE7" s="6">
        <f>IF($L$1=1,ID7,IF($L$1=2,ID7+1,IF($L$1=3,ID7+4,IF($L$1=4,ID7+12,1))))</f>
        <v/>
      </c>
      <c r="IF7" s="6">
        <f>IF($L$1=1,IF(AND(NOT($J$1),WEEKDAY(IE7,$M$1+1)=4),IE7+3,IE7+1),IF($L$1=2,IE7+1,IF($L$1=3,DATE(YEAR(HY7),MONTH(HY7)+1,1),IF($L$1=4,DATE(YEAR(HY7),MONTH(HY7)+3,1),1))))</f>
        <v/>
      </c>
      <c r="IG7" s="6">
        <f>IF($L$1=1,IF7,IF($L$1=2,IF7+1,IF($L$1=3,IF7+4,IF($L$1=4,IF7+13,1))))</f>
        <v/>
      </c>
      <c r="IH7" s="6">
        <f>IF($L$1=1,IG7,IF($L$1=2,IG7+1,IF($L$1=3,IG7+4,IF($L$1=4,IG7+12,1))))</f>
        <v/>
      </c>
      <c r="II7" s="6">
        <f>IF($L$1=1,IH7,IF($L$1=2,IH7+1,IF($L$1=3,IH7+4,IF($L$1=4,IH7+13,1))))</f>
        <v/>
      </c>
      <c r="IJ7" s="6">
        <f>IF($L$1=1,II7,IF($L$1=2,II7+1,IF($L$1=3,II7+4,IF($L$1=4,II7+12,1))))</f>
        <v/>
      </c>
      <c r="IK7" s="6">
        <f>IF($L$1=1,IJ7,IF($L$1=2,IJ7+1,IF($L$1=3,IJ7+4,IF($L$1=4,IJ7+13,1))))</f>
        <v/>
      </c>
      <c r="IL7" s="6">
        <f>IF($L$1=1,IK7,IF($L$1=2,IK7+1,IF($L$1=3,IK7+4,IF($L$1=4,IK7+12,1))))</f>
        <v/>
      </c>
      <c r="IM7" s="6">
        <f>IF($L$1=1,IF(AND(NOT($J$1),WEEKDAY(IL7,$M$1+1)=4),IL7+3,IL7+1),IF($L$1=2,IL7+1,IF($L$1=3,DATE(YEAR(IF7),MONTH(IF7)+1,1),IF($L$1=4,DATE(YEAR(IF7),MONTH(IF7)+3,1),1))))</f>
        <v/>
      </c>
      <c r="IN7" s="6">
        <f>IF($L$1=1,IM7,IF($L$1=2,IM7+1,IF($L$1=3,IM7+4,IF($L$1=4,IM7+13,1))))</f>
        <v/>
      </c>
      <c r="IO7" s="6">
        <f>IF($L$1=1,IN7,IF($L$1=2,IN7+1,IF($L$1=3,IN7+4,IF($L$1=4,IN7+12,1))))</f>
        <v/>
      </c>
      <c r="IP7" s="6">
        <f>IF($L$1=1,IO7,IF($L$1=2,IO7+1,IF($L$1=3,IO7+4,IF($L$1=4,IO7+13,1))))</f>
        <v/>
      </c>
      <c r="IQ7" s="6">
        <f>IF($L$1=1,IP7,IF($L$1=2,IP7+1,IF($L$1=3,IP7+4,IF($L$1=4,IP7+12,1))))</f>
        <v/>
      </c>
      <c r="IR7" s="6">
        <f>IF($L$1=1,IQ7,IF($L$1=2,IQ7+1,IF($L$1=3,IQ7+4,IF($L$1=4,IQ7+13,1))))</f>
        <v/>
      </c>
      <c r="IS7" s="6">
        <f>IF($L$1=1,IR7,IF($L$1=2,IR7+1,IF($L$1=3,IR7+4,IF($L$1=4,IR7+12,1))))</f>
        <v/>
      </c>
      <c r="IT7" s="6">
        <f>IF($L$1=1,IF(AND(NOT($J$1),WEEKDAY(IS7,$M$1+1)=4),IS7+3,IS7+1),IF($L$1=2,IS7+1,IF($L$1=3,DATE(YEAR(IM7),MONTH(IM7)+1,1),IF($L$1=4,DATE(YEAR(IM7),MONTH(IM7)+3,1),1))))</f>
        <v/>
      </c>
      <c r="IU7" s="6">
        <f>IF($L$1=1,IT7,IF($L$1=2,IT7+1,IF($L$1=3,IT7+4,IF($L$1=4,IT7+13,1))))</f>
        <v/>
      </c>
      <c r="IV7" s="6">
        <f>IF($L$1=1,IU7,IF($L$1=2,IU7+1,IF($L$1=3,IU7+4,IF($L$1=4,IU7+12,1))))</f>
        <v/>
      </c>
      <c r="IW7" s="6">
        <f>IF($L$1=1,IV7,IF($L$1=2,IV7+1,IF($L$1=3,IV7+4,IF($L$1=4,IV7+13,1))))</f>
        <v/>
      </c>
      <c r="IX7" s="6">
        <f>IF($L$1=1,IW7,IF($L$1=2,IW7+1,IF($L$1=3,IW7+4,IF($L$1=4,IW7+12,1))))</f>
        <v/>
      </c>
      <c r="IY7" s="6">
        <f>IF($L$1=1,IX7,IF($L$1=2,IX7+1,IF($L$1=3,IX7+4,IF($L$1=4,IX7+13,1))))</f>
        <v/>
      </c>
      <c r="IZ7" s="6">
        <f>IF($L$1=1,IY7,IF($L$1=2,IY7+1,IF($L$1=3,IY7+4,IF($L$1=4,IY7+12,1))))</f>
        <v/>
      </c>
      <c r="JA7" s="6">
        <f>IF($L$1=1,IF(AND(NOT($J$1),WEEKDAY(IZ7,$M$1+1)=4),IZ7+3,IZ7+1),IF($L$1=2,IZ7+1,IF($L$1=3,DATE(YEAR(IT7),MONTH(IT7)+1,1),IF($L$1=4,DATE(YEAR(IT7),MONTH(IT7)+3,1),1))))</f>
        <v/>
      </c>
      <c r="JB7" s="6">
        <f>IF($L$1=1,JA7,IF($L$1=2,JA7+1,IF($L$1=3,JA7+4,IF($L$1=4,JA7+13,1))))</f>
        <v/>
      </c>
      <c r="JC7" s="6">
        <f>IF($L$1=1,JB7,IF($L$1=2,JB7+1,IF($L$1=3,JB7+4,IF($L$1=4,JB7+12,1))))</f>
        <v/>
      </c>
      <c r="JD7" s="6">
        <f>IF($L$1=1,JC7,IF($L$1=2,JC7+1,IF($L$1=3,JC7+4,IF($L$1=4,JC7+13,1))))</f>
        <v/>
      </c>
      <c r="JE7" s="6">
        <f>IF($L$1=1,JD7,IF($L$1=2,JD7+1,IF($L$1=3,JD7+4,IF($L$1=4,JD7+12,1))))</f>
        <v/>
      </c>
      <c r="JF7" s="6">
        <f>IF($L$1=1,JE7,IF($L$1=2,JE7+1,IF($L$1=3,JE7+4,IF($L$1=4,JE7+13,1))))</f>
        <v/>
      </c>
      <c r="JG7" s="6">
        <f>IF($L$1=1,JF7,IF($L$1=2,JF7+1,IF($L$1=3,JF7+4,IF($L$1=4,JF7+12,1))))</f>
        <v/>
      </c>
      <c r="JH7" s="6">
        <f>IF($L$1=1,IF(AND(NOT($J$1),WEEKDAY(JG7,$M$1+1)=4),JG7+3,JG7+1),IF($L$1=2,JG7+1,IF($L$1=3,DATE(YEAR(JA7),MONTH(JA7)+1,1),IF($L$1=4,DATE(YEAR(JA7),MONTH(JA7)+3,1),1))))</f>
        <v/>
      </c>
      <c r="JI7" s="6">
        <f>IF($L$1=1,JH7,IF($L$1=2,JH7+1,IF($L$1=3,JH7+4,IF($L$1=4,JH7+13,1))))</f>
        <v/>
      </c>
      <c r="JJ7" s="6">
        <f>IF($L$1=1,JI7,IF($L$1=2,JI7+1,IF($L$1=3,JI7+4,IF($L$1=4,JI7+12,1))))</f>
        <v/>
      </c>
      <c r="JK7" s="6">
        <f>IF($L$1=1,JJ7,IF($L$1=2,JJ7+1,IF($L$1=3,JJ7+4,IF($L$1=4,JJ7+13,1))))</f>
        <v/>
      </c>
      <c r="JL7" s="6">
        <f>IF($L$1=1,JK7,IF($L$1=2,JK7+1,IF($L$1=3,JK7+4,IF($L$1=4,JK7+12,1))))</f>
        <v/>
      </c>
      <c r="JM7" s="6">
        <f>IF($L$1=1,JL7,IF($L$1=2,JL7+1,IF($L$1=3,JL7+4,IF($L$1=4,JL7+13,1))))</f>
        <v/>
      </c>
      <c r="JN7" s="6">
        <f>IF($L$1=1,JM7,IF($L$1=2,JM7+1,IF($L$1=3,JM7+4,IF($L$1=4,JM7+12,1))))</f>
        <v/>
      </c>
      <c r="JO7" s="6">
        <f>IF($L$1=1,IF(AND(NOT($J$1),WEEKDAY(JN7,$M$1+1)=4),JN7+3,JN7+1),IF($L$1=2,JN7+1,IF($L$1=3,DATE(YEAR(JH7),MONTH(JH7)+1,1),IF($L$1=4,DATE(YEAR(JH7),MONTH(JH7)+3,1),1))))</f>
        <v/>
      </c>
      <c r="JP7" s="6">
        <f>IF($L$1=1,JO7,IF($L$1=2,JO7+1,IF($L$1=3,JO7+4,IF($L$1=4,JO7+13,1))))</f>
        <v/>
      </c>
      <c r="JQ7" s="6">
        <f>IF($L$1=1,JP7,IF($L$1=2,JP7+1,IF($L$1=3,JP7+4,IF($L$1=4,JP7+12,1))))</f>
        <v/>
      </c>
      <c r="JR7" s="6">
        <f>IF($L$1=1,JQ7,IF($L$1=2,JQ7+1,IF($L$1=3,JQ7+4,IF($L$1=4,JQ7+13,1))))</f>
        <v/>
      </c>
      <c r="JS7" s="6">
        <f>IF($L$1=1,JR7,IF($L$1=2,JR7+1,IF($L$1=3,JR7+4,IF($L$1=4,JR7+12,1))))</f>
        <v/>
      </c>
      <c r="JT7" s="6">
        <f>IF($L$1=1,JS7,IF($L$1=2,JS7+1,IF($L$1=3,JS7+4,IF($L$1=4,JS7+13,1))))</f>
        <v/>
      </c>
      <c r="JU7" s="6">
        <f>IF($L$1=1,JT7,IF($L$1=2,JT7+1,IF($L$1=3,JT7+4,IF($L$1=4,JT7+12,1))))</f>
        <v/>
      </c>
      <c r="JV7" s="6">
        <f>IF($L$1=1,IF(AND(NOT($J$1),WEEKDAY(JU7,$M$1+1)=4),JU7+3,JU7+1),IF($L$1=2,JU7+1,IF($L$1=3,DATE(YEAR(JO7),MONTH(JO7)+1,1),IF($L$1=4,DATE(YEAR(JO7),MONTH(JO7)+3,1),1))))</f>
        <v/>
      </c>
      <c r="JW7" s="6">
        <f>IF($L$1=1,JV7,IF($L$1=2,JV7+1,IF($L$1=3,JV7+4,IF($L$1=4,JV7+13,1))))</f>
        <v/>
      </c>
      <c r="JX7" s="6">
        <f>IF($L$1=1,JW7,IF($L$1=2,JW7+1,IF($L$1=3,JW7+4,IF($L$1=4,JW7+12,1))))</f>
        <v/>
      </c>
      <c r="JY7" s="6">
        <f>IF($L$1=1,JX7,IF($L$1=2,JX7+1,IF($L$1=3,JX7+4,IF($L$1=4,JX7+13,1))))</f>
        <v/>
      </c>
      <c r="JZ7" s="6">
        <f>IF($L$1=1,JY7,IF($L$1=2,JY7+1,IF($L$1=3,JY7+4,IF($L$1=4,JY7+12,1))))</f>
        <v/>
      </c>
      <c r="KA7" s="6">
        <f>IF($L$1=1,JZ7,IF($L$1=2,JZ7+1,IF($L$1=3,JZ7+4,IF($L$1=4,JZ7+13,1))))</f>
        <v/>
      </c>
      <c r="KB7" s="6">
        <f>IF($L$1=1,KA7,IF($L$1=2,KA7+1,IF($L$1=3,KA7+4,IF($L$1=4,KA7+12,1))))</f>
        <v/>
      </c>
      <c r="KC7" s="6">
        <f>IF($L$1=1,IF(AND(NOT($J$1),WEEKDAY(KB7,$M$1+1)=4),KB7+3,KB7+1),IF($L$1=2,KB7+1,IF($L$1=3,DATE(YEAR(JV7),MONTH(JV7)+1,1),IF($L$1=4,DATE(YEAR(JV7),MONTH(JV7)+3,1),1))))</f>
        <v/>
      </c>
      <c r="KD7" s="6">
        <f>IF($L$1=1,KC7,IF($L$1=2,KC7+1,IF($L$1=3,KC7+4,IF($L$1=4,KC7+13,1))))</f>
        <v/>
      </c>
      <c r="KE7" s="6">
        <f>IF($L$1=1,KD7,IF($L$1=2,KD7+1,IF($L$1=3,KD7+4,IF($L$1=4,KD7+12,1))))</f>
        <v/>
      </c>
      <c r="KF7" s="6">
        <f>IF($L$1=1,KE7,IF($L$1=2,KE7+1,IF($L$1=3,KE7+4,IF($L$1=4,KE7+13,1))))</f>
        <v/>
      </c>
      <c r="KG7" s="6">
        <f>IF($L$1=1,KF7,IF($L$1=2,KF7+1,IF($L$1=3,KF7+4,IF($L$1=4,KF7+12,1))))</f>
        <v/>
      </c>
      <c r="KH7" s="6">
        <f>IF($L$1=1,KG7,IF($L$1=2,KG7+1,IF($L$1=3,KG7+4,IF($L$1=4,KG7+13,1))))</f>
        <v/>
      </c>
      <c r="KI7" s="6">
        <f>IF($L$1=1,KH7,IF($L$1=2,KH7+1,IF($L$1=3,KH7+4,IF($L$1=4,KH7+12,1))))</f>
        <v/>
      </c>
      <c r="KJ7" s="6">
        <f>IF($L$1=1,IF(AND(NOT($J$1),WEEKDAY(KI7,$M$1+1)=4),KI7+3,KI7+1),IF($L$1=2,KI7+1,IF($L$1=3,DATE(YEAR(KC7),MONTH(KC7)+1,1),IF($L$1=4,DATE(YEAR(KC7),MONTH(KC7)+3,1),1))))</f>
        <v/>
      </c>
      <c r="KK7" s="6">
        <f>IF($L$1=1,KJ7,IF($L$1=2,KJ7+1,IF($L$1=3,KJ7+4,IF($L$1=4,KJ7+13,1))))</f>
        <v/>
      </c>
      <c r="KL7" s="6">
        <f>IF($L$1=1,KK7,IF($L$1=2,KK7+1,IF($L$1=3,KK7+4,IF($L$1=4,KK7+12,1))))</f>
        <v/>
      </c>
      <c r="KM7" s="6">
        <f>IF($L$1=1,KL7,IF($L$1=2,KL7+1,IF($L$1=3,KL7+4,IF($L$1=4,KL7+13,1))))</f>
        <v/>
      </c>
      <c r="KN7" s="6">
        <f>IF($L$1=1,KM7,IF($L$1=2,KM7+1,IF($L$1=3,KM7+4,IF($L$1=4,KM7+12,1))))</f>
        <v/>
      </c>
      <c r="KO7" s="6">
        <f>IF($L$1=1,KN7,IF($L$1=2,KN7+1,IF($L$1=3,KN7+4,IF($L$1=4,KN7+13,1))))</f>
        <v/>
      </c>
      <c r="KP7" s="6">
        <f>IF($L$1=1,KO7,IF($L$1=2,KO7+1,IF($L$1=3,KO7+4,IF($L$1=4,KO7+12,1))))</f>
        <v/>
      </c>
      <c r="KQ7" s="6">
        <f>IF($L$1=1,IF(AND(NOT($J$1),WEEKDAY(KP7,$M$1+1)=4),KP7+3,KP7+1),IF($L$1=2,KP7+1,IF($L$1=3,DATE(YEAR(KJ7),MONTH(KJ7)+1,1),IF($L$1=4,DATE(YEAR(KJ7),MONTH(KJ7)+3,1),1))))</f>
        <v/>
      </c>
      <c r="KR7" s="6">
        <f>IF($L$1=1,KQ7,IF($L$1=2,KQ7+1,IF($L$1=3,KQ7+4,IF($L$1=4,KQ7+13,1))))</f>
        <v/>
      </c>
      <c r="KS7" s="6">
        <f>IF($L$1=1,KR7,IF($L$1=2,KR7+1,IF($L$1=3,KR7+4,IF($L$1=4,KR7+12,1))))</f>
        <v/>
      </c>
      <c r="KT7" s="6">
        <f>IF($L$1=1,KS7,IF($L$1=2,KS7+1,IF($L$1=3,KS7+4,IF($L$1=4,KS7+13,1))))</f>
        <v/>
      </c>
      <c r="KU7" s="6">
        <f>IF($L$1=1,KT7,IF($L$1=2,KT7+1,IF($L$1=3,KT7+4,IF($L$1=4,KT7+12,1))))</f>
        <v/>
      </c>
      <c r="KV7" s="6">
        <f>IF($L$1=1,KU7,IF($L$1=2,KU7+1,IF($L$1=3,KU7+4,IF($L$1=4,KU7+13,1))))</f>
        <v/>
      </c>
      <c r="KW7" s="6">
        <f>IF($L$1=1,KV7,IF($L$1=2,KV7+1,IF($L$1=3,KV7+4,IF($L$1=4,KV7+12,1))))</f>
        <v/>
      </c>
      <c r="KX7" s="6">
        <f>IF($L$1=1,IF(AND(NOT($J$1),WEEKDAY(KW7,$M$1+1)=4),KW7+3,KW7+1),IF($L$1=2,KW7+1,IF($L$1=3,DATE(YEAR(KQ7),MONTH(KQ7)+1,1),IF($L$1=4,DATE(YEAR(KQ7),MONTH(KQ7)+3,1),1))))</f>
        <v/>
      </c>
      <c r="KY7" s="6">
        <f>IF($L$1=1,KX7,IF($L$1=2,KX7+1,IF($L$1=3,KX7+4,IF($L$1=4,KX7+13,1))))</f>
        <v/>
      </c>
      <c r="KZ7" s="6">
        <f>IF($L$1=1,KY7,IF($L$1=2,KY7+1,IF($L$1=3,KY7+4,IF($L$1=4,KY7+12,1))))</f>
        <v/>
      </c>
      <c r="LA7" s="6">
        <f>IF($L$1=1,KZ7,IF($L$1=2,KZ7+1,IF($L$1=3,KZ7+4,IF($L$1=4,KZ7+13,1))))</f>
        <v/>
      </c>
      <c r="LB7" s="6">
        <f>IF($L$1=1,LA7,IF($L$1=2,LA7+1,IF($L$1=3,LA7+4,IF($L$1=4,LA7+12,1))))</f>
        <v/>
      </c>
      <c r="LC7" s="6">
        <f>IF($L$1=1,LB7,IF($L$1=2,LB7+1,IF($L$1=3,LB7+4,IF($L$1=4,LB7+13,1))))</f>
        <v/>
      </c>
      <c r="LD7" s="6">
        <f>IF($L$1=1,LC7,IF($L$1=2,LC7+1,IF($L$1=3,LC7+4,IF($L$1=4,LC7+12,1))))</f>
        <v/>
      </c>
      <c r="LE7" s="6">
        <f>IF($L$1=1,IF(AND(NOT($J$1),WEEKDAY(LD7,$M$1+1)=4),LD7+3,LD7+1),IF($L$1=2,LD7+1,IF($L$1=3,DATE(YEAR(KX7),MONTH(KX7)+1,1),IF($L$1=4,DATE(YEAR(KX7),MONTH(KX7)+3,1),1))))</f>
        <v/>
      </c>
      <c r="LF7" s="6">
        <f>IF($L$1=1,LE7,IF($L$1=2,LE7+1,IF($L$1=3,LE7+4,IF($L$1=4,LE7+13,1))))</f>
        <v/>
      </c>
      <c r="LG7" s="6">
        <f>IF($L$1=1,LF7,IF($L$1=2,LF7+1,IF($L$1=3,LF7+4,IF($L$1=4,LF7+12,1))))</f>
        <v/>
      </c>
      <c r="LH7" s="6">
        <f>IF($L$1=1,LG7,IF($L$1=2,LG7+1,IF($L$1=3,LG7+4,IF($L$1=4,LG7+13,1))))</f>
        <v/>
      </c>
      <c r="LI7" s="6">
        <f>IF($L$1=1,LH7,IF($L$1=2,LH7+1,IF($L$1=3,LH7+4,IF($L$1=4,LH7+12,1))))</f>
        <v/>
      </c>
      <c r="LJ7" s="6">
        <f>IF($L$1=1,LI7,IF($L$1=2,LI7+1,IF($L$1=3,LI7+4,IF($L$1=4,LI7+13,1))))</f>
        <v/>
      </c>
      <c r="LK7" s="6">
        <f>IF($L$1=1,LJ7,IF($L$1=2,LJ7+1,IF($L$1=3,LJ7+4,IF($L$1=4,LJ7+12,1))))</f>
        <v/>
      </c>
      <c r="LL7" s="6">
        <f>IF($L$1=1,IF(AND(NOT($J$1),WEEKDAY(LK7,$M$1+1)=4),LK7+3,LK7+1),IF($L$1=2,LK7+1,IF($L$1=3,DATE(YEAR(LE7),MONTH(LE7)+1,1),IF($L$1=4,DATE(YEAR(LE7),MONTH(LE7)+3,1),1))))</f>
        <v/>
      </c>
      <c r="LM7" s="6">
        <f>IF($L$1=1,LL7,IF($L$1=2,LL7+1,IF($L$1=3,LL7+4,IF($L$1=4,LL7+13,1))))</f>
        <v/>
      </c>
      <c r="LN7" s="6">
        <f>IF($L$1=1,LM7,IF($L$1=2,LM7+1,IF($L$1=3,LM7+4,IF($L$1=4,LM7+12,1))))</f>
        <v/>
      </c>
      <c r="LO7" s="6">
        <f>IF($L$1=1,LN7,IF($L$1=2,LN7+1,IF($L$1=3,LN7+4,IF($L$1=4,LN7+13,1))))</f>
        <v/>
      </c>
      <c r="LP7" s="6">
        <f>IF($L$1=1,LO7,IF($L$1=2,LO7+1,IF($L$1=3,LO7+4,IF($L$1=4,LO7+12,1))))</f>
        <v/>
      </c>
      <c r="LQ7" s="6">
        <f>IF($L$1=1,LP7,IF($L$1=2,LP7+1,IF($L$1=3,LP7+4,IF($L$1=4,LP7+13,1))))</f>
        <v/>
      </c>
      <c r="LR7" s="6">
        <f>IF($L$1=1,LQ7,IF($L$1=2,LQ7+1,IF($L$1=3,LQ7+4,IF($L$1=4,LQ7+12,1))))</f>
        <v/>
      </c>
      <c r="LS7" s="6">
        <f>IF($L$1=1,IF(AND(NOT($J$1),WEEKDAY(LR7,$M$1+1)=4),LR7+3,LR7+1),IF($L$1=2,LR7+1,IF($L$1=3,DATE(YEAR(LL7),MONTH(LL7)+1,1),IF($L$1=4,DATE(YEAR(LL7),MONTH(LL7)+3,1),1))))</f>
        <v/>
      </c>
      <c r="LT7" s="6">
        <f>IF($L$1=1,LS7,IF($L$1=2,LS7+1,IF($L$1=3,LS7+4,IF($L$1=4,LS7+13,1))))</f>
        <v/>
      </c>
      <c r="LU7" s="6">
        <f>IF($L$1=1,LT7,IF($L$1=2,LT7+1,IF($L$1=3,LT7+4,IF($L$1=4,LT7+12,1))))</f>
        <v/>
      </c>
      <c r="LV7" s="6">
        <f>IF($L$1=1,LU7,IF($L$1=2,LU7+1,IF($L$1=3,LU7+4,IF($L$1=4,LU7+13,1))))</f>
        <v/>
      </c>
      <c r="LW7" s="6">
        <f>IF($L$1=1,LV7,IF($L$1=2,LV7+1,IF($L$1=3,LV7+4,IF($L$1=4,LV7+12,1))))</f>
        <v/>
      </c>
      <c r="LX7" s="6">
        <f>IF($L$1=1,LW7,IF($L$1=2,LW7+1,IF($L$1=3,LW7+4,IF($L$1=4,LW7+13,1))))</f>
        <v/>
      </c>
      <c r="LY7" s="6">
        <f>IF($L$1=1,LX7,IF($L$1=2,LX7+1,IF($L$1=3,LX7+4,IF($L$1=4,LX7+12,1))))</f>
        <v/>
      </c>
      <c r="LZ7" s="6">
        <f>IF($L$1=1,IF(AND(NOT($J$1),WEEKDAY(LY7,$M$1+1)=4),LY7+3,LY7+1),IF($L$1=2,LY7+1,IF($L$1=3,DATE(YEAR(LS7),MONTH(LS7)+1,1),IF($L$1=4,DATE(YEAR(LS7),MONTH(LS7)+3,1),1))))</f>
        <v/>
      </c>
      <c r="MA7" s="6">
        <f>IF($L$1=1,LZ7,IF($L$1=2,LZ7+1,IF($L$1=3,LZ7+4,IF($L$1=4,LZ7+13,1))))</f>
        <v/>
      </c>
      <c r="MB7" s="6">
        <f>IF($L$1=1,MA7,IF($L$1=2,MA7+1,IF($L$1=3,MA7+4,IF($L$1=4,MA7+12,1))))</f>
        <v/>
      </c>
      <c r="MC7" s="6">
        <f>IF($L$1=1,MB7,IF($L$1=2,MB7+1,IF($L$1=3,MB7+4,IF($L$1=4,MB7+13,1))))</f>
        <v/>
      </c>
      <c r="MD7" s="6">
        <f>IF($L$1=1,MC7,IF($L$1=2,MC7+1,IF($L$1=3,MC7+4,IF($L$1=4,MC7+12,1))))</f>
        <v/>
      </c>
      <c r="ME7" s="6">
        <f>IF($L$1=1,MD7,IF($L$1=2,MD7+1,IF($L$1=3,MD7+4,IF($L$1=4,MD7+13,1))))</f>
        <v/>
      </c>
      <c r="MF7" s="6">
        <f>IF($L$1=1,ME7,IF($L$1=2,ME7+1,IF($L$1=3,ME7+4,IF($L$1=4,ME7+12,1))))</f>
        <v/>
      </c>
      <c r="MG7" s="6">
        <f>IF($L$1=1,IF(AND(NOT($J$1),WEEKDAY(MF7,$M$1+1)=4),MF7+3,MF7+1),IF($L$1=2,MF7+1,IF($L$1=3,DATE(YEAR(LZ7),MONTH(LZ7)+1,1),IF($L$1=4,DATE(YEAR(LZ7),MONTH(LZ7)+3,1),1))))</f>
        <v/>
      </c>
      <c r="MH7" s="6">
        <f>IF($L$1=1,MG7,IF($L$1=2,MG7+1,IF($L$1=3,MG7+4,IF($L$1=4,MG7+13,1))))</f>
        <v/>
      </c>
      <c r="MI7" s="6">
        <f>IF($L$1=1,MH7,IF($L$1=2,MH7+1,IF($L$1=3,MH7+4,IF($L$1=4,MH7+12,1))))</f>
        <v/>
      </c>
      <c r="MJ7" s="6">
        <f>IF($L$1=1,MI7,IF($L$1=2,MI7+1,IF($L$1=3,MI7+4,IF($L$1=4,MI7+13,1))))</f>
        <v/>
      </c>
      <c r="MK7" s="6">
        <f>IF($L$1=1,MJ7,IF($L$1=2,MJ7+1,IF($L$1=3,MJ7+4,IF($L$1=4,MJ7+12,1))))</f>
        <v/>
      </c>
      <c r="ML7" s="6">
        <f>IF($L$1=1,MK7,IF($L$1=2,MK7+1,IF($L$1=3,MK7+4,IF($L$1=4,MK7+13,1))))</f>
        <v/>
      </c>
      <c r="MM7" s="6">
        <f>IF($L$1=1,ML7,IF($L$1=2,ML7+1,IF($L$1=3,ML7+4,IF($L$1=4,ML7+12,1))))</f>
        <v/>
      </c>
      <c r="MN7" s="6">
        <f>IF($L$1=1,IF(AND(NOT($J$1),WEEKDAY(MM7,$M$1+1)=4),MM7+3,MM7+1),IF($L$1=2,MM7+1,IF($L$1=3,DATE(YEAR(MG7),MONTH(MG7)+1,1),IF($L$1=4,DATE(YEAR(MG7),MONTH(MG7)+3,1),1))))</f>
        <v/>
      </c>
      <c r="MO7" s="6">
        <f>IF($L$1=1,MN7,IF($L$1=2,MN7+1,IF($L$1=3,MN7+4,IF($L$1=4,MN7+13,1))))</f>
        <v/>
      </c>
      <c r="MP7" s="6">
        <f>IF($L$1=1,MO7,IF($L$1=2,MO7+1,IF($L$1=3,MO7+4,IF($L$1=4,MO7+12,1))))</f>
        <v/>
      </c>
      <c r="MQ7" s="6">
        <f>IF($L$1=1,MP7,IF($L$1=2,MP7+1,IF($L$1=3,MP7+4,IF($L$1=4,MP7+13,1))))</f>
        <v/>
      </c>
      <c r="MR7" s="6">
        <f>IF($L$1=1,MQ7,IF($L$1=2,MQ7+1,IF($L$1=3,MQ7+4,IF($L$1=4,MQ7+12,1))))</f>
        <v/>
      </c>
      <c r="MS7" s="6">
        <f>IF($L$1=1,MR7,IF($L$1=2,MR7+1,IF($L$1=3,MR7+4,IF($L$1=4,MR7+13,1))))</f>
        <v/>
      </c>
      <c r="MT7" s="6">
        <f>IF($L$1=1,MS7,IF($L$1=2,MS7+1,IF($L$1=3,MS7+4,IF($L$1=4,MS7+12,1))))</f>
        <v/>
      </c>
      <c r="MU7" s="6">
        <f>IF($L$1=1,IF(AND(NOT($J$1),WEEKDAY(MT7,$M$1+1)=4),MT7+3,MT7+1),IF($L$1=2,MT7+1,IF($L$1=3,DATE(YEAR(MN7),MONTH(MN7)+1,1),IF($L$1=4,DATE(YEAR(MN7),MONTH(MN7)+3,1),1))))</f>
        <v/>
      </c>
      <c r="MV7" s="6">
        <f>IF($L$1=1,MU7,IF($L$1=2,MU7+1,IF($L$1=3,MU7+4,IF($L$1=4,MU7+13,1))))</f>
        <v/>
      </c>
      <c r="MW7" s="6">
        <f>IF($L$1=1,MV7,IF($L$1=2,MV7+1,IF($L$1=3,MV7+4,IF($L$1=4,MV7+12,1))))</f>
        <v/>
      </c>
      <c r="MX7" s="6">
        <f>IF($L$1=1,MW7,IF($L$1=2,MW7+1,IF($L$1=3,MW7+4,IF($L$1=4,MW7+13,1))))</f>
        <v/>
      </c>
      <c r="MY7" s="6">
        <f>IF($L$1=1,MX7,IF($L$1=2,MX7+1,IF($L$1=3,MX7+4,IF($L$1=4,MX7+12,1))))</f>
        <v/>
      </c>
      <c r="MZ7" s="6">
        <f>IF($L$1=1,MY7,IF($L$1=2,MY7+1,IF($L$1=3,MY7+4,IF($L$1=4,MY7+13,1))))</f>
        <v/>
      </c>
      <c r="NA7" s="6">
        <f>IF($L$1=1,MZ7,IF($L$1=2,MZ7+1,IF($L$1=3,MZ7+4,IF($L$1=4,MZ7+12,1))))</f>
        <v/>
      </c>
      <c r="NB7" s="6">
        <f>IF($L$1=1,IF(AND(NOT($J$1),WEEKDAY(NA7,$M$1+1)=4),NA7+3,NA7+1),IF($L$1=2,NA7+1,IF($L$1=3,DATE(YEAR(MU7),MONTH(MU7)+1,1),IF($L$1=4,DATE(YEAR(MU7),MONTH(MU7)+3,1),1))))</f>
        <v/>
      </c>
      <c r="NC7" s="6">
        <f>IF($L$1=1,NB7,IF($L$1=2,NB7+1,IF($L$1=3,NB7+4,IF($L$1=4,NB7+13,1))))</f>
        <v/>
      </c>
      <c r="ND7" s="6">
        <f>IF($L$1=1,NC7,IF($L$1=2,NC7+1,IF($L$1=3,NC7+4,IF($L$1=4,NC7+12,1))))</f>
        <v/>
      </c>
      <c r="NE7" s="6">
        <f>IF($L$1=1,ND7,IF($L$1=2,ND7+1,IF($L$1=3,ND7+4,IF($L$1=4,ND7+13,1))))</f>
        <v/>
      </c>
      <c r="NF7" s="6">
        <f>IF($L$1=1,NE7,IF($L$1=2,NE7+1,IF($L$1=3,NE7+4,IF($L$1=4,NE7+12,1))))</f>
        <v/>
      </c>
      <c r="NG7" s="6">
        <f>IF($L$1=1,NF7,IF($L$1=2,NF7+1,IF($L$1=3,NF7+4,IF($L$1=4,NF7+13,1))))</f>
        <v/>
      </c>
      <c r="NH7" s="6">
        <f>IF($L$1=1,NG7,IF($L$1=2,NG7+1,IF($L$1=3,NG7+4,IF($L$1=4,NG7+12,1))))</f>
        <v/>
      </c>
      <c r="NI7" s="6">
        <f>IF($L$1=1,IF(AND(NOT($J$1),WEEKDAY(NH7,$M$1+1)=4),NH7+3,NH7+1),IF($L$1=2,NH7+1,IF($L$1=3,DATE(YEAR(NB7),MONTH(NB7)+1,1),IF($L$1=4,DATE(YEAR(NB7),MONTH(NB7)+3,1),1))))</f>
        <v/>
      </c>
      <c r="NJ7" s="6">
        <f>IF($L$1=1,NI7,IF($L$1=2,NI7+1,IF($L$1=3,NI7+4,IF($L$1=4,NI7+13,1))))</f>
        <v/>
      </c>
      <c r="NK7" s="6">
        <f>IF($L$1=1,NJ7,IF($L$1=2,NJ7+1,IF($L$1=3,NJ7+4,IF($L$1=4,NJ7+12,1))))</f>
        <v/>
      </c>
      <c r="NL7" s="6">
        <f>IF($L$1=1,NK7,IF($L$1=2,NK7+1,IF($L$1=3,NK7+4,IF($L$1=4,NK7+13,1))))</f>
        <v/>
      </c>
      <c r="NM7" s="6">
        <f>IF($L$1=1,NL7,IF($L$1=2,NL7+1,IF($L$1=3,NL7+4,IF($L$1=4,NL7+12,1))))</f>
        <v/>
      </c>
      <c r="NN7" s="6">
        <f>IF($L$1=1,NM7,IF($L$1=2,NM7+1,IF($L$1=3,NM7+4,IF($L$1=4,NM7+13,1))))</f>
        <v/>
      </c>
      <c r="NO7" s="6">
        <f>IF($L$1=1,NN7,IF($L$1=2,NN7+1,IF($L$1=3,NN7+4,IF($L$1=4,NN7+12,1))))</f>
        <v/>
      </c>
      <c r="NP7" s="6">
        <f>IF($L$1=1,IF(AND(NOT($J$1),WEEKDAY(NO7,$M$1+1)=4),NO7+3,NO7+1),IF($L$1=2,NO7+1,IF($L$1=3,DATE(YEAR(NI7),MONTH(NI7)+1,1),IF($L$1=4,DATE(YEAR(NI7),MONTH(NI7)+3,1),1))))</f>
        <v/>
      </c>
      <c r="NQ7" s="6">
        <f>IF($L$1=1,NP7,IF($L$1=2,NP7+1,IF($L$1=3,NP7+4,IF($L$1=4,NP7+13,1))))</f>
        <v/>
      </c>
      <c r="NR7" s="6">
        <f>IF($L$1=1,NQ7,IF($L$1=2,NQ7+1,IF($L$1=3,NQ7+4,IF($L$1=4,NQ7+12,1))))</f>
        <v/>
      </c>
      <c r="NS7" s="6">
        <f>IF($L$1=1,NR7,IF($L$1=2,NR7+1,IF($L$1=3,NR7+4,IF($L$1=4,NR7+13,1))))</f>
        <v/>
      </c>
      <c r="NT7" s="6">
        <f>IF($L$1=1,NS7,IF($L$1=2,NS7+1,IF($L$1=3,NS7+4,IF($L$1=4,NS7+12,1))))</f>
        <v/>
      </c>
      <c r="NU7" s="6">
        <f>IF($L$1=1,NT7,IF($L$1=2,NT7+1,IF($L$1=3,NT7+4,IF($L$1=4,NT7+13,1))))</f>
        <v/>
      </c>
      <c r="NV7" s="6">
        <f>IF($L$1=1,NU7,IF($L$1=2,NU7+1,IF($L$1=3,NU7+4,IF($L$1=4,NU7+12,1))))</f>
        <v/>
      </c>
      <c r="NW7" s="6">
        <f>IF($L$1=1,IF(AND(NOT($J$1),WEEKDAY(NV7,$M$1+1)=4),NV7+3,NV7+1),IF($L$1=2,NV7+1,IF($L$1=3,DATE(YEAR(NP7),MONTH(NP7)+1,1),IF($L$1=4,DATE(YEAR(NP7),MONTH(NP7)+3,1),1))))</f>
        <v/>
      </c>
      <c r="NX7" s="6">
        <f>IF($L$1=1,NW7,IF($L$1=2,NW7+1,IF($L$1=3,NW7+4,IF($L$1=4,NW7+13,1))))</f>
        <v/>
      </c>
      <c r="NY7" s="6">
        <f>IF($L$1=1,NX7,IF($L$1=2,NX7+1,IF($L$1=3,NX7+4,IF($L$1=4,NX7+12,1))))</f>
        <v/>
      </c>
      <c r="NZ7" s="6">
        <f>IF($L$1=1,NY7,IF($L$1=2,NY7+1,IF($L$1=3,NY7+4,IF($L$1=4,NY7+13,1))))</f>
        <v/>
      </c>
      <c r="OA7" s="6">
        <f>IF($L$1=1,NZ7,IF($L$1=2,NZ7+1,IF($L$1=3,NZ7+4,IF($L$1=4,NZ7+12,1))))</f>
        <v/>
      </c>
      <c r="OB7" s="6">
        <f>IF($L$1=1,OA7,IF($L$1=2,OA7+1,IF($L$1=3,OA7+4,IF($L$1=4,OA7+13,1))))</f>
        <v/>
      </c>
      <c r="OC7" s="6">
        <f>IF($L$1=1,OB7,IF($L$1=2,OB7+1,IF($L$1=3,OB7+4,IF($L$1=4,OB7+12,1))))</f>
        <v/>
      </c>
      <c r="OD7" s="6">
        <f>IF($L$1=1,IF(AND(NOT($J$1),WEEKDAY(OC7,$M$1+1)=4),OC7+3,OC7+1),IF($L$1=2,OC7+1,IF($L$1=3,DATE(YEAR(NW7),MONTH(NW7)+1,1),IF($L$1=4,DATE(YEAR(NW7),MONTH(NW7)+3,1),1))))</f>
        <v/>
      </c>
      <c r="OE7" s="6">
        <f>IF($L$1=1,OD7,IF($L$1=2,OD7+1,IF($L$1=3,OD7+4,IF($L$1=4,OD7+13,1))))</f>
        <v/>
      </c>
      <c r="OF7" s="6">
        <f>IF($L$1=1,OE7,IF($L$1=2,OE7+1,IF($L$1=3,OE7+4,IF($L$1=4,OE7+12,1))))</f>
        <v/>
      </c>
      <c r="OG7" s="6">
        <f>IF($L$1=1,OF7,IF($L$1=2,OF7+1,IF($L$1=3,OF7+4,IF($L$1=4,OF7+13,1))))</f>
        <v/>
      </c>
      <c r="OH7" s="6">
        <f>IF($L$1=1,OG7,IF($L$1=2,OG7+1,IF($L$1=3,OG7+4,IF($L$1=4,OG7+12,1))))</f>
        <v/>
      </c>
      <c r="OI7" s="6">
        <f>IF($L$1=1,OH7,IF($L$1=2,OH7+1,IF($L$1=3,OH7+4,IF($L$1=4,OH7+13,1))))</f>
        <v/>
      </c>
      <c r="OJ7" s="6">
        <f>IF($L$1=1,OI7,IF($L$1=2,OI7+1,IF($L$1=3,OI7+4,IF($L$1=4,OI7+12,1))))</f>
        <v/>
      </c>
      <c r="OK7" s="6">
        <f>IF($L$1=1,IF(AND(NOT($J$1),WEEKDAY(OJ7,$M$1+1)=4),OJ7+3,OJ7+1),IF($L$1=2,OJ7+1,IF($L$1=3,DATE(YEAR(OD7),MONTH(OD7)+1,1),IF($L$1=4,DATE(YEAR(OD7),MONTH(OD7)+3,1),1))))</f>
        <v/>
      </c>
      <c r="OL7" s="6">
        <f>IF($L$1=1,OK7,IF($L$1=2,OK7+1,IF($L$1=3,OK7+4,IF($L$1=4,OK7+13,1))))</f>
        <v/>
      </c>
      <c r="OM7" s="6">
        <f>IF($L$1=1,OL7,IF($L$1=2,OL7+1,IF($L$1=3,OL7+4,IF($L$1=4,OL7+12,1))))</f>
        <v/>
      </c>
      <c r="ON7" s="6">
        <f>IF($L$1=1,OM7,IF($L$1=2,OM7+1,IF($L$1=3,OM7+4,IF($L$1=4,OM7+13,1))))</f>
        <v/>
      </c>
      <c r="OO7" s="6">
        <f>IF($L$1=1,ON7,IF($L$1=2,ON7+1,IF($L$1=3,ON7+4,IF($L$1=4,ON7+12,1))))</f>
        <v/>
      </c>
      <c r="OP7" s="6">
        <f>IF($L$1=1,OO7,IF($L$1=2,OO7+1,IF($L$1=3,OO7+4,IF($L$1=4,OO7+13,1))))</f>
        <v/>
      </c>
      <c r="OQ7" s="6">
        <f>IF($L$1=1,OP7,IF($L$1=2,OP7+1,IF($L$1=3,OP7+4,IF($L$1=4,OP7+12,1))))</f>
        <v/>
      </c>
      <c r="OR7" s="6">
        <f>IF($L$1=1,IF(AND(NOT($J$1),WEEKDAY(OQ7,$M$1+1)=4),OQ7+3,OQ7+1),IF($L$1=2,OQ7+1,IF($L$1=3,DATE(YEAR(OK7),MONTH(OK7)+1,1),IF($L$1=4,DATE(YEAR(OK7),MONTH(OK7)+3,1),1))))</f>
        <v/>
      </c>
      <c r="OS7" s="6">
        <f>IF($L$1=1,OR7,IF($L$1=2,OR7+1,IF($L$1=3,OR7+4,IF($L$1=4,OR7+13,1))))</f>
        <v/>
      </c>
      <c r="OT7" s="6">
        <f>IF($L$1=1,OS7,IF($L$1=2,OS7+1,IF($L$1=3,OS7+4,IF($L$1=4,OS7+12,1))))</f>
        <v/>
      </c>
      <c r="OU7" s="6">
        <f>IF($L$1=1,OT7,IF($L$1=2,OT7+1,IF($L$1=3,OT7+4,IF($L$1=4,OT7+13,1))))</f>
        <v/>
      </c>
      <c r="OV7" s="6">
        <f>IF($L$1=1,OU7,IF($L$1=2,OU7+1,IF($L$1=3,OU7+4,IF($L$1=4,OU7+12,1))))</f>
        <v/>
      </c>
      <c r="OW7" s="6">
        <f>IF($L$1=1,OV7,IF($L$1=2,OV7+1,IF($L$1=3,OV7+4,IF($L$1=4,OV7+13,1))))</f>
        <v/>
      </c>
      <c r="OX7" s="6">
        <f>IF($L$1=1,OW7,IF($L$1=2,OW7+1,IF($L$1=3,OW7+4,IF($L$1=4,OW7+12,1))))</f>
        <v/>
      </c>
      <c r="OY7" s="6">
        <f>IF($L$1=1,IF(AND(NOT($J$1),WEEKDAY(OX7,$M$1+1)=4),OX7+3,OX7+1),IF($L$1=2,OX7+1,IF($L$1=3,DATE(YEAR(OR7),MONTH(OR7)+1,1),IF($L$1=4,DATE(YEAR(OR7),MONTH(OR7)+3,1),1))))</f>
        <v/>
      </c>
      <c r="OZ7" s="6">
        <f>IF($L$1=1,OY7,IF($L$1=2,OY7+1,IF($L$1=3,OY7+4,IF($L$1=4,OY7+13,1))))</f>
        <v/>
      </c>
      <c r="PA7" s="6">
        <f>IF($L$1=1,OZ7,IF($L$1=2,OZ7+1,IF($L$1=3,OZ7+4,IF($L$1=4,OZ7+12,1))))</f>
        <v/>
      </c>
      <c r="PB7" s="6">
        <f>IF($L$1=1,PA7,IF($L$1=2,PA7+1,IF($L$1=3,PA7+4,IF($L$1=4,PA7+13,1))))</f>
        <v/>
      </c>
      <c r="PC7" s="6">
        <f>IF($L$1=1,PB7,IF($L$1=2,PB7+1,IF($L$1=3,PB7+4,IF($L$1=4,PB7+12,1))))</f>
        <v/>
      </c>
      <c r="PD7" s="6">
        <f>IF($L$1=1,PC7,IF($L$1=2,PC7+1,IF($L$1=3,PC7+4,IF($L$1=4,PC7+13,1))))</f>
        <v/>
      </c>
      <c r="PE7" s="6">
        <f>IF($L$1=1,PD7,IF($L$1=2,PD7+1,IF($L$1=3,PD7+4,IF($L$1=4,PD7+12,1))))</f>
        <v/>
      </c>
      <c r="PF7" s="6">
        <f>IF($L$1=1,IF(AND(NOT($J$1),WEEKDAY(PE7,$M$1+1)=4),PE7+3,PE7+1),IF($L$1=2,PE7+1,IF($L$1=3,DATE(YEAR(OY7),MONTH(OY7)+1,1),IF($L$1=4,DATE(YEAR(OY7),MONTH(OY7)+3,1),1))))</f>
        <v/>
      </c>
      <c r="PG7" s="6">
        <f>IF($L$1=1,PF7,IF($L$1=2,PF7+1,IF($L$1=3,PF7+4,IF($L$1=4,PF7+13,1))))</f>
        <v/>
      </c>
      <c r="PH7" s="6">
        <f>IF($L$1=1,PG7,IF($L$1=2,PG7+1,IF($L$1=3,PG7+4,IF($L$1=4,PG7+12,1))))</f>
        <v/>
      </c>
      <c r="PI7" s="6">
        <f>IF($L$1=1,PH7,IF($L$1=2,PH7+1,IF($L$1=3,PH7+4,IF($L$1=4,PH7+13,1))))</f>
        <v/>
      </c>
      <c r="PJ7" s="6">
        <f>IF($L$1=1,PI7,IF($L$1=2,PI7+1,IF($L$1=3,PI7+4,IF($L$1=4,PI7+12,1))))</f>
        <v/>
      </c>
      <c r="PK7" s="6">
        <f>IF($L$1=1,PJ7,IF($L$1=2,PJ7+1,IF($L$1=3,PJ7+4,IF($L$1=4,PJ7+13,1))))</f>
        <v/>
      </c>
      <c r="PL7" s="6">
        <f>IF($L$1=1,PK7,IF($L$1=2,PK7+1,IF($L$1=3,PK7+4,IF($L$1=4,PK7+12,1))))</f>
        <v/>
      </c>
      <c r="PM7" s="6">
        <f>IF($L$1=1,IF(AND(NOT($J$1),WEEKDAY(PL7,$M$1+1)=4),PL7+3,PL7+1),IF($L$1=2,PL7+1,IF($L$1=3,DATE(YEAR(PF7),MONTH(PF7)+1,1),IF($L$1=4,DATE(YEAR(PF7),MONTH(PF7)+3,1),1))))</f>
        <v/>
      </c>
      <c r="PN7" s="6">
        <f>IF($L$1=1,PM7,IF($L$1=2,PM7+1,IF($L$1=3,PM7+4,IF($L$1=4,PM7+13,1))))</f>
        <v/>
      </c>
      <c r="PO7" s="6">
        <f>IF($L$1=1,PN7,IF($L$1=2,PN7+1,IF($L$1=3,PN7+4,IF($L$1=4,PN7+12,1))))</f>
        <v/>
      </c>
      <c r="PP7" s="6">
        <f>IF($L$1=1,PO7,IF($L$1=2,PO7+1,IF($L$1=3,PO7+4,IF($L$1=4,PO7+13,1))))</f>
        <v/>
      </c>
      <c r="PQ7" s="6">
        <f>IF($L$1=1,PP7,IF($L$1=2,PP7+1,IF($L$1=3,PP7+4,IF($L$1=4,PP7+12,1))))</f>
        <v/>
      </c>
      <c r="PR7" s="6">
        <f>IF($L$1=1,PQ7,IF($L$1=2,PQ7+1,IF($L$1=3,PQ7+4,IF($L$1=4,PQ7+13,1))))</f>
        <v/>
      </c>
      <c r="PS7" s="6">
        <f>IF($L$1=1,PR7,IF($L$1=2,PR7+1,IF($L$1=3,PR7+4,IF($L$1=4,PR7+12,1))))</f>
        <v/>
      </c>
      <c r="PT7" s="6">
        <f>IF($L$1=1,IF(AND(NOT($J$1),WEEKDAY(PS7,$M$1+1)=4),PS7+3,PS7+1),IF($L$1=2,PS7+1,IF($L$1=3,DATE(YEAR(PM7),MONTH(PM7)+1,1),IF($L$1=4,DATE(YEAR(PM7),MONTH(PM7)+3,1),1))))</f>
        <v/>
      </c>
      <c r="PU7" s="6">
        <f>IF($L$1=1,PT7,IF($L$1=2,PT7+1,IF($L$1=3,PT7+4,IF($L$1=4,PT7+13,1))))</f>
        <v/>
      </c>
      <c r="PV7" s="6">
        <f>IF($L$1=1,PU7,IF($L$1=2,PU7+1,IF($L$1=3,PU7+4,IF($L$1=4,PU7+12,1))))</f>
        <v/>
      </c>
      <c r="PW7" s="6">
        <f>IF($L$1=1,PV7,IF($L$1=2,PV7+1,IF($L$1=3,PV7+4,IF($L$1=4,PV7+13,1))))</f>
        <v/>
      </c>
      <c r="PX7" s="6">
        <f>IF($L$1=1,PW7,IF($L$1=2,PW7+1,IF($L$1=3,PW7+4,IF($L$1=4,PW7+12,1))))</f>
        <v/>
      </c>
      <c r="PY7" s="6">
        <f>IF($L$1=1,PX7,IF($L$1=2,PX7+1,IF($L$1=3,PX7+4,IF($L$1=4,PX7+13,1))))</f>
        <v/>
      </c>
      <c r="PZ7" s="6">
        <f>IF($L$1=1,PY7,IF($L$1=2,PY7+1,IF($L$1=3,PY7+4,IF($L$1=4,PY7+12,1))))</f>
        <v/>
      </c>
      <c r="QA7" s="6">
        <f>IF($L$1=1,IF(AND(NOT($J$1),WEEKDAY(PZ7,$M$1+1)=4),PZ7+3,PZ7+1),IF($L$1=2,PZ7+1,IF($L$1=3,DATE(YEAR(PT7),MONTH(PT7)+1,1),IF($L$1=4,DATE(YEAR(PT7),MONTH(PT7)+3,1),1))))</f>
        <v/>
      </c>
      <c r="QB7" s="6">
        <f>IF($L$1=1,QA7,IF($L$1=2,QA7+1,IF($L$1=3,QA7+4,IF($L$1=4,QA7+13,1))))</f>
        <v/>
      </c>
      <c r="QC7" s="6">
        <f>IF($L$1=1,QB7,IF($L$1=2,QB7+1,IF($L$1=3,QB7+4,IF($L$1=4,QB7+12,1))))</f>
        <v/>
      </c>
      <c r="QD7" s="6">
        <f>IF($L$1=1,QC7,IF($L$1=2,QC7+1,IF($L$1=3,QC7+4,IF($L$1=4,QC7+13,1))))</f>
        <v/>
      </c>
      <c r="QE7" s="6">
        <f>IF($L$1=1,QD7,IF($L$1=2,QD7+1,IF($L$1=3,QD7+4,IF($L$1=4,QD7+12,1))))</f>
        <v/>
      </c>
      <c r="QF7" s="6">
        <f>IF($L$1=1,QE7,IF($L$1=2,QE7+1,IF($L$1=3,QE7+4,IF($L$1=4,QE7+13,1))))</f>
        <v/>
      </c>
      <c r="QG7" s="6">
        <f>IF($L$1=1,QF7,IF($L$1=2,QF7+1,IF($L$1=3,QF7+4,IF($L$1=4,QF7+12,1))))</f>
        <v/>
      </c>
      <c r="QH7" s="6">
        <f>IF($L$1=1,IF(AND(NOT($J$1),WEEKDAY(QG7,$M$1+1)=4),QG7+3,QG7+1),IF($L$1=2,QG7+1,IF($L$1=3,DATE(YEAR(QA7),MONTH(QA7)+1,1),IF($L$1=4,DATE(YEAR(QA7),MONTH(QA7)+3,1),1))))</f>
        <v/>
      </c>
      <c r="QI7" s="6">
        <f>IF($L$1=1,QH7,IF($L$1=2,QH7+1,IF($L$1=3,QH7+4,IF($L$1=4,QH7+13,1))))</f>
        <v/>
      </c>
      <c r="QJ7" s="6">
        <f>IF($L$1=1,QI7,IF($L$1=2,QI7+1,IF($L$1=3,QI7+4,IF($L$1=4,QI7+12,1))))</f>
        <v/>
      </c>
      <c r="QK7" s="6">
        <f>IF($L$1=1,QJ7,IF($L$1=2,QJ7+1,IF($L$1=3,QJ7+4,IF($L$1=4,QJ7+13,1))))</f>
        <v/>
      </c>
      <c r="QL7" s="6">
        <f>IF($L$1=1,QK7,IF($L$1=2,QK7+1,IF($L$1=3,QK7+4,IF($L$1=4,QK7+12,1))))</f>
        <v/>
      </c>
      <c r="QM7" s="6">
        <f>IF($L$1=1,QL7,IF($L$1=2,QL7+1,IF($L$1=3,QL7+4,IF($L$1=4,QL7+13,1))))</f>
        <v/>
      </c>
      <c r="QN7" s="6">
        <f>IF($L$1=1,QM7,IF($L$1=2,QM7+1,IF($L$1=3,QM7+4,IF($L$1=4,QM7+12,1))))</f>
        <v/>
      </c>
      <c r="QO7" s="6">
        <f>IF($L$1=1,IF(AND(NOT($J$1),WEEKDAY(QN7,$M$1+1)=4),QN7+3,QN7+1),IF($L$1=2,QN7+1,IF($L$1=3,DATE(YEAR(QH7),MONTH(QH7)+1,1),IF($L$1=4,DATE(YEAR(QH7),MONTH(QH7)+3,1),1))))</f>
        <v/>
      </c>
      <c r="QP7" s="6">
        <f>IF($L$1=1,QO7,IF($L$1=2,QO7+1,IF($L$1=3,QO7+4,IF($L$1=4,QO7+13,1))))</f>
        <v/>
      </c>
      <c r="QQ7" s="6">
        <f>IF($L$1=1,QP7,IF($L$1=2,QP7+1,IF($L$1=3,QP7+4,IF($L$1=4,QP7+12,1))))</f>
        <v/>
      </c>
      <c r="QR7" s="6">
        <f>IF($L$1=1,QQ7,IF($L$1=2,QQ7+1,IF($L$1=3,QQ7+4,IF($L$1=4,QQ7+13,1))))</f>
        <v/>
      </c>
      <c r="QS7" s="6">
        <f>IF($L$1=1,QR7,IF($L$1=2,QR7+1,IF($L$1=3,QR7+4,IF($L$1=4,QR7+12,1))))</f>
        <v/>
      </c>
      <c r="QT7" s="6">
        <f>IF($L$1=1,QS7,IF($L$1=2,QS7+1,IF($L$1=3,QS7+4,IF($L$1=4,QS7+13,1))))</f>
        <v/>
      </c>
      <c r="QU7" s="6">
        <f>IF($L$1=1,QT7,IF($L$1=2,QT7+1,IF($L$1=3,QT7+4,IF($L$1=4,QT7+12,1))))</f>
        <v/>
      </c>
      <c r="QV7" s="6">
        <f>IF($L$1=1,IF(AND(NOT($J$1),WEEKDAY(QU7,$M$1+1)=4),QU7+3,QU7+1),IF($L$1=2,QU7+1,IF($L$1=3,DATE(YEAR(QO7),MONTH(QO7)+1,1),IF($L$1=4,DATE(YEAR(QO7),MONTH(QO7)+3,1),1))))</f>
        <v/>
      </c>
      <c r="QW7" s="6">
        <f>IF($L$1=1,QV7,IF($L$1=2,QV7+1,IF($L$1=3,QV7+4,IF($L$1=4,QV7+13,1))))</f>
        <v/>
      </c>
      <c r="QX7" s="6">
        <f>IF($L$1=1,QW7,IF($L$1=2,QW7+1,IF($L$1=3,QW7+4,IF($L$1=4,QW7+12,1))))</f>
        <v/>
      </c>
      <c r="QY7" s="6">
        <f>IF($L$1=1,QX7,IF($L$1=2,QX7+1,IF($L$1=3,QX7+4,IF($L$1=4,QX7+13,1))))</f>
        <v/>
      </c>
      <c r="QZ7" s="6">
        <f>IF($L$1=1,QY7,IF($L$1=2,QY7+1,IF($L$1=3,QY7+4,IF($L$1=4,QY7+12,1))))</f>
        <v/>
      </c>
      <c r="RA7" s="6">
        <f>IF($L$1=1,QZ7,IF($L$1=2,QZ7+1,IF($L$1=3,QZ7+4,IF($L$1=4,QZ7+13,1))))</f>
        <v/>
      </c>
      <c r="RB7" s="6">
        <f>IF($L$1=1,RA7,IF($L$1=2,RA7+1,IF($L$1=3,RA7+4,IF($L$1=4,RA7+12,1))))</f>
        <v/>
      </c>
      <c r="RC7" s="6">
        <f>IF($L$1=1,IF(AND(NOT($J$1),WEEKDAY(RB7,$M$1+1)=4),RB7+3,RB7+1),IF($L$1=2,RB7+1,IF($L$1=3,DATE(YEAR(QV7),MONTH(QV7)+1,1),IF($L$1=4,DATE(YEAR(QV7),MONTH(QV7)+3,1),1))))</f>
        <v/>
      </c>
      <c r="RD7" s="6">
        <f>IF($L$1=1,RC7,IF($L$1=2,RC7+1,IF($L$1=3,RC7+4,IF($L$1=4,RC7+13,1))))</f>
        <v/>
      </c>
      <c r="RE7" s="6">
        <f>IF($L$1=1,RD7,IF($L$1=2,RD7+1,IF($L$1=3,RD7+4,IF($L$1=4,RD7+12,1))))</f>
        <v/>
      </c>
      <c r="RF7" s="6">
        <f>IF($L$1=1,RE7,IF($L$1=2,RE7+1,IF($L$1=3,RE7+4,IF($L$1=4,RE7+13,1))))</f>
        <v/>
      </c>
      <c r="RG7" s="6">
        <f>IF($L$1=1,RF7,IF($L$1=2,RF7+1,IF($L$1=3,RF7+4,IF($L$1=4,RF7+12,1))))</f>
        <v/>
      </c>
      <c r="RH7" s="6">
        <f>IF($L$1=1,RG7,IF($L$1=2,RG7+1,IF($L$1=3,RG7+4,IF($L$1=4,RG7+13,1))))</f>
        <v/>
      </c>
      <c r="RI7" s="6">
        <f>IF($L$1=1,RH7,IF($L$1=2,RH7+1,IF($L$1=3,RH7+4,IF($L$1=4,RH7+12,1))))</f>
        <v/>
      </c>
      <c r="RJ7" s="6">
        <f>IF($L$1=1,IF(AND(NOT($J$1),WEEKDAY(RI7,$M$1+1)=4),RI7+3,RI7+1),IF($L$1=2,RI7+1,IF($L$1=3,DATE(YEAR(RC7),MONTH(RC7)+1,1),IF($L$1=4,DATE(YEAR(RC7),MONTH(RC7)+3,1),1))))</f>
        <v/>
      </c>
      <c r="RK7" s="6">
        <f>IF($L$1=1,RJ7,IF($L$1=2,RJ7+1,IF($L$1=3,RJ7+4,IF($L$1=4,RJ7+13,1))))</f>
        <v/>
      </c>
      <c r="RL7" s="6">
        <f>IF($L$1=1,RK7,IF($L$1=2,RK7+1,IF($L$1=3,RK7+4,IF($L$1=4,RK7+12,1))))</f>
        <v/>
      </c>
      <c r="RM7" s="6">
        <f>IF($L$1=1,RL7,IF($L$1=2,RL7+1,IF($L$1=3,RL7+4,IF($L$1=4,RL7+13,1))))</f>
        <v/>
      </c>
      <c r="RN7" s="6">
        <f>IF($L$1=1,RM7,IF($L$1=2,RM7+1,IF($L$1=3,RM7+4,IF($L$1=4,RM7+12,1))))</f>
        <v/>
      </c>
      <c r="RO7" s="6">
        <f>IF($L$1=1,RN7,IF($L$1=2,RN7+1,IF($L$1=3,RN7+4,IF($L$1=4,RN7+13,1))))</f>
        <v/>
      </c>
      <c r="RP7" s="6">
        <f>IF($L$1=1,RO7,IF($L$1=2,RO7+1,IF($L$1=3,RO7+4,IF($L$1=4,RO7+12,1))))</f>
        <v/>
      </c>
      <c r="RQ7" s="6">
        <f>IF($L$1=1,IF(AND(NOT($J$1),WEEKDAY(RP7,$M$1+1)=4),RP7+3,RP7+1),IF($L$1=2,RP7+1,IF($L$1=3,DATE(YEAR(RJ7),MONTH(RJ7)+1,1),IF($L$1=4,DATE(YEAR(RJ7),MONTH(RJ7)+3,1),1))))</f>
        <v/>
      </c>
      <c r="RR7" s="6">
        <f>IF($L$1=1,RQ7,IF($L$1=2,RQ7+1,IF($L$1=3,RQ7+4,IF($L$1=4,RQ7+13,1))))</f>
        <v/>
      </c>
      <c r="RS7" s="6">
        <f>IF($L$1=1,RR7,IF($L$1=2,RR7+1,IF($L$1=3,RR7+4,IF($L$1=4,RR7+12,1))))</f>
        <v/>
      </c>
      <c r="RT7" s="6">
        <f>IF($L$1=1,RS7,IF($L$1=2,RS7+1,IF($L$1=3,RS7+4,IF($L$1=4,RS7+13,1))))</f>
        <v/>
      </c>
      <c r="RU7" s="6">
        <f>IF($L$1=1,RT7,IF($L$1=2,RT7+1,IF($L$1=3,RT7+4,IF($L$1=4,RT7+12,1))))</f>
        <v/>
      </c>
      <c r="RV7" s="6">
        <f>IF($L$1=1,RU7,IF($L$1=2,RU7+1,IF($L$1=3,RU7+4,IF($L$1=4,RU7+13,1))))</f>
        <v/>
      </c>
      <c r="RW7" s="6">
        <f>IF($L$1=1,RV7,IF($L$1=2,RV7+1,IF($L$1=3,RV7+4,IF($L$1=4,RV7+12,1))))</f>
        <v/>
      </c>
      <c r="RX7" s="6">
        <f>IF($L$1=1,IF(AND(NOT($J$1),WEEKDAY(RW7,$M$1+1)=4),RW7+3,RW7+1),IF($L$1=2,RW7+1,IF($L$1=3,DATE(YEAR(RQ7),MONTH(RQ7)+1,1),IF($L$1=4,DATE(YEAR(RQ7),MONTH(RQ7)+3,1),1))))</f>
        <v/>
      </c>
      <c r="RY7" s="6">
        <f>IF($L$1=1,RX7,IF($L$1=2,RX7+1,IF($L$1=3,RX7+4,IF($L$1=4,RX7+13,1))))</f>
        <v/>
      </c>
      <c r="RZ7" s="6">
        <f>IF($L$1=1,RY7,IF($L$1=2,RY7+1,IF($L$1=3,RY7+4,IF($L$1=4,RY7+12,1))))</f>
        <v/>
      </c>
      <c r="SA7" s="6">
        <f>IF($L$1=1,RZ7,IF($L$1=2,RZ7+1,IF($L$1=3,RZ7+4,IF($L$1=4,RZ7+13,1))))</f>
        <v/>
      </c>
      <c r="SB7" s="6">
        <f>IF($L$1=1,SA7,IF($L$1=2,SA7+1,IF($L$1=3,SA7+4,IF($L$1=4,SA7+12,1))))</f>
        <v/>
      </c>
      <c r="SC7" s="6">
        <f>IF($L$1=1,SB7,IF($L$1=2,SB7+1,IF($L$1=3,SB7+4,IF($L$1=4,SB7+13,1))))</f>
        <v/>
      </c>
      <c r="SD7" s="6">
        <f>IF($L$1=1,SC7,IF($L$1=2,SC7+1,IF($L$1=3,SC7+4,IF($L$1=4,SC7+12,1))))</f>
        <v/>
      </c>
      <c r="SE7" s="6">
        <f>IF($L$1=1,IF(AND(NOT($J$1),WEEKDAY(SD7,$M$1+1)=4),SD7+3,SD7+1),IF($L$1=2,SD7+1,IF($L$1=3,DATE(YEAR(RX7),MONTH(RX7)+1,1),IF($L$1=4,DATE(YEAR(RX7),MONTH(RX7)+3,1),1))))</f>
        <v/>
      </c>
      <c r="SF7" s="6">
        <f>IF($L$1=1,SE7,IF($L$1=2,SE7+1,IF($L$1=3,SE7+4,IF($L$1=4,SE7+13,1))))</f>
        <v/>
      </c>
      <c r="SG7" s="6">
        <f>IF($L$1=1,SF7,IF($L$1=2,SF7+1,IF($L$1=3,SF7+4,IF($L$1=4,SF7+12,1))))</f>
        <v/>
      </c>
      <c r="SH7" s="6">
        <f>IF($L$1=1,SG7,IF($L$1=2,SG7+1,IF($L$1=3,SG7+4,IF($L$1=4,SG7+13,1))))</f>
        <v/>
      </c>
      <c r="SI7" s="6">
        <f>IF($L$1=1,SH7,IF($L$1=2,SH7+1,IF($L$1=3,SH7+4,IF($L$1=4,SH7+12,1))))</f>
        <v/>
      </c>
      <c r="SJ7" s="6">
        <f>IF($L$1=1,SI7,IF($L$1=2,SI7+1,IF($L$1=3,SI7+4,IF($L$1=4,SI7+13,1))))</f>
        <v/>
      </c>
      <c r="SK7" s="6">
        <f>IF($L$1=1,SJ7,IF($L$1=2,SJ7+1,IF($L$1=3,SJ7+4,IF($L$1=4,SJ7+12,1))))</f>
        <v/>
      </c>
    </row>
    <row r="8" ht="12.75" customHeight="1" s="99">
      <c r="A8" s="164" t="n"/>
      <c r="B8" s="196" t="inlineStr">
        <is>
          <t>Calculated End Date:</t>
        </is>
      </c>
      <c r="C8" s="197" t="n"/>
      <c r="D8" s="197" t="n"/>
      <c r="E8" s="197" t="n"/>
      <c r="F8" s="197" t="n"/>
      <c r="G8" s="254">
        <f>H13</f>
        <v/>
      </c>
      <c r="H8" s="255" t="n"/>
      <c r="I8" s="164" t="n"/>
      <c r="J8" s="164" t="n"/>
      <c r="K8" s="256" t="n"/>
      <c r="L8" s="164" t="n"/>
      <c r="M8" s="165" t="n"/>
      <c r="N8" s="164"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n"/>
      <c r="DU8" s="6" t="n"/>
      <c r="DV8" s="6" t="n"/>
      <c r="DW8" s="6" t="n"/>
      <c r="DX8" s="6" t="n"/>
      <c r="DY8" s="6" t="n"/>
      <c r="DZ8" s="6" t="n"/>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n"/>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n"/>
      <c r="IP8" s="6" t="n"/>
      <c r="IQ8" s="6" t="n"/>
      <c r="IR8" s="6" t="n"/>
      <c r="IS8" s="6" t="n"/>
      <c r="IT8" s="6" t="n"/>
      <c r="IU8" s="6" t="n"/>
      <c r="IV8" s="6" t="n"/>
      <c r="IW8" s="6" t="n"/>
      <c r="IX8" s="6" t="n"/>
      <c r="IY8" s="6" t="n"/>
      <c r="IZ8" s="6" t="n"/>
      <c r="JA8" s="6" t="n"/>
      <c r="JB8" s="6" t="n"/>
      <c r="JC8" s="6" t="n"/>
      <c r="JD8" s="6" t="n"/>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c r="KF8" s="6" t="n"/>
      <c r="KG8" s="6" t="n"/>
      <c r="KH8" s="6" t="n"/>
      <c r="KI8" s="6" t="n"/>
      <c r="KJ8" s="6" t="n"/>
      <c r="KK8" s="6" t="n"/>
      <c r="KL8" s="6" t="n"/>
      <c r="KM8" s="6" t="n"/>
      <c r="KN8" s="6" t="n"/>
      <c r="KO8" s="6" t="n"/>
      <c r="KP8" s="6" t="n"/>
      <c r="KQ8" s="6" t="n"/>
      <c r="KR8" s="6" t="n"/>
      <c r="KS8" s="6" t="n"/>
      <c r="KT8" s="6" t="n"/>
      <c r="KU8" s="6" t="n"/>
      <c r="KV8" s="6" t="n"/>
      <c r="KW8" s="6" t="n"/>
      <c r="KX8" s="6" t="n"/>
      <c r="KY8" s="6" t="n"/>
      <c r="KZ8" s="6" t="n"/>
      <c r="LA8" s="6" t="n"/>
      <c r="LB8" s="6" t="n"/>
      <c r="LC8" s="6" t="n"/>
      <c r="LD8" s="6" t="n"/>
      <c r="LE8" s="6" t="n"/>
      <c r="LF8" s="6" t="n"/>
      <c r="LG8" s="6" t="n"/>
      <c r="LH8" s="6" t="n"/>
      <c r="LI8" s="6" t="n"/>
      <c r="LJ8" s="6" t="n"/>
      <c r="LK8" s="6" t="n"/>
      <c r="LL8" s="6" t="n"/>
      <c r="LM8" s="6" t="n"/>
      <c r="LN8" s="6" t="n"/>
      <c r="LO8" s="6" t="n"/>
      <c r="LP8" s="6" t="n"/>
      <c r="LQ8" s="6" t="n"/>
      <c r="LR8" s="6" t="n"/>
      <c r="LS8" s="6" t="n"/>
      <c r="LT8" s="6" t="n"/>
      <c r="LU8" s="6" t="n"/>
      <c r="LV8" s="6" t="n"/>
      <c r="LW8" s="6" t="n"/>
      <c r="LX8" s="6" t="n"/>
      <c r="LY8" s="6" t="n"/>
      <c r="LZ8" s="6" t="n"/>
      <c r="MA8" s="6" t="n"/>
      <c r="MB8" s="6" t="n"/>
      <c r="MC8" s="6" t="n"/>
      <c r="MD8" s="6" t="n"/>
      <c r="ME8" s="6" t="n"/>
      <c r="MF8" s="6" t="n"/>
      <c r="MG8" s="6" t="n"/>
      <c r="MH8" s="6" t="n"/>
      <c r="MI8" s="6" t="n"/>
      <c r="MJ8" s="6" t="n"/>
      <c r="MK8" s="6" t="n"/>
      <c r="ML8" s="6" t="n"/>
      <c r="MM8" s="6" t="n"/>
      <c r="MN8" s="6" t="n"/>
      <c r="MO8" s="6" t="n"/>
      <c r="MP8" s="6" t="n"/>
      <c r="MQ8" s="6" t="n"/>
      <c r="MR8" s="6" t="n"/>
      <c r="MS8" s="6" t="n"/>
      <c r="MT8" s="6" t="n"/>
      <c r="MU8" s="6" t="n"/>
      <c r="MV8" s="6" t="n"/>
      <c r="MW8" s="6" t="n"/>
      <c r="MX8" s="6" t="n"/>
      <c r="MY8" s="6" t="n"/>
      <c r="MZ8" s="6" t="n"/>
      <c r="NA8" s="6" t="n"/>
      <c r="NB8" s="6" t="n"/>
      <c r="NC8" s="6" t="n"/>
      <c r="ND8" s="6" t="n"/>
      <c r="NE8" s="6" t="n"/>
      <c r="NF8" s="6" t="n"/>
      <c r="NG8" s="6" t="n"/>
      <c r="NH8" s="6" t="n"/>
      <c r="NI8" s="6" t="n"/>
      <c r="NJ8" s="6" t="n"/>
      <c r="NK8" s="6" t="n"/>
      <c r="NL8" s="6" t="n"/>
      <c r="NM8" s="6" t="n"/>
      <c r="NN8" s="6" t="n"/>
      <c r="NO8" s="6" t="n"/>
      <c r="NP8" s="6" t="n"/>
      <c r="NQ8" s="6" t="n"/>
      <c r="NR8" s="6" t="n"/>
      <c r="NS8" s="6" t="n"/>
      <c r="NT8" s="6" t="n"/>
      <c r="NU8" s="6" t="n"/>
      <c r="NV8" s="6" t="n"/>
      <c r="NW8" s="6" t="n"/>
      <c r="NX8" s="6" t="n"/>
      <c r="NY8" s="6" t="n"/>
      <c r="NZ8" s="6" t="n"/>
      <c r="OA8" s="6" t="n"/>
      <c r="OB8" s="6" t="n"/>
      <c r="OC8" s="6" t="n"/>
      <c r="OD8" s="6" t="n"/>
      <c r="OE8" s="6" t="n"/>
      <c r="OF8" s="6" t="n"/>
      <c r="OG8" s="6" t="n"/>
      <c r="OH8" s="6" t="n"/>
      <c r="OI8" s="6" t="n"/>
      <c r="OJ8" s="6" t="n"/>
      <c r="OK8" s="6" t="n"/>
      <c r="OL8" s="6" t="n"/>
      <c r="OM8" s="6" t="n"/>
      <c r="ON8" s="6" t="n"/>
      <c r="OO8" s="6" t="n"/>
      <c r="OP8" s="6" t="n"/>
      <c r="OQ8" s="6" t="n"/>
      <c r="OR8" s="6" t="n"/>
      <c r="OS8" s="6" t="n"/>
      <c r="OT8" s="6" t="n"/>
      <c r="OU8" s="6" t="n"/>
      <c r="OV8" s="6" t="n"/>
      <c r="OW8" s="6" t="n"/>
      <c r="OX8" s="6" t="n"/>
      <c r="OY8" s="6" t="n"/>
      <c r="OZ8" s="6" t="n"/>
      <c r="PA8" s="6" t="n"/>
      <c r="PB8" s="6" t="n"/>
      <c r="PC8" s="6" t="n"/>
      <c r="PD8" s="6" t="n"/>
      <c r="PE8" s="6" t="n"/>
      <c r="PF8" s="6" t="n"/>
      <c r="PG8" s="6" t="n"/>
      <c r="PH8" s="6" t="n"/>
      <c r="PI8" s="6" t="n"/>
      <c r="PJ8" s="6" t="n"/>
      <c r="PK8" s="6" t="n"/>
      <c r="PL8" s="6" t="n"/>
      <c r="PM8" s="6" t="n"/>
      <c r="PN8" s="6" t="n"/>
      <c r="PO8" s="6" t="n"/>
      <c r="PP8" s="6" t="n"/>
      <c r="PQ8" s="6" t="n"/>
      <c r="PR8" s="6" t="n"/>
      <c r="PS8" s="6" t="n"/>
      <c r="PT8" s="6" t="n"/>
      <c r="PU8" s="6" t="n"/>
      <c r="PV8" s="6" t="n"/>
      <c r="PW8" s="6" t="n"/>
      <c r="PX8" s="6" t="n"/>
      <c r="PY8" s="6" t="n"/>
      <c r="PZ8" s="6" t="n"/>
      <c r="QA8" s="6" t="n"/>
      <c r="QB8" s="6" t="n"/>
      <c r="QC8" s="6" t="n"/>
      <c r="QD8" s="6" t="n"/>
      <c r="QE8" s="6" t="n"/>
      <c r="QF8" s="6" t="n"/>
      <c r="QG8" s="6" t="n"/>
      <c r="QH8" s="6" t="n"/>
      <c r="QI8" s="6" t="n"/>
      <c r="QJ8" s="6" t="n"/>
      <c r="QK8" s="6" t="n"/>
      <c r="QL8" s="6" t="n"/>
      <c r="QM8" s="6" t="n"/>
      <c r="QN8" s="6" t="n"/>
      <c r="QO8" s="6" t="n"/>
      <c r="QP8" s="6" t="n"/>
      <c r="QQ8" s="6" t="n"/>
      <c r="QR8" s="6" t="n"/>
      <c r="QS8" s="6" t="n"/>
      <c r="QT8" s="6" t="n"/>
      <c r="QU8" s="6" t="n"/>
      <c r="QV8" s="6" t="n"/>
      <c r="QW8" s="6" t="n"/>
      <c r="QX8" s="6" t="n"/>
      <c r="QY8" s="6" t="n"/>
      <c r="QZ8" s="6" t="n"/>
      <c r="RA8" s="6" t="n"/>
      <c r="RB8" s="6" t="n"/>
      <c r="RC8" s="6" t="n"/>
      <c r="RD8" s="6" t="n"/>
      <c r="RE8" s="6" t="n"/>
      <c r="RF8" s="6" t="n"/>
      <c r="RG8" s="6" t="n"/>
      <c r="RH8" s="6" t="n"/>
      <c r="RI8" s="6" t="n"/>
      <c r="RJ8" s="6" t="n"/>
      <c r="RK8" s="6" t="n"/>
      <c r="RL8" s="6" t="n"/>
      <c r="RM8" s="6" t="n"/>
      <c r="RN8" s="6" t="n"/>
      <c r="RO8" s="6" t="n"/>
      <c r="RP8" s="6" t="n"/>
      <c r="RQ8" s="6" t="n"/>
      <c r="RR8" s="6" t="n"/>
      <c r="RS8" s="6" t="n"/>
      <c r="RT8" s="6" t="n"/>
      <c r="RU8" s="6" t="n"/>
      <c r="RV8" s="6" t="n"/>
      <c r="RW8" s="6" t="n"/>
      <c r="RX8" s="6" t="n"/>
      <c r="RY8" s="6" t="n"/>
      <c r="RZ8" s="6" t="n"/>
      <c r="SA8" s="6" t="n"/>
      <c r="SB8" s="6" t="n"/>
      <c r="SC8" s="6" t="n"/>
      <c r="SD8" s="6" t="n"/>
      <c r="SE8" s="6" t="n"/>
      <c r="SF8" s="6" t="n"/>
      <c r="SG8" s="6" t="n"/>
      <c r="SH8" s="6" t="n"/>
      <c r="SI8" s="6" t="n"/>
      <c r="SJ8" s="6" t="n"/>
      <c r="SK8" s="6" t="n"/>
    </row>
    <row r="9" ht="46.5" customFormat="1" customHeight="1" s="153">
      <c r="A9" s="218" t="inlineStr">
        <is>
          <t>WBS</t>
        </is>
      </c>
      <c r="B9" s="219" t="inlineStr">
        <is>
          <t>↓↓↓↓ Task ↓↓↓↓</t>
        </is>
      </c>
      <c r="C9" s="221" t="inlineStr">
        <is>
          <t>Lead</t>
        </is>
      </c>
      <c r="D9" s="221" t="inlineStr">
        <is>
          <t>Predecessors</t>
        </is>
      </c>
      <c r="E9" s="164" t="n"/>
      <c r="F9" s="164" t="n"/>
      <c r="G9" s="257" t="n"/>
      <c r="H9" s="222" t="inlineStr">
        <is>
          <t>End</t>
        </is>
      </c>
      <c r="I9" s="223" t="inlineStr">
        <is>
          <t>Work Days</t>
        </is>
      </c>
      <c r="J9" s="223" t="inlineStr">
        <is>
          <t>% Done</t>
        </is>
      </c>
      <c r="K9" s="223" t="inlineStr">
        <is>
          <t>Cal Days</t>
        </is>
      </c>
      <c r="L9" s="224" t="inlineStr">
        <is>
          <t>Days Done</t>
        </is>
      </c>
      <c r="M9" s="224" t="inlineStr">
        <is>
          <t>Days Left</t>
        </is>
      </c>
      <c r="N9" s="224" t="inlineStr">
        <is>
          <t>Color</t>
        </is>
      </c>
      <c r="P9" s="258">
        <f>P7</f>
        <v/>
      </c>
      <c r="W9" s="258">
        <f>W7</f>
        <v/>
      </c>
      <c r="AD9" s="258">
        <f>AD7</f>
        <v/>
      </c>
      <c r="AK9" s="258">
        <f>AK7</f>
        <v/>
      </c>
      <c r="AR9" s="258">
        <f>AR7</f>
        <v/>
      </c>
      <c r="AY9" s="258">
        <f>AY7</f>
        <v/>
      </c>
      <c r="BF9" s="258">
        <f>BF7</f>
        <v/>
      </c>
      <c r="BM9" s="258">
        <f>BM7</f>
        <v/>
      </c>
      <c r="BT9" s="258">
        <f>BT7</f>
        <v/>
      </c>
      <c r="CA9" s="258">
        <f>CA7</f>
        <v/>
      </c>
      <c r="CH9" s="258">
        <f>CH7</f>
        <v/>
      </c>
      <c r="CO9" s="258">
        <f>CO7</f>
        <v/>
      </c>
      <c r="CV9" s="258">
        <f>CV7</f>
        <v/>
      </c>
      <c r="DC9" s="258">
        <f>DC7</f>
        <v/>
      </c>
      <c r="DJ9" s="258">
        <f>DJ7</f>
        <v/>
      </c>
      <c r="DQ9" s="258">
        <f>DQ7</f>
        <v/>
      </c>
      <c r="DX9" s="258">
        <f>DX7</f>
        <v/>
      </c>
      <c r="EE9" s="258">
        <f>EE7</f>
        <v/>
      </c>
      <c r="EL9" s="258">
        <f>EL7</f>
        <v/>
      </c>
      <c r="ES9" s="258">
        <f>ES7</f>
        <v/>
      </c>
      <c r="EZ9" s="258">
        <f>EZ7</f>
        <v/>
      </c>
      <c r="FG9" s="258">
        <f>FG7</f>
        <v/>
      </c>
      <c r="FN9" s="258">
        <f>FN7</f>
        <v/>
      </c>
      <c r="FU9" s="258">
        <f>FU7</f>
        <v/>
      </c>
      <c r="GB9" s="258">
        <f>GB7</f>
        <v/>
      </c>
      <c r="GI9" s="258">
        <f>GI7</f>
        <v/>
      </c>
      <c r="GP9" s="258">
        <f>GP7</f>
        <v/>
      </c>
      <c r="GW9" s="258">
        <f>GW7</f>
        <v/>
      </c>
      <c r="HD9" s="258">
        <f>HD7</f>
        <v/>
      </c>
      <c r="HK9" s="258">
        <f>HK7</f>
        <v/>
      </c>
      <c r="HR9" s="258">
        <f>HR7</f>
        <v/>
      </c>
      <c r="HY9" s="258">
        <f>HY7</f>
        <v/>
      </c>
      <c r="IF9" s="258">
        <f>IF7</f>
        <v/>
      </c>
      <c r="IM9" s="258">
        <f>IM7</f>
        <v/>
      </c>
      <c r="IT9" s="258">
        <f>IT7</f>
        <v/>
      </c>
      <c r="JA9" s="258">
        <f>JA7</f>
        <v/>
      </c>
      <c r="JH9" s="258">
        <f>JH7</f>
        <v/>
      </c>
      <c r="JO9" s="258">
        <f>JO7</f>
        <v/>
      </c>
      <c r="JV9" s="258">
        <f>JV7</f>
        <v/>
      </c>
      <c r="KC9" s="258">
        <f>KC7</f>
        <v/>
      </c>
      <c r="KJ9" s="258">
        <f>KJ7</f>
        <v/>
      </c>
      <c r="KQ9" s="258">
        <f>KQ7</f>
        <v/>
      </c>
      <c r="KX9" s="258">
        <f>KX7</f>
        <v/>
      </c>
      <c r="LE9" s="258">
        <f>LE7</f>
        <v/>
      </c>
      <c r="LL9" s="258">
        <f>LL7</f>
        <v/>
      </c>
      <c r="LS9" s="258">
        <f>LS7</f>
        <v/>
      </c>
      <c r="LZ9" s="258">
        <f>LZ7</f>
        <v/>
      </c>
      <c r="MG9" s="258">
        <f>MG7</f>
        <v/>
      </c>
      <c r="MN9" s="258">
        <f>MN7</f>
        <v/>
      </c>
      <c r="MU9" s="258">
        <f>MU7</f>
        <v/>
      </c>
      <c r="NB9" s="258">
        <f>NB7</f>
        <v/>
      </c>
      <c r="NI9" s="258">
        <f>NI7</f>
        <v/>
      </c>
      <c r="NP9" s="258">
        <f>NP7</f>
        <v/>
      </c>
      <c r="NW9" s="258">
        <f>NW7</f>
        <v/>
      </c>
      <c r="OD9" s="258">
        <f>OD7</f>
        <v/>
      </c>
      <c r="OK9" s="258">
        <f>OK7</f>
        <v/>
      </c>
      <c r="OR9" s="258">
        <f>OR7</f>
        <v/>
      </c>
      <c r="OY9" s="258">
        <f>OY7</f>
        <v/>
      </c>
      <c r="PF9" s="258">
        <f>PF7</f>
        <v/>
      </c>
      <c r="PM9" s="258">
        <f>PM7</f>
        <v/>
      </c>
      <c r="PT9" s="258">
        <f>PT7</f>
        <v/>
      </c>
      <c r="QA9" s="258">
        <f>QA7</f>
        <v/>
      </c>
      <c r="QH9" s="258">
        <f>QH7</f>
        <v/>
      </c>
      <c r="QO9" s="258">
        <f>QO7</f>
        <v/>
      </c>
      <c r="QV9" s="258">
        <f>QV7</f>
        <v/>
      </c>
      <c r="RC9" s="258">
        <f>RC7</f>
        <v/>
      </c>
      <c r="RJ9" s="258">
        <f>RJ7</f>
        <v/>
      </c>
      <c r="RQ9" s="258">
        <f>RQ7</f>
        <v/>
      </c>
      <c r="RX9" s="258">
        <f>RX7</f>
        <v/>
      </c>
      <c r="SE9" s="258">
        <f>SE7</f>
        <v/>
      </c>
    </row>
    <row r="10" hidden="1" ht="15.75" customHeight="1" s="99">
      <c r="A10" s="164" t="n"/>
      <c r="B10" s="164" t="n"/>
      <c r="C10" s="164" t="n"/>
      <c r="D10" s="164" t="n"/>
      <c r="E10" s="164" t="n"/>
      <c r="F10" s="164" t="n"/>
      <c r="G10" s="164" t="n"/>
      <c r="H10" s="164" t="n"/>
      <c r="I10" s="164" t="n"/>
      <c r="J10" s="164" t="n"/>
      <c r="K10" s="164" t="n"/>
      <c r="L10" s="164" t="n"/>
      <c r="M10" s="164" t="n"/>
      <c r="N10" s="164" t="n"/>
      <c r="P10" s="259">
        <f>P7</f>
        <v/>
      </c>
      <c r="W10" s="259">
        <f>W7</f>
        <v/>
      </c>
      <c r="AD10" s="259">
        <f>AD7</f>
        <v/>
      </c>
      <c r="AK10" s="259">
        <f>AK7</f>
        <v/>
      </c>
      <c r="AR10" s="259">
        <f>AR7</f>
        <v/>
      </c>
      <c r="AY10" s="259">
        <f>AY7</f>
        <v/>
      </c>
      <c r="BF10" s="259">
        <f>BF7</f>
        <v/>
      </c>
      <c r="BM10" s="259">
        <f>BM7</f>
        <v/>
      </c>
      <c r="BT10" s="259">
        <f>BT7</f>
        <v/>
      </c>
      <c r="CA10" s="259">
        <f>CA7</f>
        <v/>
      </c>
      <c r="CH10" s="259">
        <f>CH7</f>
        <v/>
      </c>
      <c r="CO10" s="259">
        <f>CO7</f>
        <v/>
      </c>
      <c r="CV10" s="259">
        <f>CV7</f>
        <v/>
      </c>
      <c r="DC10" s="259">
        <f>DC7</f>
        <v/>
      </c>
      <c r="DJ10" s="259">
        <f>DJ7</f>
        <v/>
      </c>
      <c r="DQ10" s="259">
        <f>DQ7</f>
        <v/>
      </c>
      <c r="DX10" s="259">
        <f>DX7</f>
        <v/>
      </c>
      <c r="EE10" s="259">
        <f>EE7</f>
        <v/>
      </c>
      <c r="EL10" s="259">
        <f>EL7</f>
        <v/>
      </c>
      <c r="ES10" s="259">
        <f>ES7</f>
        <v/>
      </c>
      <c r="EZ10" s="259">
        <f>EZ7</f>
        <v/>
      </c>
      <c r="FG10" s="259">
        <f>FG7</f>
        <v/>
      </c>
      <c r="FN10" s="259">
        <f>FN7</f>
        <v/>
      </c>
      <c r="FU10" s="259">
        <f>FU7</f>
        <v/>
      </c>
      <c r="GB10" s="259">
        <f>GB7</f>
        <v/>
      </c>
      <c r="GI10" s="259">
        <f>GI7</f>
        <v/>
      </c>
      <c r="GP10" s="259">
        <f>GP7</f>
        <v/>
      </c>
      <c r="GW10" s="259">
        <f>GW7</f>
        <v/>
      </c>
      <c r="HD10" s="259">
        <f>HD7</f>
        <v/>
      </c>
      <c r="HK10" s="259">
        <f>HK7</f>
        <v/>
      </c>
      <c r="HR10" s="259">
        <f>HR7</f>
        <v/>
      </c>
      <c r="HY10" s="259">
        <f>HY7</f>
        <v/>
      </c>
      <c r="IF10" s="259">
        <f>IF7</f>
        <v/>
      </c>
      <c r="IM10" s="259">
        <f>IM7</f>
        <v/>
      </c>
      <c r="IT10" s="259">
        <f>IT7</f>
        <v/>
      </c>
      <c r="JA10" s="259">
        <f>JA7</f>
        <v/>
      </c>
      <c r="JH10" s="259">
        <f>JH7</f>
        <v/>
      </c>
      <c r="JO10" s="259">
        <f>JO7</f>
        <v/>
      </c>
      <c r="JV10" s="259">
        <f>JV7</f>
        <v/>
      </c>
      <c r="KC10" s="259">
        <f>KC7</f>
        <v/>
      </c>
      <c r="KJ10" s="259">
        <f>KJ7</f>
        <v/>
      </c>
      <c r="KQ10" s="259">
        <f>KQ7</f>
        <v/>
      </c>
      <c r="KX10" s="259">
        <f>KX7</f>
        <v/>
      </c>
      <c r="LE10" s="259">
        <f>LE7</f>
        <v/>
      </c>
      <c r="LL10" s="259">
        <f>LL7</f>
        <v/>
      </c>
      <c r="LS10" s="259">
        <f>LS7</f>
        <v/>
      </c>
      <c r="LZ10" s="259">
        <f>LZ7</f>
        <v/>
      </c>
      <c r="MG10" s="259">
        <f>MG7</f>
        <v/>
      </c>
      <c r="MN10" s="259">
        <f>MN7</f>
        <v/>
      </c>
      <c r="MU10" s="259">
        <f>MU7</f>
        <v/>
      </c>
      <c r="NB10" s="259">
        <f>NB7</f>
        <v/>
      </c>
      <c r="NI10" s="259">
        <f>NI7</f>
        <v/>
      </c>
      <c r="NP10" s="259">
        <f>NP7</f>
        <v/>
      </c>
      <c r="NW10" s="259">
        <f>NW7</f>
        <v/>
      </c>
      <c r="OD10" s="259">
        <f>OD7</f>
        <v/>
      </c>
      <c r="OK10" s="259">
        <f>OK7</f>
        <v/>
      </c>
      <c r="OR10" s="259">
        <f>OR7</f>
        <v/>
      </c>
      <c r="OY10" s="259">
        <f>OY7</f>
        <v/>
      </c>
      <c r="PF10" s="259">
        <f>PF7</f>
        <v/>
      </c>
      <c r="PM10" s="259">
        <f>PM7</f>
        <v/>
      </c>
      <c r="PT10" s="259">
        <f>PT7</f>
        <v/>
      </c>
      <c r="QA10" s="259">
        <f>QA7</f>
        <v/>
      </c>
      <c r="QH10" s="259">
        <f>QH7</f>
        <v/>
      </c>
      <c r="QO10" s="259">
        <f>QO7</f>
        <v/>
      </c>
      <c r="QV10" s="259">
        <f>QV7</f>
        <v/>
      </c>
      <c r="RC10" s="259">
        <f>RC7</f>
        <v/>
      </c>
      <c r="RJ10" s="259">
        <f>RJ7</f>
        <v/>
      </c>
      <c r="RQ10" s="259">
        <f>RQ7</f>
        <v/>
      </c>
      <c r="RX10" s="259">
        <f>RX7</f>
        <v/>
      </c>
      <c r="SE10" s="259">
        <f>SE7</f>
        <v/>
      </c>
    </row>
    <row r="11" s="99">
      <c r="A11" s="260" t="n"/>
      <c r="B11" s="260" t="n"/>
      <c r="C11" s="260" t="n"/>
      <c r="D11" s="260" t="n"/>
      <c r="E11" s="260" t="n"/>
      <c r="F11" s="260" t="n"/>
      <c r="G11" s="260" t="n"/>
      <c r="H11" s="260" t="n"/>
      <c r="I11" s="260" t="n"/>
      <c r="J11" s="260" t="n"/>
      <c r="K11" s="260" t="n"/>
      <c r="L11" s="260" t="n"/>
      <c r="M11" s="260" t="n"/>
      <c r="N11" s="260" t="n"/>
      <c r="O11" s="225" t="n"/>
      <c r="P11" s="226">
        <f>IF($L$1=1,INDEX({"Su";"M";"Tu";"W";"Th";"F";"Sa"},WEEKDAY(P7,1)),IF($L$1=2,$K$1+INT((COLUMN()-COLUMN($P$7))/7),IF($L$1=4,"Q"&amp;INT((MONTH(P9)-1)/3+1),"")))</f>
        <v/>
      </c>
      <c r="Q11" s="225" t="n"/>
      <c r="R11" s="225" t="n"/>
      <c r="S11" s="225" t="n"/>
      <c r="T11" s="225" t="n"/>
      <c r="U11" s="225" t="n"/>
      <c r="V11" s="225" t="n"/>
      <c r="W11" s="226">
        <f>IF($L$1=1,INDEX({"Su";"M";"Tu";"W";"Th";"F";"Sa"},WEEKDAY(W7,1)),IF($L$1=2,$K$1+INT((COLUMN()-COLUMN($P$7))/7),IF($L$1=4,"Q"&amp;INT((MONTH(W9)-1)/3+1),"")))</f>
        <v/>
      </c>
      <c r="X11" s="225" t="n"/>
      <c r="Y11" s="225" t="n"/>
      <c r="Z11" s="225" t="n"/>
      <c r="AA11" s="225" t="n"/>
      <c r="AB11" s="225" t="n"/>
      <c r="AC11" s="225" t="n"/>
      <c r="AD11" s="226">
        <f>IF($L$1=1,INDEX({"Su";"M";"Tu";"W";"Th";"F";"Sa"},WEEKDAY(AD7,1)),IF($L$1=2,$K$1+INT((COLUMN()-COLUMN($P$7))/7),IF($L$1=4,"Q"&amp;INT((MONTH(AD9)-1)/3+1),"")))</f>
        <v/>
      </c>
      <c r="AE11" s="225" t="n"/>
      <c r="AF11" s="225" t="n"/>
      <c r="AG11" s="225" t="n"/>
      <c r="AH11" s="225" t="n"/>
      <c r="AI11" s="225" t="n"/>
      <c r="AJ11" s="225" t="n"/>
      <c r="AK11" s="226">
        <f>IF($L$1=1,INDEX({"Su";"M";"Tu";"W";"Th";"F";"Sa"},WEEKDAY(AK7,1)),IF($L$1=2,$K$1+INT((COLUMN()-COLUMN($P$7))/7),IF($L$1=4,"Q"&amp;INT((MONTH(AK9)-1)/3+1),"")))</f>
        <v/>
      </c>
      <c r="AL11" s="225" t="n"/>
      <c r="AM11" s="225" t="n"/>
      <c r="AN11" s="225" t="n"/>
      <c r="AO11" s="225" t="n"/>
      <c r="AP11" s="225" t="n"/>
      <c r="AQ11" s="225" t="n"/>
      <c r="AR11" s="226">
        <f>IF($L$1=1,INDEX({"Su";"M";"Tu";"W";"Th";"F";"Sa"},WEEKDAY(AR7,1)),IF($L$1=2,$K$1+INT((COLUMN()-COLUMN($P$7))/7),IF($L$1=4,"Q"&amp;INT((MONTH(AR9)-1)/3+1),"")))</f>
        <v/>
      </c>
      <c r="AS11" s="225" t="n"/>
      <c r="AT11" s="225" t="n"/>
      <c r="AU11" s="225" t="n"/>
      <c r="AV11" s="225" t="n"/>
      <c r="AW11" s="225" t="n"/>
      <c r="AX11" s="225" t="n"/>
      <c r="AY11" s="226">
        <f>IF($L$1=1,INDEX({"Su";"M";"Tu";"W";"Th";"F";"Sa"},WEEKDAY(AY7,1)),IF($L$1=2,$K$1+INT((COLUMN()-COLUMN($P$7))/7),IF($L$1=4,"Q"&amp;INT((MONTH(AY9)-1)/3+1),"")))</f>
        <v/>
      </c>
      <c r="AZ11" s="225" t="n"/>
      <c r="BA11" s="225" t="n"/>
      <c r="BB11" s="225" t="n"/>
      <c r="BC11" s="225" t="n"/>
      <c r="BD11" s="225" t="n"/>
      <c r="BE11" s="225" t="n"/>
      <c r="BF11" s="226">
        <f>IF($L$1=1,INDEX({"Su";"M";"Tu";"W";"Th";"F";"Sa"},WEEKDAY(BF7,1)),IF($L$1=2,$K$1+INT((COLUMN()-COLUMN($P$7))/7),IF($L$1=4,"Q"&amp;INT((MONTH(BF9)-1)/3+1),"")))</f>
        <v/>
      </c>
      <c r="BG11" s="225" t="n"/>
      <c r="BH11" s="225" t="n"/>
      <c r="BI11" s="225" t="n"/>
      <c r="BJ11" s="225" t="n"/>
      <c r="BK11" s="225" t="n"/>
      <c r="BL11" s="225" t="n"/>
      <c r="BM11" s="226">
        <f>IF($L$1=1,INDEX({"Su";"M";"Tu";"W";"Th";"F";"Sa"},WEEKDAY(BM7,1)),IF($L$1=2,$K$1+INT((COLUMN()-COLUMN($P$7))/7),IF($L$1=4,"Q"&amp;INT((MONTH(BM9)-1)/3+1),"")))</f>
        <v/>
      </c>
      <c r="BN11" s="225" t="n"/>
      <c r="BO11" s="225" t="n"/>
      <c r="BP11" s="225" t="n"/>
      <c r="BQ11" s="225" t="n"/>
      <c r="BR11" s="225" t="n"/>
      <c r="BS11" s="225" t="n"/>
      <c r="BT11" s="226">
        <f>IF($L$1=1,INDEX({"Su";"M";"Tu";"W";"Th";"F";"Sa"},WEEKDAY(BT7,1)),IF($L$1=2,$K$1+INT((COLUMN()-COLUMN($P$7))/7),IF($L$1=4,"Q"&amp;INT((MONTH(BT9)-1)/3+1),"")))</f>
        <v/>
      </c>
      <c r="BU11" s="225" t="n"/>
      <c r="BV11" s="225" t="n"/>
      <c r="BW11" s="225" t="n"/>
      <c r="BX11" s="225" t="n"/>
      <c r="BY11" s="225" t="n"/>
      <c r="BZ11" s="225" t="n"/>
      <c r="CA11" s="226">
        <f>IF($L$1=1,INDEX({"Su";"M";"Tu";"W";"Th";"F";"Sa"},WEEKDAY(CA7,1)),IF($L$1=2,$K$1+INT((COLUMN()-COLUMN($P$7))/7),IF($L$1=4,"Q"&amp;INT((MONTH(CA9)-1)/3+1),"")))</f>
        <v/>
      </c>
      <c r="CB11" s="225" t="n"/>
      <c r="CC11" s="225" t="n"/>
      <c r="CD11" s="225" t="n"/>
      <c r="CE11" s="225" t="n"/>
      <c r="CF11" s="225" t="n"/>
      <c r="CG11" s="225" t="n"/>
      <c r="CH11" s="226">
        <f>IF($L$1=1,INDEX({"Su";"M";"Tu";"W";"Th";"F";"Sa"},WEEKDAY(CH7,1)),IF($L$1=2,$K$1+INT((COLUMN()-COLUMN($P$7))/7),IF($L$1=4,"Q"&amp;INT((MONTH(CH9)-1)/3+1),"")))</f>
        <v/>
      </c>
      <c r="CI11" s="225" t="n"/>
      <c r="CJ11" s="225" t="n"/>
      <c r="CK11" s="225" t="n"/>
      <c r="CL11" s="225" t="n"/>
      <c r="CM11" s="225" t="n"/>
      <c r="CN11" s="225" t="n"/>
      <c r="CO11" s="226">
        <f>IF($L$1=1,INDEX({"Su";"M";"Tu";"W";"Th";"F";"Sa"},WEEKDAY(CO7,1)),IF($L$1=2,$K$1+INT((COLUMN()-COLUMN($P$7))/7),IF($L$1=4,"Q"&amp;INT((MONTH(CO9)-1)/3+1),"")))</f>
        <v/>
      </c>
      <c r="CP11" s="225" t="n"/>
      <c r="CQ11" s="225" t="n"/>
      <c r="CR11" s="225" t="n"/>
      <c r="CS11" s="225" t="n"/>
      <c r="CT11" s="225" t="n"/>
      <c r="CU11" s="225" t="n"/>
      <c r="CV11" s="226">
        <f>IF($L$1=1,INDEX({"Su";"M";"Tu";"W";"Th";"F";"Sa"},WEEKDAY(CV7,1)),IF($L$1=2,$K$1+INT((COLUMN()-COLUMN($P$7))/7),IF($L$1=4,"Q"&amp;INT((MONTH(CV9)-1)/3+1),"")))</f>
        <v/>
      </c>
      <c r="CW11" s="225" t="n"/>
      <c r="CX11" s="225" t="n"/>
      <c r="CY11" s="225" t="n"/>
      <c r="CZ11" s="225" t="n"/>
      <c r="DA11" s="225" t="n"/>
      <c r="DB11" s="225" t="n"/>
      <c r="DC11" s="226">
        <f>IF($L$1=1,INDEX({"Su";"M";"Tu";"W";"Th";"F";"Sa"},WEEKDAY(DC7,1)),IF($L$1=2,$K$1+INT((COLUMN()-COLUMN($P$7))/7),IF($L$1=4,"Q"&amp;INT((MONTH(DC9)-1)/3+1),"")))</f>
        <v/>
      </c>
      <c r="DD11" s="225" t="n"/>
      <c r="DE11" s="225" t="n"/>
      <c r="DF11" s="225" t="n"/>
      <c r="DG11" s="225" t="n"/>
      <c r="DH11" s="225" t="n"/>
      <c r="DI11" s="225" t="n"/>
      <c r="DJ11" s="226">
        <f>IF($L$1=1,INDEX({"Su";"M";"Tu";"W";"Th";"F";"Sa"},WEEKDAY(DJ7,1)),IF($L$1=2,$K$1+INT((COLUMN()-COLUMN($P$7))/7),IF($L$1=4,"Q"&amp;INT((MONTH(DJ9)-1)/3+1),"")))</f>
        <v/>
      </c>
      <c r="DK11" s="225" t="n"/>
      <c r="DL11" s="225" t="n"/>
      <c r="DM11" s="225" t="n"/>
      <c r="DN11" s="225" t="n"/>
      <c r="DO11" s="225" t="n"/>
      <c r="DP11" s="225" t="n"/>
      <c r="DQ11" s="226">
        <f>IF($L$1=1,INDEX({"Su";"M";"Tu";"W";"Th";"F";"Sa"},WEEKDAY(DQ7,1)),IF($L$1=2,$K$1+INT((COLUMN()-COLUMN($P$7))/7),IF($L$1=4,"Q"&amp;INT((MONTH(DQ9)-1)/3+1),"")))</f>
        <v/>
      </c>
      <c r="DR11" s="225" t="n"/>
      <c r="DS11" s="225" t="n"/>
      <c r="DT11" s="225" t="n"/>
      <c r="DU11" s="225" t="n"/>
      <c r="DV11" s="225" t="n"/>
      <c r="DW11" s="225" t="n"/>
      <c r="DX11" s="226">
        <f>IF($L$1=1,INDEX({"Su";"M";"Tu";"W";"Th";"F";"Sa"},WEEKDAY(DX7,1)),IF($L$1=2,$K$1+INT((COLUMN()-COLUMN($P$7))/7),IF($L$1=4,"Q"&amp;INT((MONTH(DX9)-1)/3+1),"")))</f>
        <v/>
      </c>
      <c r="DY11" s="225" t="n"/>
      <c r="DZ11" s="225" t="n"/>
      <c r="EA11" s="225" t="n"/>
      <c r="EB11" s="225" t="n"/>
      <c r="EC11" s="225" t="n"/>
      <c r="ED11" s="225" t="n"/>
      <c r="EE11" s="226">
        <f>IF($L$1=1,INDEX({"Su";"M";"Tu";"W";"Th";"F";"Sa"},WEEKDAY(EE7,1)),IF($L$1=2,$K$1+INT((COLUMN()-COLUMN($P$7))/7),IF($L$1=4,"Q"&amp;INT((MONTH(EE9)-1)/3+1),"")))</f>
        <v/>
      </c>
      <c r="EF11" s="225" t="n"/>
      <c r="EG11" s="225" t="n"/>
      <c r="EH11" s="225" t="n"/>
      <c r="EI11" s="225" t="n"/>
      <c r="EJ11" s="225" t="n"/>
      <c r="EK11" s="225" t="n"/>
      <c r="EL11" s="226">
        <f>IF($L$1=1,INDEX({"Su";"M";"Tu";"W";"Th";"F";"Sa"},WEEKDAY(EL7,1)),IF($L$1=2,$K$1+INT((COLUMN()-COLUMN($P$7))/7),IF($L$1=4,"Q"&amp;INT((MONTH(EL9)-1)/3+1),"")))</f>
        <v/>
      </c>
      <c r="EM11" s="225" t="n"/>
      <c r="EN11" s="225" t="n"/>
      <c r="EO11" s="225" t="n"/>
      <c r="EP11" s="225" t="n"/>
      <c r="EQ11" s="225" t="n"/>
      <c r="ER11" s="225" t="n"/>
      <c r="ES11" s="226">
        <f>IF($L$1=1,INDEX({"Su";"M";"Tu";"W";"Th";"F";"Sa"},WEEKDAY(ES7,1)),IF($L$1=2,$K$1+INT((COLUMN()-COLUMN($P$7))/7),IF($L$1=4,"Q"&amp;INT((MONTH(ES9)-1)/3+1),"")))</f>
        <v/>
      </c>
      <c r="ET11" s="225" t="n"/>
      <c r="EU11" s="225" t="n"/>
      <c r="EV11" s="225" t="n"/>
      <c r="EW11" s="225" t="n"/>
      <c r="EX11" s="225" t="n"/>
      <c r="EY11" s="225" t="n"/>
      <c r="EZ11" s="226">
        <f>IF($L$1=1,INDEX({"Su";"M";"Tu";"W";"Th";"F";"Sa"},WEEKDAY(EZ7,1)),IF($L$1=2,$K$1+INT((COLUMN()-COLUMN($P$7))/7),IF($L$1=4,"Q"&amp;INT((MONTH(EZ9)-1)/3+1),"")))</f>
        <v/>
      </c>
      <c r="FA11" s="225" t="n"/>
      <c r="FB11" s="225" t="n"/>
      <c r="FC11" s="225" t="n"/>
      <c r="FD11" s="225" t="n"/>
      <c r="FE11" s="225" t="n"/>
      <c r="FF11" s="225" t="n"/>
      <c r="FG11" s="226">
        <f>IF($L$1=1,INDEX({"Su";"M";"Tu";"W";"Th";"F";"Sa"},WEEKDAY(FG7,1)),IF($L$1=2,$K$1+INT((COLUMN()-COLUMN($P$7))/7),IF($L$1=4,"Q"&amp;INT((MONTH(FG9)-1)/3+1),"")))</f>
        <v/>
      </c>
      <c r="FH11" s="225" t="n"/>
      <c r="FI11" s="225" t="n"/>
      <c r="FJ11" s="225" t="n"/>
      <c r="FK11" s="225" t="n"/>
      <c r="FL11" s="225" t="n"/>
      <c r="FM11" s="225" t="n"/>
      <c r="FN11" s="226">
        <f>IF($L$1=1,INDEX({"Su";"M";"Tu";"W";"Th";"F";"Sa"},WEEKDAY(FN7,1)),IF($L$1=2,$K$1+INT((COLUMN()-COLUMN($P$7))/7),IF($L$1=4,"Q"&amp;INT((MONTH(FN9)-1)/3+1),"")))</f>
        <v/>
      </c>
      <c r="FO11" s="225" t="n"/>
      <c r="FP11" s="225" t="n"/>
      <c r="FQ11" s="225" t="n"/>
      <c r="FR11" s="225" t="n"/>
      <c r="FS11" s="225" t="n"/>
      <c r="FT11" s="225" t="n"/>
      <c r="FU11" s="226">
        <f>IF($L$1=1,INDEX({"Su";"M";"Tu";"W";"Th";"F";"Sa"},WEEKDAY(FU7,1)),IF($L$1=2,$K$1+INT((COLUMN()-COLUMN($P$7))/7),IF($L$1=4,"Q"&amp;INT((MONTH(FU9)-1)/3+1),"")))</f>
        <v/>
      </c>
      <c r="FV11" s="225" t="n"/>
      <c r="FW11" s="225" t="n"/>
      <c r="FX11" s="225" t="n"/>
      <c r="FY11" s="225" t="n"/>
      <c r="FZ11" s="225" t="n"/>
      <c r="GA11" s="225" t="n"/>
      <c r="GB11" s="226">
        <f>IF($L$1=1,INDEX({"Su";"M";"Tu";"W";"Th";"F";"Sa"},WEEKDAY(GB7,1)),IF($L$1=2,$K$1+INT((COLUMN()-COLUMN($P$7))/7),IF($L$1=4,"Q"&amp;INT((MONTH(GB9)-1)/3+1),"")))</f>
        <v/>
      </c>
      <c r="GC11" s="225" t="n"/>
      <c r="GD11" s="225" t="n"/>
      <c r="GE11" s="225" t="n"/>
      <c r="GF11" s="225" t="n"/>
      <c r="GG11" s="225" t="n"/>
      <c r="GH11" s="225" t="n"/>
      <c r="GI11" s="226">
        <f>IF($L$1=1,INDEX({"Su";"M";"Tu";"W";"Th";"F";"Sa"},WEEKDAY(GI7,1)),IF($L$1=2,$K$1+INT((COLUMN()-COLUMN($P$7))/7),IF($L$1=4,"Q"&amp;INT((MONTH(GI9)-1)/3+1),"")))</f>
        <v/>
      </c>
      <c r="GJ11" s="225" t="n"/>
      <c r="GK11" s="225" t="n"/>
      <c r="GL11" s="225" t="n"/>
      <c r="GM11" s="225" t="n"/>
      <c r="GN11" s="225" t="n"/>
      <c r="GO11" s="225" t="n"/>
      <c r="GP11" s="226">
        <f>IF($L$1=1,INDEX({"Su";"M";"Tu";"W";"Th";"F";"Sa"},WEEKDAY(GP7,1)),IF($L$1=2,$K$1+INT((COLUMN()-COLUMN($P$7))/7),IF($L$1=4,"Q"&amp;INT((MONTH(GP9)-1)/3+1),"")))</f>
        <v/>
      </c>
      <c r="GQ11" s="225" t="n"/>
      <c r="GR11" s="225" t="n"/>
      <c r="GS11" s="225" t="n"/>
      <c r="GT11" s="225" t="n"/>
      <c r="GU11" s="225" t="n"/>
      <c r="GV11" s="225" t="n"/>
      <c r="GW11" s="226">
        <f>IF($L$1=1,INDEX({"Su";"M";"Tu";"W";"Th";"F";"Sa"},WEEKDAY(GW7,1)),IF($L$1=2,$K$1+INT((COLUMN()-COLUMN($P$7))/7),IF($L$1=4,"Q"&amp;INT((MONTH(GW9)-1)/3+1),"")))</f>
        <v/>
      </c>
      <c r="GX11" s="225" t="n"/>
      <c r="GY11" s="225" t="n"/>
      <c r="GZ11" s="225" t="n"/>
      <c r="HA11" s="225" t="n"/>
      <c r="HB11" s="225" t="n"/>
      <c r="HC11" s="225" t="n"/>
      <c r="HD11" s="226">
        <f>IF($L$1=1,INDEX({"Su";"M";"Tu";"W";"Th";"F";"Sa"},WEEKDAY(HD7,1)),IF($L$1=2,$K$1+INT((COLUMN()-COLUMN($P$7))/7),IF($L$1=4,"Q"&amp;INT((MONTH(HD9)-1)/3+1),"")))</f>
        <v/>
      </c>
      <c r="HE11" s="225" t="n"/>
      <c r="HF11" s="225" t="n"/>
      <c r="HG11" s="225" t="n"/>
      <c r="HH11" s="225" t="n"/>
      <c r="HI11" s="225" t="n"/>
      <c r="HJ11" s="225" t="n"/>
      <c r="HK11" s="226">
        <f>IF($L$1=1,INDEX({"Su";"M";"Tu";"W";"Th";"F";"Sa"},WEEKDAY(HK7,1)),IF($L$1=2,$K$1+INT((COLUMN()-COLUMN($P$7))/7),IF($L$1=4,"Q"&amp;INT((MONTH(HK9)-1)/3+1),"")))</f>
        <v/>
      </c>
      <c r="HL11" s="225" t="n"/>
      <c r="HM11" s="225" t="n"/>
      <c r="HN11" s="225" t="n"/>
      <c r="HO11" s="225" t="n"/>
      <c r="HP11" s="225" t="n"/>
      <c r="HQ11" s="225" t="n"/>
      <c r="HR11" s="226">
        <f>IF($L$1=1,INDEX({"Su";"M";"Tu";"W";"Th";"F";"Sa"},WEEKDAY(HR7,1)),IF($L$1=2,$K$1+INT((COLUMN()-COLUMN($P$7))/7),IF($L$1=4,"Q"&amp;INT((MONTH(HR9)-1)/3+1),"")))</f>
        <v/>
      </c>
      <c r="HS11" s="225" t="n"/>
      <c r="HT11" s="225" t="n"/>
      <c r="HU11" s="225" t="n"/>
      <c r="HV11" s="225" t="n"/>
      <c r="HW11" s="225" t="n"/>
      <c r="HX11" s="225" t="n"/>
      <c r="HY11" s="226">
        <f>IF($L$1=1,INDEX({"Su";"M";"Tu";"W";"Th";"F";"Sa"},WEEKDAY(HY7,1)),IF($L$1=2,$K$1+INT((COLUMN()-COLUMN($P$7))/7),IF($L$1=4,"Q"&amp;INT((MONTH(HY9)-1)/3+1),"")))</f>
        <v/>
      </c>
      <c r="HZ11" s="225" t="n"/>
      <c r="IA11" s="225" t="n"/>
      <c r="IB11" s="225" t="n"/>
      <c r="IC11" s="225" t="n"/>
      <c r="ID11" s="225" t="n"/>
      <c r="IE11" s="225" t="n"/>
      <c r="IF11" s="226">
        <f>IF($L$1=1,INDEX({"Su";"M";"Tu";"W";"Th";"F";"Sa"},WEEKDAY(IF7,1)),IF($L$1=2,$K$1+INT((COLUMN()-COLUMN($P$7))/7),IF($L$1=4,"Q"&amp;INT((MONTH(IF9)-1)/3+1),"")))</f>
        <v/>
      </c>
      <c r="IG11" s="225" t="n"/>
      <c r="IH11" s="225" t="n"/>
      <c r="II11" s="225" t="n"/>
      <c r="IJ11" s="225" t="n"/>
      <c r="IK11" s="225" t="n"/>
      <c r="IL11" s="225" t="n"/>
      <c r="IM11" s="226">
        <f>IF($L$1=1,INDEX({"Su";"M";"Tu";"W";"Th";"F";"Sa"},WEEKDAY(IM7,1)),IF($L$1=2,$K$1+INT((COLUMN()-COLUMN($P$7))/7),IF($L$1=4,"Q"&amp;INT((MONTH(IM9)-1)/3+1),"")))</f>
        <v/>
      </c>
      <c r="IN11" s="225" t="n"/>
      <c r="IO11" s="225" t="n"/>
      <c r="IP11" s="225" t="n"/>
      <c r="IQ11" s="225" t="n"/>
      <c r="IR11" s="225" t="n"/>
      <c r="IS11" s="225" t="n"/>
      <c r="IT11" s="226">
        <f>IF($L$1=1,INDEX({"Su";"M";"Tu";"W";"Th";"F";"Sa"},WEEKDAY(IT7,1)),IF($L$1=2,$K$1+INT((COLUMN()-COLUMN($P$7))/7),IF($L$1=4,"Q"&amp;INT((MONTH(IT9)-1)/3+1),"")))</f>
        <v/>
      </c>
      <c r="IU11" s="225" t="n"/>
      <c r="IV11" s="225" t="n"/>
      <c r="IW11" s="225" t="n"/>
      <c r="IX11" s="225" t="n"/>
      <c r="IY11" s="225" t="n"/>
      <c r="IZ11" s="225" t="n"/>
      <c r="JA11" s="226">
        <f>IF($L$1=1,INDEX({"Su";"M";"Tu";"W";"Th";"F";"Sa"},WEEKDAY(JA7,1)),IF($L$1=2,$K$1+INT((COLUMN()-COLUMN($P$7))/7),IF($L$1=4,"Q"&amp;INT((MONTH(JA9)-1)/3+1),"")))</f>
        <v/>
      </c>
      <c r="JB11" s="225" t="n"/>
      <c r="JC11" s="225" t="n"/>
      <c r="JD11" s="225" t="n"/>
      <c r="JE11" s="225" t="n"/>
      <c r="JF11" s="225" t="n"/>
      <c r="JG11" s="225" t="n"/>
      <c r="JH11" s="226">
        <f>IF($L$1=1,INDEX({"Su";"M";"Tu";"W";"Th";"F";"Sa"},WEEKDAY(JH7,1)),IF($L$1=2,$K$1+INT((COLUMN()-COLUMN($P$7))/7),IF($L$1=4,"Q"&amp;INT((MONTH(JH9)-1)/3+1),"")))</f>
        <v/>
      </c>
      <c r="JI11" s="225" t="n"/>
      <c r="JJ11" s="225" t="n"/>
      <c r="JK11" s="225" t="n"/>
      <c r="JL11" s="225" t="n"/>
      <c r="JM11" s="225" t="n"/>
      <c r="JN11" s="225" t="n"/>
      <c r="JO11" s="226">
        <f>IF($L$1=1,INDEX({"Su";"M";"Tu";"W";"Th";"F";"Sa"},WEEKDAY(JO7,1)),IF($L$1=2,$K$1+INT((COLUMN()-COLUMN($P$7))/7),IF($L$1=4,"Q"&amp;INT((MONTH(JO9)-1)/3+1),"")))</f>
        <v/>
      </c>
      <c r="JP11" s="225" t="n"/>
      <c r="JQ11" s="225" t="n"/>
      <c r="JR11" s="225" t="n"/>
      <c r="JS11" s="225" t="n"/>
      <c r="JT11" s="225" t="n"/>
      <c r="JU11" s="225" t="n"/>
      <c r="JV11" s="226">
        <f>IF($L$1=1,INDEX({"Su";"M";"Tu";"W";"Th";"F";"Sa"},WEEKDAY(JV7,1)),IF($L$1=2,$K$1+INT((COLUMN()-COLUMN($P$7))/7),IF($L$1=4,"Q"&amp;INT((MONTH(JV9)-1)/3+1),"")))</f>
        <v/>
      </c>
      <c r="JW11" s="225" t="n"/>
      <c r="JX11" s="225" t="n"/>
      <c r="JY11" s="225" t="n"/>
      <c r="JZ11" s="225" t="n"/>
      <c r="KA11" s="225" t="n"/>
      <c r="KB11" s="225" t="n"/>
      <c r="KC11" s="226">
        <f>IF($L$1=1,INDEX({"Su";"M";"Tu";"W";"Th";"F";"Sa"},WEEKDAY(KC7,1)),IF($L$1=2,$K$1+INT((COLUMN()-COLUMN($P$7))/7),IF($L$1=4,"Q"&amp;INT((MONTH(KC9)-1)/3+1),"")))</f>
        <v/>
      </c>
      <c r="KD11" s="225" t="n"/>
      <c r="KE11" s="225" t="n"/>
      <c r="KF11" s="225" t="n"/>
      <c r="KG11" s="225" t="n"/>
      <c r="KH11" s="225" t="n"/>
      <c r="KI11" s="225" t="n"/>
      <c r="KJ11" s="226">
        <f>IF($L$1=1,INDEX({"Su";"M";"Tu";"W";"Th";"F";"Sa"},WEEKDAY(KJ7,1)),IF($L$1=2,$K$1+INT((COLUMN()-COLUMN($P$7))/7),IF($L$1=4,"Q"&amp;INT((MONTH(KJ9)-1)/3+1),"")))</f>
        <v/>
      </c>
      <c r="KK11" s="225" t="n"/>
      <c r="KL11" s="225" t="n"/>
      <c r="KM11" s="225" t="n"/>
      <c r="KN11" s="225" t="n"/>
      <c r="KO11" s="225" t="n"/>
      <c r="KP11" s="225" t="n"/>
      <c r="KQ11" s="226">
        <f>IF($L$1=1,INDEX({"Su";"M";"Tu";"W";"Th";"F";"Sa"},WEEKDAY(KQ7,1)),IF($L$1=2,$K$1+INT((COLUMN()-COLUMN($P$7))/7),IF($L$1=4,"Q"&amp;INT((MONTH(KQ9)-1)/3+1),"")))</f>
        <v/>
      </c>
      <c r="KR11" s="225" t="n"/>
      <c r="KS11" s="225" t="n"/>
      <c r="KT11" s="225" t="n"/>
      <c r="KU11" s="225" t="n"/>
      <c r="KV11" s="225" t="n"/>
      <c r="KW11" s="225" t="n"/>
      <c r="KX11" s="226">
        <f>IF($L$1=1,INDEX({"Su";"M";"Tu";"W";"Th";"F";"Sa"},WEEKDAY(KX7,1)),IF($L$1=2,$K$1+INT((COLUMN()-COLUMN($P$7))/7),IF($L$1=4,"Q"&amp;INT((MONTH(KX9)-1)/3+1),"")))</f>
        <v/>
      </c>
      <c r="KY11" s="225" t="n"/>
      <c r="KZ11" s="225" t="n"/>
      <c r="LA11" s="225" t="n"/>
      <c r="LB11" s="225" t="n"/>
      <c r="LC11" s="225" t="n"/>
      <c r="LD11" s="225" t="n"/>
      <c r="LE11" s="226">
        <f>IF($L$1=1,INDEX({"Su";"M";"Tu";"W";"Th";"F";"Sa"},WEEKDAY(LE7,1)),IF($L$1=2,$K$1+INT((COLUMN()-COLUMN($P$7))/7),IF($L$1=4,"Q"&amp;INT((MONTH(LE9)-1)/3+1),"")))</f>
        <v/>
      </c>
      <c r="LF11" s="225" t="n"/>
      <c r="LG11" s="225" t="n"/>
      <c r="LH11" s="225" t="n"/>
      <c r="LI11" s="225" t="n"/>
      <c r="LJ11" s="225" t="n"/>
      <c r="LK11" s="225" t="n"/>
      <c r="LL11" s="226">
        <f>IF($L$1=1,INDEX({"Su";"M";"Tu";"W";"Th";"F";"Sa"},WEEKDAY(LL7,1)),IF($L$1=2,$K$1+INT((COLUMN()-COLUMN($P$7))/7),IF($L$1=4,"Q"&amp;INT((MONTH(LL9)-1)/3+1),"")))</f>
        <v/>
      </c>
      <c r="LM11" s="225" t="n"/>
      <c r="LN11" s="225" t="n"/>
      <c r="LO11" s="225" t="n"/>
      <c r="LP11" s="225" t="n"/>
      <c r="LQ11" s="225" t="n"/>
      <c r="LR11" s="225" t="n"/>
      <c r="LS11" s="226">
        <f>IF($L$1=1,INDEX({"Su";"M";"Tu";"W";"Th";"F";"Sa"},WEEKDAY(LS7,1)),IF($L$1=2,$K$1+INT((COLUMN()-COLUMN($P$7))/7),IF($L$1=4,"Q"&amp;INT((MONTH(LS9)-1)/3+1),"")))</f>
        <v/>
      </c>
      <c r="LT11" s="225" t="n"/>
      <c r="LU11" s="225" t="n"/>
      <c r="LV11" s="225" t="n"/>
      <c r="LW11" s="225" t="n"/>
      <c r="LX11" s="225" t="n"/>
      <c r="LY11" s="225" t="n"/>
      <c r="LZ11" s="226">
        <f>IF($L$1=1,INDEX({"Su";"M";"Tu";"W";"Th";"F";"Sa"},WEEKDAY(LZ7,1)),IF($L$1=2,$K$1+INT((COLUMN()-COLUMN($P$7))/7),IF($L$1=4,"Q"&amp;INT((MONTH(LZ9)-1)/3+1),"")))</f>
        <v/>
      </c>
      <c r="MA11" s="225" t="n"/>
      <c r="MB11" s="225" t="n"/>
      <c r="MC11" s="225" t="n"/>
      <c r="MD11" s="225" t="n"/>
      <c r="ME11" s="225" t="n"/>
      <c r="MF11" s="225" t="n"/>
      <c r="MG11" s="226">
        <f>IF($L$1=1,INDEX({"Su";"M";"Tu";"W";"Th";"F";"Sa"},WEEKDAY(MG7,1)),IF($L$1=2,$K$1+INT((COLUMN()-COLUMN($P$7))/7),IF($L$1=4,"Q"&amp;INT((MONTH(MG9)-1)/3+1),"")))</f>
        <v/>
      </c>
      <c r="MH11" s="225" t="n"/>
      <c r="MI11" s="225" t="n"/>
      <c r="MJ11" s="225" t="n"/>
      <c r="MK11" s="225" t="n"/>
      <c r="ML11" s="225" t="n"/>
      <c r="MM11" s="225" t="n"/>
      <c r="MN11" s="226">
        <f>IF($L$1=1,INDEX({"Su";"M";"Tu";"W";"Th";"F";"Sa"},WEEKDAY(MN7,1)),IF($L$1=2,$K$1+INT((COLUMN()-COLUMN($P$7))/7),IF($L$1=4,"Q"&amp;INT((MONTH(MN9)-1)/3+1),"")))</f>
        <v/>
      </c>
      <c r="MO11" s="225" t="n"/>
      <c r="MP11" s="225" t="n"/>
      <c r="MQ11" s="225" t="n"/>
      <c r="MR11" s="225" t="n"/>
      <c r="MS11" s="225" t="n"/>
      <c r="MT11" s="225" t="n"/>
      <c r="MU11" s="226">
        <f>IF($L$1=1,INDEX({"Su";"M";"Tu";"W";"Th";"F";"Sa"},WEEKDAY(MU7,1)),IF($L$1=2,$K$1+INT((COLUMN()-COLUMN($P$7))/7),IF($L$1=4,"Q"&amp;INT((MONTH(MU9)-1)/3+1),"")))</f>
        <v/>
      </c>
      <c r="MV11" s="225" t="n"/>
      <c r="MW11" s="225" t="n"/>
      <c r="MX11" s="225" t="n"/>
      <c r="MY11" s="225" t="n"/>
      <c r="MZ11" s="225" t="n"/>
      <c r="NA11" s="225" t="n"/>
      <c r="NB11" s="226">
        <f>IF($L$1=1,INDEX({"Su";"M";"Tu";"W";"Th";"F";"Sa"},WEEKDAY(NB7,1)),IF($L$1=2,$K$1+INT((COLUMN()-COLUMN($P$7))/7),IF($L$1=4,"Q"&amp;INT((MONTH(NB9)-1)/3+1),"")))</f>
        <v/>
      </c>
      <c r="NC11" s="225" t="n"/>
      <c r="ND11" s="225" t="n"/>
      <c r="NE11" s="225" t="n"/>
      <c r="NF11" s="225" t="n"/>
      <c r="NG11" s="225" t="n"/>
      <c r="NH11" s="225" t="n"/>
      <c r="NI11" s="226">
        <f>IF($L$1=1,INDEX({"Su";"M";"Tu";"W";"Th";"F";"Sa"},WEEKDAY(NI7,1)),IF($L$1=2,$K$1+INT((COLUMN()-COLUMN($P$7))/7),IF($L$1=4,"Q"&amp;INT((MONTH(NI9)-1)/3+1),"")))</f>
        <v/>
      </c>
      <c r="NJ11" s="225" t="n"/>
      <c r="NK11" s="225" t="n"/>
      <c r="NL11" s="225" t="n"/>
      <c r="NM11" s="225" t="n"/>
      <c r="NN11" s="225" t="n"/>
      <c r="NO11" s="225" t="n"/>
      <c r="NP11" s="226">
        <f>IF($L$1=1,INDEX({"Su";"M";"Tu";"W";"Th";"F";"Sa"},WEEKDAY(NP7,1)),IF($L$1=2,$K$1+INT((COLUMN()-COLUMN($P$7))/7),IF($L$1=4,"Q"&amp;INT((MONTH(NP9)-1)/3+1),"")))</f>
        <v/>
      </c>
      <c r="NQ11" s="225" t="n"/>
      <c r="NR11" s="225" t="n"/>
      <c r="NS11" s="225" t="n"/>
      <c r="NT11" s="225" t="n"/>
      <c r="NU11" s="225" t="n"/>
      <c r="NV11" s="225" t="n"/>
      <c r="NW11" s="226">
        <f>IF($L$1=1,INDEX({"Su";"M";"Tu";"W";"Th";"F";"Sa"},WEEKDAY(NW7,1)),IF($L$1=2,$K$1+INT((COLUMN()-COLUMN($P$7))/7),IF($L$1=4,"Q"&amp;INT((MONTH(NW9)-1)/3+1),"")))</f>
        <v/>
      </c>
      <c r="NX11" s="225" t="n"/>
      <c r="NY11" s="225" t="n"/>
      <c r="NZ11" s="225" t="n"/>
      <c r="OA11" s="225" t="n"/>
      <c r="OB11" s="225" t="n"/>
      <c r="OC11" s="225" t="n"/>
      <c r="OD11" s="226">
        <f>IF($L$1=1,INDEX({"Su";"M";"Tu";"W";"Th";"F";"Sa"},WEEKDAY(OD7,1)),IF($L$1=2,$K$1+INT((COLUMN()-COLUMN($P$7))/7),IF($L$1=4,"Q"&amp;INT((MONTH(OD9)-1)/3+1),"")))</f>
        <v/>
      </c>
      <c r="OE11" s="225" t="n"/>
      <c r="OF11" s="225" t="n"/>
      <c r="OG11" s="225" t="n"/>
      <c r="OH11" s="225" t="n"/>
      <c r="OI11" s="225" t="n"/>
      <c r="OJ11" s="225" t="n"/>
      <c r="OK11" s="226">
        <f>IF($L$1=1,INDEX({"Su";"M";"Tu";"W";"Th";"F";"Sa"},WEEKDAY(OK7,1)),IF($L$1=2,$K$1+INT((COLUMN()-COLUMN($P$7))/7),IF($L$1=4,"Q"&amp;INT((MONTH(OK9)-1)/3+1),"")))</f>
        <v/>
      </c>
      <c r="OL11" s="225" t="n"/>
      <c r="OM11" s="225" t="n"/>
      <c r="ON11" s="225" t="n"/>
      <c r="OO11" s="225" t="n"/>
      <c r="OP11" s="225" t="n"/>
      <c r="OQ11" s="225" t="n"/>
      <c r="OR11" s="226">
        <f>IF($L$1=1,INDEX({"Su";"M";"Tu";"W";"Th";"F";"Sa"},WEEKDAY(OR7,1)),IF($L$1=2,$K$1+INT((COLUMN()-COLUMN($P$7))/7),IF($L$1=4,"Q"&amp;INT((MONTH(OR9)-1)/3+1),"")))</f>
        <v/>
      </c>
      <c r="OS11" s="225" t="n"/>
      <c r="OT11" s="225" t="n"/>
      <c r="OU11" s="225" t="n"/>
      <c r="OV11" s="225" t="n"/>
      <c r="OW11" s="225" t="n"/>
      <c r="OX11" s="225" t="n"/>
      <c r="OY11" s="226">
        <f>IF($L$1=1,INDEX({"Su";"M";"Tu";"W";"Th";"F";"Sa"},WEEKDAY(OY7,1)),IF($L$1=2,$K$1+INT((COLUMN()-COLUMN($P$7))/7),IF($L$1=4,"Q"&amp;INT((MONTH(OY9)-1)/3+1),"")))</f>
        <v/>
      </c>
      <c r="OZ11" s="225" t="n"/>
      <c r="PA11" s="225" t="n"/>
      <c r="PB11" s="225" t="n"/>
      <c r="PC11" s="225" t="n"/>
      <c r="PD11" s="225" t="n"/>
      <c r="PE11" s="225" t="n"/>
      <c r="PF11" s="226">
        <f>IF($L$1=1,INDEX({"Su";"M";"Tu";"W";"Th";"F";"Sa"},WEEKDAY(PF7,1)),IF($L$1=2,$K$1+INT((COLUMN()-COLUMN($P$7))/7),IF($L$1=4,"Q"&amp;INT((MONTH(PF9)-1)/3+1),"")))</f>
        <v/>
      </c>
      <c r="PG11" s="225" t="n"/>
      <c r="PH11" s="225" t="n"/>
      <c r="PI11" s="225" t="n"/>
      <c r="PJ11" s="225" t="n"/>
      <c r="PK11" s="225" t="n"/>
      <c r="PL11" s="225" t="n"/>
      <c r="PM11" s="226">
        <f>IF($L$1=1,INDEX({"Su";"M";"Tu";"W";"Th";"F";"Sa"},WEEKDAY(PM7,1)),IF($L$1=2,$K$1+INT((COLUMN()-COLUMN($P$7))/7),IF($L$1=4,"Q"&amp;INT((MONTH(PM9)-1)/3+1),"")))</f>
        <v/>
      </c>
      <c r="PN11" s="225" t="n"/>
      <c r="PO11" s="225" t="n"/>
      <c r="PP11" s="225" t="n"/>
      <c r="PQ11" s="225" t="n"/>
      <c r="PR11" s="225" t="n"/>
      <c r="PS11" s="225" t="n"/>
      <c r="PT11" s="226">
        <f>IF($L$1=1,INDEX({"Su";"M";"Tu";"W";"Th";"F";"Sa"},WEEKDAY(PT7,1)),IF($L$1=2,$K$1+INT((COLUMN()-COLUMN($P$7))/7),IF($L$1=4,"Q"&amp;INT((MONTH(PT9)-1)/3+1),"")))</f>
        <v/>
      </c>
      <c r="PU11" s="225" t="n"/>
      <c r="PV11" s="225" t="n"/>
      <c r="PW11" s="225" t="n"/>
      <c r="PX11" s="225" t="n"/>
      <c r="PY11" s="225" t="n"/>
      <c r="PZ11" s="225" t="n"/>
      <c r="QA11" s="226">
        <f>IF($L$1=1,INDEX({"Su";"M";"Tu";"W";"Th";"F";"Sa"},WEEKDAY(QA7,1)),IF($L$1=2,$K$1+INT((COLUMN()-COLUMN($P$7))/7),IF($L$1=4,"Q"&amp;INT((MONTH(QA9)-1)/3+1),"")))</f>
        <v/>
      </c>
      <c r="QB11" s="225" t="n"/>
      <c r="QC11" s="225" t="n"/>
      <c r="QD11" s="225" t="n"/>
      <c r="QE11" s="225" t="n"/>
      <c r="QF11" s="225" t="n"/>
      <c r="QG11" s="225" t="n"/>
      <c r="QH11" s="226">
        <f>IF($L$1=1,INDEX({"Su";"M";"Tu";"W";"Th";"F";"Sa"},WEEKDAY(QH7,1)),IF($L$1=2,$K$1+INT((COLUMN()-COLUMN($P$7))/7),IF($L$1=4,"Q"&amp;INT((MONTH(QH9)-1)/3+1),"")))</f>
        <v/>
      </c>
      <c r="QI11" s="225" t="n"/>
      <c r="QJ11" s="225" t="n"/>
      <c r="QK11" s="225" t="n"/>
      <c r="QL11" s="225" t="n"/>
      <c r="QM11" s="225" t="n"/>
      <c r="QN11" s="225" t="n"/>
      <c r="QO11" s="226">
        <f>IF($L$1=1,INDEX({"Su";"M";"Tu";"W";"Th";"F";"Sa"},WEEKDAY(QO7,1)),IF($L$1=2,$K$1+INT((COLUMN()-COLUMN($P$7))/7),IF($L$1=4,"Q"&amp;INT((MONTH(QO9)-1)/3+1),"")))</f>
        <v/>
      </c>
      <c r="QP11" s="225" t="n"/>
      <c r="QQ11" s="225" t="n"/>
      <c r="QR11" s="225" t="n"/>
      <c r="QS11" s="225" t="n"/>
      <c r="QT11" s="225" t="n"/>
      <c r="QU11" s="225" t="n"/>
      <c r="QV11" s="226">
        <f>IF($L$1=1,INDEX({"Su";"M";"Tu";"W";"Th";"F";"Sa"},WEEKDAY(QV7,1)),IF($L$1=2,$K$1+INT((COLUMN()-COLUMN($P$7))/7),IF($L$1=4,"Q"&amp;INT((MONTH(QV9)-1)/3+1),"")))</f>
        <v/>
      </c>
      <c r="QW11" s="225" t="n"/>
      <c r="QX11" s="225" t="n"/>
      <c r="QY11" s="225" t="n"/>
      <c r="QZ11" s="225" t="n"/>
      <c r="RA11" s="225" t="n"/>
      <c r="RB11" s="225" t="n"/>
      <c r="RC11" s="226">
        <f>IF($L$1=1,INDEX({"Su";"M";"Tu";"W";"Th";"F";"Sa"},WEEKDAY(RC7,1)),IF($L$1=2,$K$1+INT((COLUMN()-COLUMN($P$7))/7),IF($L$1=4,"Q"&amp;INT((MONTH(RC9)-1)/3+1),"")))</f>
        <v/>
      </c>
      <c r="RD11" s="225" t="n"/>
      <c r="RE11" s="225" t="n"/>
      <c r="RF11" s="225" t="n"/>
      <c r="RG11" s="225" t="n"/>
      <c r="RH11" s="225" t="n"/>
      <c r="RI11" s="225" t="n"/>
      <c r="RJ11" s="226">
        <f>IF($L$1=1,INDEX({"Su";"M";"Tu";"W";"Th";"F";"Sa"},WEEKDAY(RJ7,1)),IF($L$1=2,$K$1+INT((COLUMN()-COLUMN($P$7))/7),IF($L$1=4,"Q"&amp;INT((MONTH(RJ9)-1)/3+1),"")))</f>
        <v/>
      </c>
      <c r="RK11" s="225" t="n"/>
      <c r="RL11" s="225" t="n"/>
      <c r="RM11" s="225" t="n"/>
      <c r="RN11" s="225" t="n"/>
      <c r="RO11" s="225" t="n"/>
      <c r="RP11" s="225" t="n"/>
      <c r="RQ11" s="226">
        <f>IF($L$1=1,INDEX({"Su";"M";"Tu";"W";"Th";"F";"Sa"},WEEKDAY(RQ7,1)),IF($L$1=2,$K$1+INT((COLUMN()-COLUMN($P$7))/7),IF($L$1=4,"Q"&amp;INT((MONTH(RQ9)-1)/3+1),"")))</f>
        <v/>
      </c>
      <c r="RR11" s="225" t="n"/>
      <c r="RS11" s="225" t="n"/>
      <c r="RT11" s="225" t="n"/>
      <c r="RU11" s="225" t="n"/>
      <c r="RV11" s="225" t="n"/>
      <c r="RW11" s="225" t="n"/>
      <c r="RX11" s="226">
        <f>IF($L$1=1,INDEX({"Su";"M";"Tu";"W";"Th";"F";"Sa"},WEEKDAY(RX7,1)),IF($L$1=2,$K$1+INT((COLUMN()-COLUMN($P$7))/7),IF($L$1=4,"Q"&amp;INT((MONTH(RX9)-1)/3+1),"")))</f>
        <v/>
      </c>
      <c r="RY11" s="225" t="n"/>
      <c r="RZ11" s="225" t="n"/>
      <c r="SA11" s="225" t="n"/>
      <c r="SB11" s="225" t="n"/>
      <c r="SC11" s="225" t="n"/>
      <c r="SD11" s="225" t="n"/>
      <c r="SE11" s="226">
        <f>IF($L$1=1,INDEX({"Su";"M";"Tu";"W";"Th";"F";"Sa"},WEEKDAY(SE7,1)),IF($L$1=2,$K$1+INT((COLUMN()-COLUMN($P$7))/7),IF($L$1=4,"Q"&amp;INT((MONTH(SE9)-1)/3+1),"")))</f>
        <v/>
      </c>
      <c r="SF11" s="225" t="n"/>
      <c r="SG11" s="225" t="n"/>
      <c r="SH11" s="225" t="n"/>
      <c r="SI11" s="225" t="n"/>
      <c r="SJ11" s="225" t="n"/>
      <c r="SK11" s="225" t="n"/>
    </row>
    <row r="12" hidden="1" ht="10.15" customFormat="1" customHeight="1" s="132">
      <c r="A12" s="169" t="n"/>
      <c r="B12" s="126" t="inlineStr">
        <is>
          <t>Project Duration</t>
        </is>
      </c>
      <c r="C12" s="127" t="n"/>
      <c r="D12" s="170" t="n"/>
      <c r="E12" s="170" t="n"/>
      <c r="F12" s="170" t="n"/>
      <c r="G12" s="261">
        <f>MIN(G13:G63)</f>
        <v/>
      </c>
      <c r="H12" s="261">
        <f>MAX(H13:H63)</f>
        <v/>
      </c>
      <c r="I12" s="105">
        <f>NETWORKDAYS(G12,H12,holidays)</f>
        <v/>
      </c>
      <c r="J12" s="172" t="n"/>
      <c r="K12" s="105">
        <f>IF(OR(G12=0,H12=0),0,H12-G12+1)</f>
        <v/>
      </c>
      <c r="L12" s="131">
        <f>MIN(K12,WORKDAY(G12,ROUNDDOWN(J12*I12,0),holidays)-G12)</f>
        <v/>
      </c>
      <c r="M12" s="105">
        <f>K12-L12</f>
        <v/>
      </c>
      <c r="N12" s="171" t="inlineStr">
        <is>
          <t>k</t>
        </is>
      </c>
      <c r="P12" s="133" t="n"/>
      <c r="Q12" s="133" t="n"/>
      <c r="R12" s="133" t="n"/>
      <c r="S12" s="133" t="n"/>
      <c r="T12" s="133" t="n"/>
      <c r="U12" s="133" t="n"/>
      <c r="V12" s="133" t="n"/>
      <c r="W12" s="133" t="n"/>
      <c r="X12" s="133" t="n"/>
      <c r="Y12" s="133" t="n"/>
      <c r="Z12" s="133" t="n"/>
      <c r="AA12" s="133" t="n"/>
      <c r="AB12" s="133" t="n"/>
      <c r="AC12" s="133" t="n"/>
      <c r="AD12" s="133" t="n"/>
      <c r="AE12" s="133" t="n"/>
      <c r="AF12" s="133" t="n"/>
      <c r="AG12" s="133" t="n"/>
      <c r="AH12" s="133" t="n"/>
      <c r="AI12" s="133" t="n"/>
      <c r="AJ12" s="133" t="n"/>
      <c r="AK12" s="133" t="n"/>
      <c r="AL12" s="133" t="n"/>
      <c r="AM12" s="133" t="n"/>
      <c r="AN12" s="133" t="n"/>
      <c r="AO12" s="133" t="n"/>
      <c r="AP12" s="133" t="n"/>
      <c r="AQ12" s="133" t="n"/>
      <c r="AR12" s="133" t="n"/>
      <c r="AS12" s="133" t="n"/>
      <c r="AT12" s="133" t="n"/>
      <c r="AU12" s="133" t="n"/>
      <c r="AV12" s="133" t="n"/>
      <c r="AW12" s="133" t="n"/>
      <c r="AX12" s="133" t="n"/>
      <c r="AY12" s="133" t="n"/>
      <c r="AZ12" s="133" t="n"/>
      <c r="BA12" s="133" t="n"/>
      <c r="BB12" s="133" t="n"/>
      <c r="BC12" s="133" t="n"/>
      <c r="BD12" s="133" t="n"/>
      <c r="BE12" s="133" t="n"/>
      <c r="BF12" s="133" t="n"/>
      <c r="BG12" s="133" t="n"/>
      <c r="BH12" s="133" t="n"/>
      <c r="BI12" s="133" t="n"/>
      <c r="BJ12" s="133" t="n"/>
      <c r="BK12" s="133" t="n"/>
      <c r="BL12" s="133" t="n"/>
      <c r="BM12" s="133" t="n"/>
      <c r="BN12" s="133" t="n"/>
      <c r="BO12" s="133" t="n"/>
      <c r="BP12" s="133" t="n"/>
      <c r="BQ12" s="133" t="n"/>
      <c r="BR12" s="133" t="n"/>
      <c r="BS12" s="133" t="n"/>
      <c r="BT12" s="133" t="n"/>
      <c r="BU12" s="133" t="n"/>
      <c r="BV12" s="133" t="n"/>
      <c r="BW12" s="133" t="n"/>
      <c r="BX12" s="133" t="n"/>
      <c r="BY12" s="133" t="n"/>
      <c r="BZ12" s="133" t="n"/>
      <c r="CA12" s="133" t="n"/>
      <c r="CB12" s="133" t="n"/>
      <c r="CC12" s="133" t="n"/>
      <c r="CD12" s="133" t="n"/>
      <c r="CE12" s="133" t="n"/>
      <c r="CF12" s="133" t="n"/>
      <c r="CG12" s="133" t="n"/>
      <c r="CH12" s="133" t="n"/>
      <c r="CI12" s="133" t="n"/>
      <c r="CJ12" s="133" t="n"/>
      <c r="CK12" s="133" t="n"/>
      <c r="CL12" s="133" t="n"/>
      <c r="CM12" s="133" t="n"/>
      <c r="CN12" s="133" t="n"/>
      <c r="CO12" s="133" t="n"/>
      <c r="CP12" s="133" t="n"/>
      <c r="CQ12" s="133" t="n"/>
      <c r="CR12" s="133" t="n"/>
      <c r="CS12" s="133" t="n"/>
      <c r="CT12" s="133" t="n"/>
      <c r="CU12" s="133" t="n"/>
      <c r="CV12" s="133" t="n"/>
      <c r="CW12" s="133" t="n"/>
      <c r="CX12" s="133" t="n"/>
      <c r="CY12" s="133" t="n"/>
      <c r="CZ12" s="133" t="n"/>
      <c r="DA12" s="133" t="n"/>
      <c r="DB12" s="133" t="n"/>
      <c r="DC12" s="133" t="n"/>
      <c r="DD12" s="133" t="n"/>
      <c r="DE12" s="133" t="n"/>
      <c r="DF12" s="133" t="n"/>
      <c r="DG12" s="133" t="n"/>
      <c r="DH12" s="133" t="n"/>
      <c r="DI12" s="133" t="n"/>
      <c r="DJ12" s="133" t="n"/>
      <c r="DK12" s="133" t="n"/>
      <c r="DL12" s="133" t="n"/>
      <c r="DM12" s="133" t="n"/>
      <c r="DN12" s="133" t="n"/>
      <c r="DO12" s="133" t="n"/>
      <c r="DP12" s="133" t="n"/>
      <c r="DQ12" s="133" t="n"/>
      <c r="DR12" s="133" t="n"/>
      <c r="DS12" s="133" t="n"/>
      <c r="DT12" s="133" t="n"/>
      <c r="DU12" s="133" t="n"/>
      <c r="DV12" s="133" t="n"/>
      <c r="DW12" s="133" t="n"/>
      <c r="DX12" s="133" t="n"/>
      <c r="DY12" s="133" t="n"/>
      <c r="DZ12" s="133" t="n"/>
      <c r="EA12" s="133" t="n"/>
      <c r="EB12" s="133" t="n"/>
      <c r="EC12" s="133" t="n"/>
      <c r="ED12" s="133" t="n"/>
      <c r="EE12" s="133" t="n"/>
      <c r="EF12" s="133" t="n"/>
      <c r="EG12" s="133" t="n"/>
      <c r="EH12" s="133" t="n"/>
      <c r="EI12" s="133" t="n"/>
      <c r="EJ12" s="133" t="n"/>
      <c r="EK12" s="133" t="n"/>
      <c r="EL12" s="133" t="n"/>
      <c r="EM12" s="133" t="n"/>
      <c r="EN12" s="133" t="n"/>
      <c r="EO12" s="133" t="n"/>
      <c r="EP12" s="133" t="n"/>
      <c r="EQ12" s="133" t="n"/>
      <c r="ER12" s="133" t="n"/>
      <c r="ES12" s="133" t="n"/>
      <c r="ET12" s="133" t="n"/>
      <c r="EU12" s="133" t="n"/>
      <c r="EV12" s="133" t="n"/>
      <c r="EW12" s="133" t="n"/>
      <c r="EX12" s="133" t="n"/>
      <c r="EY12" s="133" t="n"/>
      <c r="EZ12" s="133" t="n"/>
      <c r="FA12" s="133" t="n"/>
      <c r="FB12" s="133" t="n"/>
      <c r="FC12" s="133" t="n"/>
      <c r="FD12" s="133" t="n"/>
      <c r="FE12" s="133" t="n"/>
      <c r="FF12" s="133" t="n"/>
      <c r="FG12" s="133" t="n"/>
      <c r="FH12" s="133" t="n"/>
      <c r="FI12" s="133" t="n"/>
      <c r="FJ12" s="133" t="n"/>
      <c r="FK12" s="133" t="n"/>
      <c r="FL12" s="133" t="n"/>
      <c r="FM12" s="133" t="n"/>
      <c r="FN12" s="133" t="n"/>
      <c r="FO12" s="133" t="n"/>
      <c r="FP12" s="133" t="n"/>
      <c r="FQ12" s="133" t="n"/>
      <c r="FR12" s="133" t="n"/>
      <c r="FS12" s="133" t="n"/>
      <c r="FT12" s="133" t="n"/>
      <c r="FU12" s="133" t="n"/>
      <c r="FV12" s="133" t="n"/>
      <c r="FW12" s="133" t="n"/>
      <c r="FX12" s="133" t="n"/>
      <c r="FY12" s="133" t="n"/>
      <c r="FZ12" s="133" t="n"/>
      <c r="GA12" s="133" t="n"/>
      <c r="GB12" s="133" t="n"/>
      <c r="GC12" s="133" t="n"/>
      <c r="GD12" s="133" t="n"/>
      <c r="GE12" s="133" t="n"/>
      <c r="GF12" s="133" t="n"/>
      <c r="GG12" s="133" t="n"/>
      <c r="GH12" s="133" t="n"/>
      <c r="GI12" s="133" t="n"/>
      <c r="GJ12" s="133" t="n"/>
      <c r="GK12" s="133" t="n"/>
      <c r="GL12" s="133" t="n"/>
      <c r="GM12" s="133" t="n"/>
      <c r="GN12" s="133" t="n"/>
      <c r="GO12" s="133" t="n"/>
      <c r="GP12" s="133" t="n"/>
      <c r="GQ12" s="133" t="n"/>
      <c r="GR12" s="133" t="n"/>
      <c r="GS12" s="133" t="n"/>
      <c r="GT12" s="133" t="n"/>
      <c r="GU12" s="133" t="n"/>
      <c r="GV12" s="133" t="n"/>
      <c r="GW12" s="133" t="n"/>
      <c r="GX12" s="133" t="n"/>
      <c r="GY12" s="133" t="n"/>
      <c r="GZ12" s="133" t="n"/>
      <c r="HA12" s="133" t="n"/>
      <c r="HB12" s="133" t="n"/>
      <c r="HC12" s="133" t="n"/>
      <c r="HD12" s="133" t="n"/>
      <c r="HE12" s="133" t="n"/>
      <c r="HF12" s="133" t="n"/>
      <c r="HG12" s="133" t="n"/>
      <c r="HH12" s="133" t="n"/>
      <c r="HI12" s="133" t="n"/>
      <c r="HJ12" s="133" t="n"/>
      <c r="HK12" s="133" t="n"/>
      <c r="HL12" s="133" t="n"/>
      <c r="HM12" s="133" t="n"/>
      <c r="HN12" s="133" t="n"/>
      <c r="HO12" s="133" t="n"/>
      <c r="HP12" s="133" t="n"/>
      <c r="HQ12" s="133" t="n"/>
      <c r="HR12" s="133" t="n"/>
      <c r="HS12" s="133" t="n"/>
      <c r="HT12" s="133" t="n"/>
      <c r="HU12" s="133" t="n"/>
      <c r="HV12" s="133" t="n"/>
      <c r="HW12" s="133" t="n"/>
      <c r="HX12" s="133" t="n"/>
      <c r="HY12" s="133" t="n"/>
      <c r="HZ12" s="133" t="n"/>
      <c r="IA12" s="133" t="n"/>
      <c r="IB12" s="133" t="n"/>
      <c r="IC12" s="133" t="n"/>
      <c r="ID12" s="133" t="n"/>
      <c r="IE12" s="133" t="n"/>
      <c r="IF12" s="133" t="n"/>
      <c r="IG12" s="133" t="n"/>
      <c r="IH12" s="133" t="n"/>
      <c r="II12" s="133" t="n"/>
      <c r="IJ12" s="133" t="n"/>
      <c r="IK12" s="133" t="n"/>
      <c r="IL12" s="133" t="n"/>
      <c r="IM12" s="133" t="n"/>
      <c r="IN12" s="133" t="n"/>
      <c r="IO12" s="133" t="n"/>
      <c r="IP12" s="133" t="n"/>
      <c r="IQ12" s="133" t="n"/>
      <c r="IR12" s="133" t="n"/>
      <c r="IS12" s="133" t="n"/>
      <c r="IT12" s="133" t="n"/>
      <c r="IU12" s="133" t="n"/>
      <c r="IV12" s="133" t="n"/>
      <c r="IW12" s="133" t="n"/>
      <c r="IX12" s="133" t="n"/>
      <c r="IY12" s="133" t="n"/>
      <c r="IZ12" s="133" t="n"/>
      <c r="JA12" s="133" t="n"/>
      <c r="JB12" s="133" t="n"/>
      <c r="JC12" s="133" t="n"/>
      <c r="JD12" s="133" t="n"/>
      <c r="JE12" s="133" t="n"/>
      <c r="JF12" s="133" t="n"/>
      <c r="JG12" s="133" t="n"/>
      <c r="JH12" s="133" t="n"/>
      <c r="JI12" s="133" t="n"/>
      <c r="JJ12" s="133" t="n"/>
      <c r="JK12" s="133" t="n"/>
      <c r="JL12" s="133" t="n"/>
      <c r="JM12" s="133" t="n"/>
      <c r="JN12" s="133" t="n"/>
      <c r="JO12" s="133" t="n"/>
      <c r="JP12" s="133" t="n"/>
      <c r="JQ12" s="133" t="n"/>
      <c r="JR12" s="133" t="n"/>
      <c r="JS12" s="133" t="n"/>
      <c r="JT12" s="133" t="n"/>
      <c r="JU12" s="133" t="n"/>
      <c r="JV12" s="133" t="n"/>
      <c r="JW12" s="133" t="n"/>
      <c r="JX12" s="133" t="n"/>
      <c r="JY12" s="133" t="n"/>
      <c r="JZ12" s="133" t="n"/>
      <c r="KA12" s="133" t="n"/>
      <c r="KB12" s="133" t="n"/>
      <c r="KC12" s="133" t="n"/>
      <c r="KD12" s="133" t="n"/>
      <c r="KE12" s="133" t="n"/>
      <c r="KF12" s="133" t="n"/>
      <c r="KG12" s="133" t="n"/>
      <c r="KH12" s="133" t="n"/>
      <c r="KI12" s="133" t="n"/>
      <c r="KJ12" s="133" t="n"/>
      <c r="KK12" s="133" t="n"/>
      <c r="KL12" s="133" t="n"/>
      <c r="KM12" s="133" t="n"/>
      <c r="KN12" s="133" t="n"/>
      <c r="KO12" s="133" t="n"/>
      <c r="KP12" s="133" t="n"/>
      <c r="KQ12" s="133" t="n"/>
      <c r="KR12" s="133" t="n"/>
      <c r="KS12" s="133" t="n"/>
      <c r="KT12" s="133" t="n"/>
      <c r="KU12" s="133" t="n"/>
      <c r="KV12" s="133" t="n"/>
      <c r="KW12" s="133" t="n"/>
      <c r="KX12" s="133" t="n"/>
      <c r="KY12" s="133" t="n"/>
      <c r="KZ12" s="133" t="n"/>
      <c r="LA12" s="133" t="n"/>
      <c r="LB12" s="133" t="n"/>
      <c r="LC12" s="133" t="n"/>
      <c r="LD12" s="133" t="n"/>
      <c r="LE12" s="133" t="n"/>
      <c r="LF12" s="133" t="n"/>
      <c r="LG12" s="133" t="n"/>
      <c r="LH12" s="133" t="n"/>
      <c r="LI12" s="133" t="n"/>
      <c r="LJ12" s="133" t="n"/>
      <c r="LK12" s="133" t="n"/>
      <c r="LL12" s="133" t="n"/>
      <c r="LM12" s="133" t="n"/>
      <c r="LN12" s="133" t="n"/>
      <c r="LO12" s="133" t="n"/>
      <c r="LP12" s="133" t="n"/>
      <c r="LQ12" s="133" t="n"/>
      <c r="LR12" s="133" t="n"/>
      <c r="LS12" s="133" t="n"/>
      <c r="LT12" s="133" t="n"/>
      <c r="LU12" s="133" t="n"/>
      <c r="LV12" s="133" t="n"/>
      <c r="LW12" s="133" t="n"/>
      <c r="LX12" s="133" t="n"/>
      <c r="LY12" s="133" t="n"/>
      <c r="LZ12" s="133" t="n"/>
      <c r="MA12" s="133" t="n"/>
      <c r="MB12" s="133" t="n"/>
      <c r="MC12" s="133" t="n"/>
      <c r="MD12" s="133" t="n"/>
      <c r="ME12" s="133" t="n"/>
      <c r="MF12" s="133" t="n"/>
      <c r="MG12" s="133" t="n"/>
      <c r="MH12" s="133" t="n"/>
      <c r="MI12" s="133" t="n"/>
      <c r="MJ12" s="133" t="n"/>
      <c r="MK12" s="133" t="n"/>
      <c r="ML12" s="133" t="n"/>
      <c r="MM12" s="133" t="n"/>
      <c r="MN12" s="133" t="n"/>
      <c r="MO12" s="133" t="n"/>
      <c r="MP12" s="133" t="n"/>
      <c r="MQ12" s="133" t="n"/>
      <c r="MR12" s="133" t="n"/>
      <c r="MS12" s="133" t="n"/>
      <c r="MT12" s="133" t="n"/>
      <c r="MU12" s="133" t="n"/>
      <c r="MV12" s="133" t="n"/>
      <c r="MW12" s="133" t="n"/>
      <c r="MX12" s="133" t="n"/>
      <c r="MY12" s="133" t="n"/>
      <c r="MZ12" s="133" t="n"/>
      <c r="NA12" s="133" t="n"/>
      <c r="NB12" s="133" t="n"/>
      <c r="NC12" s="133" t="n"/>
      <c r="ND12" s="133" t="n"/>
      <c r="NE12" s="133" t="n"/>
      <c r="NF12" s="133" t="n"/>
      <c r="NG12" s="133" t="n"/>
      <c r="NH12" s="133" t="n"/>
      <c r="NI12" s="133" t="n"/>
      <c r="NJ12" s="133" t="n"/>
      <c r="NK12" s="133" t="n"/>
      <c r="NL12" s="133" t="n"/>
      <c r="NM12" s="133" t="n"/>
      <c r="NN12" s="133" t="n"/>
      <c r="NO12" s="133" t="n"/>
      <c r="NP12" s="133" t="n"/>
      <c r="NQ12" s="133" t="n"/>
      <c r="NR12" s="133" t="n"/>
      <c r="NS12" s="133" t="n"/>
      <c r="NT12" s="133" t="n"/>
      <c r="NU12" s="133" t="n"/>
      <c r="NV12" s="133" t="n"/>
      <c r="NW12" s="133" t="n"/>
      <c r="NX12" s="133" t="n"/>
      <c r="NY12" s="133" t="n"/>
      <c r="NZ12" s="133" t="n"/>
      <c r="OA12" s="133" t="n"/>
      <c r="OB12" s="133" t="n"/>
      <c r="OC12" s="133" t="n"/>
      <c r="OD12" s="133" t="n"/>
      <c r="OE12" s="133" t="n"/>
      <c r="OF12" s="133" t="n"/>
      <c r="OG12" s="133" t="n"/>
      <c r="OH12" s="133" t="n"/>
      <c r="OI12" s="133" t="n"/>
      <c r="OJ12" s="133" t="n"/>
      <c r="OK12" s="133" t="n"/>
      <c r="OL12" s="133" t="n"/>
      <c r="OM12" s="133" t="n"/>
      <c r="ON12" s="133" t="n"/>
      <c r="OO12" s="133" t="n"/>
      <c r="OP12" s="133" t="n"/>
      <c r="OQ12" s="133" t="n"/>
      <c r="OR12" s="133" t="n"/>
      <c r="OS12" s="133" t="n"/>
      <c r="OT12" s="133" t="n"/>
      <c r="OU12" s="133" t="n"/>
      <c r="OV12" s="133" t="n"/>
      <c r="OW12" s="133" t="n"/>
      <c r="OX12" s="133" t="n"/>
      <c r="OY12" s="133" t="n"/>
      <c r="OZ12" s="133" t="n"/>
      <c r="PA12" s="133" t="n"/>
      <c r="PB12" s="133" t="n"/>
      <c r="PC12" s="133" t="n"/>
      <c r="PD12" s="133" t="n"/>
      <c r="PE12" s="133" t="n"/>
      <c r="PF12" s="133" t="n"/>
      <c r="PG12" s="133" t="n"/>
      <c r="PH12" s="133" t="n"/>
      <c r="PI12" s="133" t="n"/>
      <c r="PJ12" s="133" t="n"/>
      <c r="PK12" s="133" t="n"/>
      <c r="PL12" s="133" t="n"/>
      <c r="PM12" s="133" t="n"/>
      <c r="PN12" s="133" t="n"/>
      <c r="PO12" s="133" t="n"/>
      <c r="PP12" s="133" t="n"/>
      <c r="PQ12" s="133" t="n"/>
      <c r="PR12" s="133" t="n"/>
      <c r="PS12" s="133" t="n"/>
      <c r="PT12" s="133" t="n"/>
      <c r="PU12" s="133" t="n"/>
      <c r="PV12" s="133" t="n"/>
      <c r="PW12" s="133" t="n"/>
      <c r="PX12" s="133" t="n"/>
      <c r="PY12" s="133" t="n"/>
      <c r="PZ12" s="133" t="n"/>
      <c r="QA12" s="133" t="n"/>
      <c r="QB12" s="133" t="n"/>
      <c r="QC12" s="133" t="n"/>
      <c r="QD12" s="133" t="n"/>
      <c r="QE12" s="133" t="n"/>
      <c r="QF12" s="133" t="n"/>
      <c r="QG12" s="133" t="n"/>
      <c r="QH12" s="133" t="n"/>
      <c r="QI12" s="133" t="n"/>
      <c r="QJ12" s="133" t="n"/>
      <c r="QK12" s="133" t="n"/>
      <c r="QL12" s="133" t="n"/>
      <c r="QM12" s="133" t="n"/>
      <c r="QN12" s="133" t="n"/>
      <c r="QO12" s="133" t="n"/>
      <c r="QP12" s="133" t="n"/>
      <c r="QQ12" s="133" t="n"/>
      <c r="QR12" s="133" t="n"/>
      <c r="QS12" s="133" t="n"/>
      <c r="QT12" s="133" t="n"/>
      <c r="QU12" s="133" t="n"/>
      <c r="QV12" s="133" t="n"/>
      <c r="QW12" s="133" t="n"/>
      <c r="QX12" s="133" t="n"/>
      <c r="QY12" s="133" t="n"/>
      <c r="QZ12" s="133" t="n"/>
      <c r="RA12" s="133" t="n"/>
      <c r="RB12" s="133" t="n"/>
      <c r="RC12" s="133" t="n"/>
      <c r="RD12" s="133" t="n"/>
      <c r="RE12" s="133" t="n"/>
      <c r="RF12" s="133" t="n"/>
      <c r="RG12" s="133" t="n"/>
      <c r="RH12" s="133" t="n"/>
      <c r="RI12" s="133" t="n"/>
      <c r="RJ12" s="133" t="n"/>
      <c r="RK12" s="133" t="n"/>
      <c r="RL12" s="133" t="n"/>
      <c r="RM12" s="133" t="n"/>
      <c r="RN12" s="133" t="n"/>
      <c r="RO12" s="133" t="n"/>
      <c r="RP12" s="133" t="n"/>
      <c r="RQ12" s="133" t="n"/>
      <c r="RR12" s="133" t="n"/>
      <c r="RS12" s="133" t="n"/>
      <c r="RT12" s="133" t="n"/>
      <c r="RU12" s="133" t="n"/>
      <c r="RV12" s="133" t="n"/>
      <c r="RW12" s="133" t="n"/>
      <c r="RX12" s="133" t="n"/>
      <c r="RY12" s="133" t="n"/>
      <c r="RZ12" s="133" t="n"/>
      <c r="SA12" s="133" t="n"/>
      <c r="SB12" s="133" t="n"/>
      <c r="SC12" s="133" t="n"/>
      <c r="SD12" s="133" t="n"/>
      <c r="SE12" s="133" t="n"/>
      <c r="SF12" s="133" t="n"/>
      <c r="SG12" s="133" t="n"/>
      <c r="SH12" s="133" t="n"/>
      <c r="SI12" s="133" t="n"/>
      <c r="SJ12" s="133" t="n"/>
      <c r="SK12" s="133" t="n"/>
    </row>
    <row r="13" customFormat="1" s="181">
      <c r="A13" s="173" t="n"/>
      <c r="B13" s="174" t="inlineStr">
        <is>
          <t>Project Start to Finish</t>
        </is>
      </c>
      <c r="C13" s="175" t="n"/>
      <c r="D13" s="175" t="n"/>
      <c r="E13" s="175" t="n"/>
      <c r="F13" s="175" t="n"/>
      <c r="G13" s="184">
        <f>G6</f>
        <v/>
      </c>
      <c r="H13" s="184">
        <f>G6+K13</f>
        <v/>
      </c>
      <c r="I13" s="181">
        <f>NETWORKDAYS(G13,H13,)</f>
        <v/>
      </c>
      <c r="J13" s="147">
        <f>AVERAGE(J14:J63)</f>
        <v/>
      </c>
      <c r="K13" s="182">
        <f>L6*7-0.5</f>
        <v/>
      </c>
      <c r="L13" s="176" t="n"/>
      <c r="M13" s="176" t="n"/>
      <c r="N13" s="176" t="n"/>
      <c r="O13" s="146" t="n"/>
    </row>
    <row r="14" customFormat="1" s="137">
      <c r="A14" s="177" t="n">
        <v>1</v>
      </c>
      <c r="B14" s="154" t="inlineStr">
        <is>
          <t xml:space="preserve">Mobilization </t>
        </is>
      </c>
      <c r="C14" s="144" t="n"/>
      <c r="D14" s="177" t="n"/>
      <c r="E14" s="177" t="n"/>
      <c r="F14" s="177" t="n"/>
      <c r="G14" s="262">
        <f>G6</f>
        <v/>
      </c>
      <c r="H14" s="262">
        <f>WORKDAY(G14,I14-1,holidays)</f>
        <v/>
      </c>
      <c r="I14" s="149" t="n">
        <v>1</v>
      </c>
      <c r="J14" s="150" t="n">
        <v>0</v>
      </c>
      <c r="K14" s="151">
        <f>IF(OR(G14=0,H14=0),0,H14-G14+1)</f>
        <v/>
      </c>
      <c r="L14" s="152">
        <f>MIN(K14,WORKDAY(G14,ROUNDDOWN(J14*I14,0),holidays)-G14)</f>
        <v/>
      </c>
      <c r="M14" s="151">
        <f>K14-L14</f>
        <v/>
      </c>
      <c r="N14" s="180" t="n"/>
      <c r="P14" s="111" t="n"/>
      <c r="Q14" s="111" t="n"/>
      <c r="R14" s="111" t="n"/>
      <c r="S14" s="111" t="n"/>
      <c r="T14" s="111" t="n"/>
      <c r="U14" s="111" t="n"/>
      <c r="V14" s="111" t="n"/>
      <c r="W14" s="111" t="n"/>
      <c r="X14" s="111" t="n"/>
      <c r="Y14" s="111" t="n"/>
      <c r="Z14" s="111" t="n"/>
      <c r="AA14" s="111" t="n"/>
      <c r="AB14" s="111" t="n"/>
      <c r="AC14" s="111" t="n"/>
      <c r="AD14" s="111" t="n"/>
      <c r="AE14" s="111" t="n"/>
      <c r="AF14" s="111" t="n"/>
      <c r="AG14" s="111" t="n"/>
      <c r="AH14" s="111" t="n"/>
      <c r="AI14" s="111" t="n"/>
      <c r="AJ14" s="111" t="n"/>
      <c r="AK14" s="111" t="n"/>
      <c r="AL14" s="111" t="n"/>
      <c r="AM14" s="111" t="n"/>
      <c r="AN14" s="111" t="n"/>
      <c r="AO14" s="111" t="n"/>
      <c r="AP14" s="111" t="n"/>
      <c r="AQ14" s="111" t="n"/>
      <c r="AR14" s="111" t="n"/>
      <c r="AS14" s="111" t="n"/>
      <c r="AT14" s="111" t="n"/>
      <c r="AU14" s="111" t="n"/>
      <c r="AV14" s="111" t="n"/>
      <c r="AW14" s="111" t="n"/>
      <c r="AX14" s="111" t="n"/>
      <c r="AY14" s="111" t="n"/>
      <c r="AZ14" s="111" t="n"/>
      <c r="BA14" s="111" t="n"/>
      <c r="BB14" s="111" t="n"/>
      <c r="BC14" s="111" t="n"/>
      <c r="BD14" s="111" t="n"/>
      <c r="BE14" s="111" t="n"/>
      <c r="BF14" s="111" t="n"/>
      <c r="BG14" s="111" t="n"/>
      <c r="BH14" s="111" t="n"/>
      <c r="BI14" s="111" t="n"/>
      <c r="BJ14" s="111" t="n"/>
      <c r="BK14" s="111" t="n"/>
      <c r="BL14" s="111" t="n"/>
      <c r="BM14" s="111" t="n"/>
      <c r="BN14" s="111" t="n"/>
      <c r="BO14" s="111" t="n"/>
      <c r="BP14" s="111" t="n"/>
      <c r="BQ14" s="111" t="n"/>
      <c r="BR14" s="111" t="n"/>
      <c r="BS14" s="111" t="n"/>
      <c r="BT14" s="111" t="n"/>
      <c r="BU14" s="111" t="n"/>
      <c r="BV14" s="111" t="n"/>
      <c r="BW14" s="111" t="n"/>
      <c r="BX14" s="111" t="n"/>
      <c r="BY14" s="111" t="n"/>
      <c r="BZ14" s="111" t="n"/>
      <c r="CA14" s="111" t="n"/>
      <c r="CB14" s="111" t="n"/>
      <c r="CC14" s="111" t="n"/>
      <c r="CD14" s="111" t="n"/>
      <c r="CE14" s="111" t="n"/>
      <c r="CF14" s="111" t="n"/>
      <c r="CG14" s="111" t="n"/>
      <c r="CH14" s="111" t="n"/>
      <c r="CI14" s="111" t="n"/>
      <c r="CJ14" s="111" t="n"/>
      <c r="CK14" s="111" t="n"/>
      <c r="CL14" s="111" t="n"/>
      <c r="CM14" s="111" t="n"/>
      <c r="CN14" s="111" t="n"/>
      <c r="CO14" s="111" t="n"/>
      <c r="CP14" s="111" t="n"/>
      <c r="CQ14" s="111" t="n"/>
      <c r="CR14" s="111" t="n"/>
      <c r="CS14" s="111" t="n"/>
      <c r="CT14" s="111" t="n"/>
      <c r="CU14" s="111" t="n"/>
      <c r="CV14" s="111" t="n"/>
      <c r="CW14" s="111" t="n"/>
      <c r="CX14" s="111" t="n"/>
      <c r="CY14" s="111" t="n"/>
      <c r="CZ14" s="111" t="n"/>
      <c r="DA14" s="111" t="n"/>
      <c r="DB14" s="111" t="n"/>
      <c r="DC14" s="111" t="n"/>
      <c r="DD14" s="111" t="n"/>
      <c r="DE14" s="111" t="n"/>
      <c r="DF14" s="111" t="n"/>
      <c r="DG14" s="111" t="n"/>
      <c r="DH14" s="111" t="n"/>
      <c r="DI14" s="111" t="n"/>
      <c r="DJ14" s="111" t="n"/>
      <c r="DK14" s="111" t="n"/>
      <c r="DL14" s="111" t="n"/>
      <c r="DM14" s="111" t="n"/>
      <c r="DN14" s="111" t="n"/>
      <c r="DO14" s="111" t="n"/>
      <c r="DP14" s="111" t="n"/>
      <c r="DQ14" s="111" t="n"/>
      <c r="DR14" s="111" t="n"/>
      <c r="DS14" s="111" t="n"/>
      <c r="DT14" s="111" t="n"/>
      <c r="DU14" s="111" t="n"/>
      <c r="DV14" s="111" t="n"/>
      <c r="DW14" s="111" t="n"/>
      <c r="DX14" s="111" t="n"/>
      <c r="DY14" s="111" t="n"/>
      <c r="DZ14" s="111" t="n"/>
      <c r="EA14" s="111" t="n"/>
      <c r="EB14" s="111" t="n"/>
      <c r="EC14" s="111" t="n"/>
      <c r="ED14" s="111" t="n"/>
      <c r="EE14" s="111" t="n"/>
      <c r="EF14" s="111" t="n"/>
      <c r="EG14" s="111" t="n"/>
      <c r="EH14" s="111" t="n"/>
      <c r="EI14" s="111" t="n"/>
      <c r="EJ14" s="111" t="n"/>
      <c r="EK14" s="111" t="n"/>
      <c r="EL14" s="111" t="n"/>
      <c r="EM14" s="111" t="n"/>
      <c r="EN14" s="111" t="n"/>
      <c r="EO14" s="111" t="n"/>
      <c r="EP14" s="111" t="n"/>
      <c r="EQ14" s="111" t="n"/>
      <c r="ER14" s="111" t="n"/>
      <c r="ES14" s="111" t="n"/>
      <c r="ET14" s="111" t="n"/>
      <c r="EU14" s="111" t="n"/>
      <c r="EV14" s="111" t="n"/>
      <c r="EW14" s="111" t="n"/>
      <c r="EX14" s="111" t="n"/>
      <c r="EY14" s="111" t="n"/>
      <c r="EZ14" s="111" t="n"/>
      <c r="FA14" s="111" t="n"/>
      <c r="FB14" s="111" t="n"/>
      <c r="FC14" s="111" t="n"/>
      <c r="FD14" s="111" t="n"/>
      <c r="FE14" s="111" t="n"/>
      <c r="FF14" s="111" t="n"/>
      <c r="FG14" s="111" t="n"/>
      <c r="FH14" s="111" t="n"/>
      <c r="FI14" s="111" t="n"/>
      <c r="FJ14" s="111" t="n"/>
      <c r="FK14" s="111" t="n"/>
      <c r="FL14" s="111" t="n"/>
      <c r="FM14" s="111" t="n"/>
      <c r="FN14" s="111" t="n"/>
      <c r="FO14" s="111" t="n"/>
      <c r="FP14" s="111" t="n"/>
      <c r="FQ14" s="111" t="n"/>
      <c r="FR14" s="111" t="n"/>
      <c r="FS14" s="111" t="n"/>
      <c r="FT14" s="111" t="n"/>
      <c r="FU14" s="111" t="n"/>
      <c r="FV14" s="111" t="n"/>
      <c r="FW14" s="111" t="n"/>
      <c r="FX14" s="111" t="n"/>
      <c r="FY14" s="111" t="n"/>
      <c r="FZ14" s="111" t="n"/>
      <c r="GA14" s="111" t="n"/>
      <c r="GB14" s="111" t="n"/>
      <c r="GC14" s="111" t="n"/>
      <c r="GD14" s="111" t="n"/>
      <c r="GE14" s="111" t="n"/>
      <c r="GF14" s="111" t="n"/>
      <c r="GG14" s="111" t="n"/>
      <c r="GH14" s="111" t="n"/>
      <c r="GI14" s="111" t="n"/>
      <c r="GJ14" s="111" t="n"/>
      <c r="GK14" s="111" t="n"/>
      <c r="GL14" s="111" t="n"/>
      <c r="GM14" s="111" t="n"/>
      <c r="GN14" s="111" t="n"/>
      <c r="GO14" s="111" t="n"/>
      <c r="GP14" s="111" t="n"/>
      <c r="GQ14" s="111" t="n"/>
      <c r="GR14" s="111" t="n"/>
      <c r="GS14" s="111" t="n"/>
      <c r="GT14" s="111" t="n"/>
      <c r="GU14" s="111" t="n"/>
      <c r="GV14" s="111" t="n"/>
      <c r="GW14" s="111" t="n"/>
      <c r="GX14" s="111" t="n"/>
      <c r="GY14" s="111" t="n"/>
      <c r="GZ14" s="111" t="n"/>
      <c r="HA14" s="111" t="n"/>
      <c r="HB14" s="111" t="n"/>
      <c r="HC14" s="111" t="n"/>
      <c r="HD14" s="111" t="n"/>
      <c r="HE14" s="111" t="n"/>
      <c r="HF14" s="111" t="n"/>
      <c r="HG14" s="111" t="n"/>
      <c r="HH14" s="111" t="n"/>
      <c r="HI14" s="111" t="n"/>
      <c r="HJ14" s="111" t="n"/>
      <c r="HK14" s="111" t="n"/>
      <c r="HL14" s="111" t="n"/>
      <c r="HM14" s="111" t="n"/>
      <c r="HN14" s="111" t="n"/>
      <c r="HO14" s="111" t="n"/>
      <c r="HP14" s="111" t="n"/>
      <c r="HQ14" s="111" t="n"/>
      <c r="HR14" s="111" t="n"/>
      <c r="HS14" s="111" t="n"/>
      <c r="HT14" s="111" t="n"/>
      <c r="HU14" s="111" t="n"/>
      <c r="HV14" s="111" t="n"/>
      <c r="HW14" s="111" t="n"/>
      <c r="HX14" s="111" t="n"/>
      <c r="HY14" s="111" t="n"/>
      <c r="HZ14" s="111" t="n"/>
      <c r="IA14" s="111" t="n"/>
      <c r="IB14" s="111" t="n"/>
      <c r="IC14" s="111" t="n"/>
      <c r="ID14" s="111" t="n"/>
      <c r="IE14" s="111" t="n"/>
      <c r="IF14" s="111" t="n"/>
      <c r="IG14" s="111" t="n"/>
      <c r="IH14" s="111" t="n"/>
      <c r="II14" s="111" t="n"/>
      <c r="IJ14" s="111" t="n"/>
      <c r="IK14" s="111" t="n"/>
      <c r="IL14" s="111" t="n"/>
      <c r="IM14" s="111" t="n"/>
      <c r="IN14" s="111" t="n"/>
      <c r="IO14" s="111" t="n"/>
      <c r="IP14" s="111" t="n"/>
      <c r="IQ14" s="111" t="n"/>
      <c r="IR14" s="111" t="n"/>
      <c r="IS14" s="111" t="n"/>
      <c r="IT14" s="111" t="n"/>
      <c r="IU14" s="111" t="n"/>
      <c r="IV14" s="111" t="n"/>
      <c r="IW14" s="111" t="n"/>
      <c r="IX14" s="111" t="n"/>
      <c r="IY14" s="111" t="n"/>
      <c r="IZ14" s="111" t="n"/>
      <c r="JA14" s="111" t="n"/>
      <c r="JB14" s="111" t="n"/>
      <c r="JC14" s="111" t="n"/>
      <c r="JD14" s="111" t="n"/>
      <c r="JE14" s="111" t="n"/>
      <c r="JF14" s="111" t="n"/>
      <c r="JG14" s="111" t="n"/>
      <c r="JH14" s="111" t="n"/>
      <c r="JI14" s="111" t="n"/>
      <c r="JJ14" s="111" t="n"/>
      <c r="JK14" s="111" t="n"/>
      <c r="JL14" s="111" t="n"/>
      <c r="JM14" s="111" t="n"/>
      <c r="JN14" s="111" t="n"/>
      <c r="JO14" s="111" t="n"/>
      <c r="JP14" s="111" t="n"/>
      <c r="JQ14" s="111" t="n"/>
      <c r="JR14" s="111" t="n"/>
      <c r="JS14" s="111" t="n"/>
      <c r="JT14" s="111" t="n"/>
      <c r="JU14" s="111" t="n"/>
      <c r="JV14" s="111" t="n"/>
      <c r="JW14" s="111" t="n"/>
      <c r="JX14" s="111" t="n"/>
      <c r="JY14" s="111" t="n"/>
      <c r="JZ14" s="111" t="n"/>
      <c r="KA14" s="111" t="n"/>
      <c r="KB14" s="111" t="n"/>
      <c r="KC14" s="111" t="n"/>
      <c r="KD14" s="111" t="n"/>
      <c r="KE14" s="111" t="n"/>
      <c r="KF14" s="111" t="n"/>
      <c r="KG14" s="111" t="n"/>
      <c r="KH14" s="111" t="n"/>
      <c r="KI14" s="111" t="n"/>
      <c r="KJ14" s="111" t="n"/>
      <c r="KK14" s="111" t="n"/>
      <c r="KL14" s="111" t="n"/>
      <c r="KM14" s="111" t="n"/>
      <c r="KN14" s="111" t="n"/>
      <c r="KO14" s="111" t="n"/>
      <c r="KP14" s="111" t="n"/>
      <c r="KQ14" s="111" t="n"/>
      <c r="KR14" s="111" t="n"/>
      <c r="KS14" s="111" t="n"/>
      <c r="KT14" s="111" t="n"/>
      <c r="KU14" s="111" t="n"/>
      <c r="KV14" s="111" t="n"/>
      <c r="KW14" s="111" t="n"/>
      <c r="KX14" s="111" t="n"/>
      <c r="KY14" s="111" t="n"/>
      <c r="KZ14" s="111" t="n"/>
      <c r="LA14" s="111" t="n"/>
      <c r="LB14" s="111" t="n"/>
      <c r="LC14" s="111" t="n"/>
      <c r="LD14" s="111" t="n"/>
      <c r="LE14" s="111" t="n"/>
      <c r="LF14" s="111" t="n"/>
      <c r="LG14" s="111" t="n"/>
      <c r="LH14" s="111" t="n"/>
      <c r="LI14" s="111" t="n"/>
      <c r="LJ14" s="111" t="n"/>
      <c r="LK14" s="111" t="n"/>
      <c r="LL14" s="111" t="n"/>
      <c r="LM14" s="111" t="n"/>
      <c r="LN14" s="111" t="n"/>
      <c r="LO14" s="111" t="n"/>
      <c r="LP14" s="111" t="n"/>
      <c r="LQ14" s="111" t="n"/>
      <c r="LR14" s="111" t="n"/>
      <c r="LS14" s="111" t="n"/>
      <c r="LT14" s="111" t="n"/>
      <c r="LU14" s="111" t="n"/>
      <c r="LV14" s="111" t="n"/>
      <c r="LW14" s="111" t="n"/>
      <c r="LX14" s="111" t="n"/>
      <c r="LY14" s="111" t="n"/>
      <c r="LZ14" s="111" t="n"/>
      <c r="MA14" s="111" t="n"/>
      <c r="MB14" s="111" t="n"/>
      <c r="MC14" s="111" t="n"/>
      <c r="MD14" s="111" t="n"/>
      <c r="ME14" s="111" t="n"/>
      <c r="MF14" s="111" t="n"/>
      <c r="MG14" s="111" t="n"/>
      <c r="MH14" s="111" t="n"/>
      <c r="MI14" s="111" t="n"/>
      <c r="MJ14" s="111" t="n"/>
      <c r="MK14" s="111" t="n"/>
      <c r="ML14" s="111" t="n"/>
      <c r="MM14" s="111" t="n"/>
      <c r="MN14" s="111" t="n"/>
      <c r="MO14" s="111" t="n"/>
      <c r="MP14" s="111" t="n"/>
      <c r="MQ14" s="111" t="n"/>
      <c r="MR14" s="111" t="n"/>
      <c r="MS14" s="111" t="n"/>
      <c r="MT14" s="111" t="n"/>
      <c r="MU14" s="111" t="n"/>
      <c r="MV14" s="111" t="n"/>
      <c r="MW14" s="111" t="n"/>
      <c r="MX14" s="111" t="n"/>
      <c r="MY14" s="111" t="n"/>
      <c r="MZ14" s="111" t="n"/>
      <c r="NA14" s="111" t="n"/>
      <c r="NB14" s="111" t="n"/>
      <c r="NC14" s="111" t="n"/>
      <c r="ND14" s="111" t="n"/>
      <c r="NE14" s="111" t="n"/>
      <c r="NF14" s="111" t="n"/>
      <c r="NG14" s="111" t="n"/>
      <c r="NH14" s="111" t="n"/>
      <c r="NI14" s="111" t="n"/>
      <c r="NJ14" s="111" t="n"/>
      <c r="NK14" s="111" t="n"/>
      <c r="NL14" s="111" t="n"/>
      <c r="NM14" s="111" t="n"/>
      <c r="NN14" s="111" t="n"/>
      <c r="NO14" s="111" t="n"/>
      <c r="NP14" s="111" t="n"/>
      <c r="NQ14" s="111" t="n"/>
      <c r="NR14" s="111" t="n"/>
      <c r="NS14" s="111" t="n"/>
      <c r="NT14" s="111" t="n"/>
      <c r="NU14" s="111" t="n"/>
      <c r="NV14" s="111" t="n"/>
      <c r="NW14" s="111" t="n"/>
      <c r="NX14" s="111" t="n"/>
      <c r="NY14" s="111" t="n"/>
      <c r="NZ14" s="111" t="n"/>
      <c r="OA14" s="111" t="n"/>
      <c r="OB14" s="111" t="n"/>
      <c r="OC14" s="111" t="n"/>
      <c r="OD14" s="111" t="n"/>
      <c r="OE14" s="111" t="n"/>
      <c r="OF14" s="111" t="n"/>
      <c r="OG14" s="111" t="n"/>
      <c r="OH14" s="111" t="n"/>
      <c r="OI14" s="111" t="n"/>
      <c r="OJ14" s="111" t="n"/>
      <c r="OK14" s="111" t="n"/>
      <c r="OL14" s="111" t="n"/>
      <c r="OM14" s="111" t="n"/>
      <c r="ON14" s="111" t="n"/>
      <c r="OO14" s="111" t="n"/>
      <c r="OP14" s="111" t="n"/>
      <c r="OQ14" s="111" t="n"/>
      <c r="OR14" s="111" t="n"/>
      <c r="OS14" s="111" t="n"/>
      <c r="OT14" s="111" t="n"/>
      <c r="OU14" s="111" t="n"/>
      <c r="OV14" s="111" t="n"/>
      <c r="OW14" s="111" t="n"/>
      <c r="OX14" s="111" t="n"/>
      <c r="OY14" s="111" t="n"/>
      <c r="OZ14" s="111" t="n"/>
      <c r="PA14" s="111" t="n"/>
      <c r="PB14" s="111" t="n"/>
      <c r="PC14" s="111" t="n"/>
      <c r="PD14" s="111" t="n"/>
      <c r="PE14" s="111" t="n"/>
      <c r="PF14" s="111" t="n"/>
      <c r="PG14" s="111" t="n"/>
      <c r="PH14" s="111" t="n"/>
      <c r="PI14" s="111" t="n"/>
      <c r="PJ14" s="111" t="n"/>
      <c r="PK14" s="111" t="n"/>
      <c r="PL14" s="111" t="n"/>
      <c r="PM14" s="111" t="n"/>
      <c r="PN14" s="111" t="n"/>
      <c r="PO14" s="111" t="n"/>
      <c r="PP14" s="111" t="n"/>
      <c r="PQ14" s="111" t="n"/>
      <c r="PR14" s="111" t="n"/>
      <c r="PS14" s="111" t="n"/>
      <c r="PT14" s="111" t="n"/>
      <c r="PU14" s="111" t="n"/>
      <c r="PV14" s="111" t="n"/>
      <c r="PW14" s="111" t="n"/>
      <c r="PX14" s="111" t="n"/>
      <c r="PY14" s="111" t="n"/>
      <c r="PZ14" s="111" t="n"/>
      <c r="QA14" s="111" t="n"/>
      <c r="QB14" s="111" t="n"/>
      <c r="QC14" s="111" t="n"/>
      <c r="QD14" s="111" t="n"/>
      <c r="QE14" s="111" t="n"/>
      <c r="QF14" s="111" t="n"/>
      <c r="QG14" s="111" t="n"/>
      <c r="QH14" s="111" t="n"/>
      <c r="QI14" s="111" t="n"/>
      <c r="QJ14" s="111" t="n"/>
      <c r="QK14" s="111" t="n"/>
      <c r="QL14" s="111" t="n"/>
      <c r="QM14" s="111" t="n"/>
      <c r="QN14" s="111" t="n"/>
      <c r="QO14" s="111" t="n"/>
      <c r="QP14" s="111" t="n"/>
      <c r="QQ14" s="111" t="n"/>
      <c r="QR14" s="111" t="n"/>
      <c r="QS14" s="111" t="n"/>
      <c r="QT14" s="111" t="n"/>
      <c r="QU14" s="111" t="n"/>
      <c r="QV14" s="111" t="n"/>
      <c r="QW14" s="111" t="n"/>
      <c r="QX14" s="111" t="n"/>
      <c r="QY14" s="111" t="n"/>
      <c r="QZ14" s="111" t="n"/>
      <c r="RA14" s="111" t="n"/>
      <c r="RB14" s="111" t="n"/>
      <c r="RC14" s="111" t="n"/>
      <c r="RD14" s="111" t="n"/>
      <c r="RE14" s="111" t="n"/>
      <c r="RF14" s="111" t="n"/>
      <c r="RG14" s="111" t="n"/>
      <c r="RH14" s="111" t="n"/>
      <c r="RI14" s="111" t="n"/>
      <c r="RJ14" s="111" t="n"/>
      <c r="RK14" s="111" t="n"/>
      <c r="RL14" s="111" t="n"/>
      <c r="RM14" s="111" t="n"/>
      <c r="RN14" s="111" t="n"/>
      <c r="RO14" s="111" t="n"/>
      <c r="RP14" s="111" t="n"/>
      <c r="RQ14" s="111" t="n"/>
      <c r="RR14" s="111" t="n"/>
      <c r="RS14" s="111" t="n"/>
      <c r="RT14" s="111" t="n"/>
      <c r="RU14" s="111" t="n"/>
      <c r="RV14" s="111" t="n"/>
      <c r="RW14" s="111" t="n"/>
      <c r="RX14" s="111" t="n"/>
      <c r="RY14" s="111" t="n"/>
      <c r="RZ14" s="111" t="n"/>
      <c r="SA14" s="111" t="n"/>
      <c r="SB14" s="111" t="n"/>
      <c r="SC14" s="111" t="n"/>
      <c r="SD14" s="111" t="n"/>
      <c r="SE14" s="111" t="n"/>
      <c r="SF14" s="111" t="n"/>
      <c r="SG14" s="111" t="n"/>
      <c r="SH14" s="111" t="n"/>
      <c r="SI14" s="111" t="n"/>
      <c r="SJ14" s="111" t="n"/>
      <c r="SK14" s="111" t="n"/>
    </row>
    <row r="15" ht="13.15" customFormat="1" customHeight="1" s="137">
      <c r="A15" s="177" t="n">
        <v>2</v>
      </c>
      <c r="B15" s="154" t="inlineStr">
        <is>
          <t>walls</t>
        </is>
      </c>
      <c r="C15" s="144" t="n"/>
      <c r="D15" s="177" t="n"/>
      <c r="E15" s="177" t="n"/>
      <c r="F15" s="177" t="n"/>
      <c r="G15" s="263" t="n">
        <v>44747</v>
      </c>
      <c r="H15" s="262">
        <f>WORKDAY(G15,I15-1,holidays)</f>
        <v/>
      </c>
      <c r="I15" s="149" t="n">
        <v>1</v>
      </c>
      <c r="J15" s="150" t="n">
        <v>0</v>
      </c>
      <c r="K15" s="151">
        <f>IF(OR(G15=0,H15=0),0,H15-G15+1)</f>
        <v/>
      </c>
      <c r="L15" s="152">
        <f>MIN(K15,WORKDAY(G15,ROUNDDOWN(J15*I15,0),holidays)-G15)</f>
        <v/>
      </c>
      <c r="M15" s="151">
        <f>K15-L15</f>
        <v/>
      </c>
      <c r="N15" s="180"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1" t="n"/>
      <c r="AY15" s="111" t="n"/>
      <c r="AZ15" s="111" t="n"/>
      <c r="BA15" s="111" t="n"/>
      <c r="BB15" s="111" t="n"/>
      <c r="BC15" s="111" t="n"/>
      <c r="BD15" s="111" t="n"/>
      <c r="BE15" s="111" t="n"/>
      <c r="BF15" s="111" t="n"/>
      <c r="BG15" s="111" t="n"/>
      <c r="BH15" s="111" t="n"/>
      <c r="BI15" s="111" t="n"/>
      <c r="BJ15" s="111" t="n"/>
      <c r="BK15" s="111" t="n"/>
      <c r="BL15" s="111" t="n"/>
      <c r="BM15" s="111" t="n"/>
      <c r="BN15" s="111" t="n"/>
      <c r="BO15" s="111" t="n"/>
      <c r="BP15" s="111" t="n"/>
      <c r="BQ15" s="111" t="n"/>
      <c r="BR15" s="111" t="n"/>
      <c r="BS15" s="111" t="n"/>
      <c r="BT15" s="111" t="n"/>
      <c r="BU15" s="111" t="n"/>
      <c r="BV15" s="111" t="n"/>
      <c r="BW15" s="111" t="n"/>
      <c r="BX15" s="111" t="n"/>
      <c r="BY15" s="111" t="n"/>
      <c r="BZ15" s="111" t="n"/>
      <c r="CA15" s="111" t="n"/>
      <c r="CB15" s="111" t="n"/>
      <c r="CC15" s="111" t="n"/>
      <c r="CD15" s="111" t="n"/>
      <c r="CE15" s="111" t="n"/>
      <c r="CF15" s="111"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1" t="n"/>
      <c r="DS15" s="111" t="n"/>
      <c r="DT15" s="111" t="n"/>
      <c r="DU15" s="111" t="n"/>
      <c r="DV15" s="111" t="n"/>
      <c r="DW15" s="111" t="n"/>
      <c r="DX15" s="111" t="n"/>
      <c r="DY15" s="111" t="n"/>
      <c r="DZ15" s="111" t="n"/>
      <c r="EA15" s="111" t="n"/>
      <c r="EB15" s="111" t="n"/>
      <c r="EC15" s="111" t="n"/>
      <c r="ED15" s="111" t="n"/>
      <c r="EE15" s="111" t="n"/>
      <c r="EF15" s="111" t="n"/>
      <c r="EG15" s="111" t="n"/>
      <c r="EH15" s="111" t="n"/>
      <c r="EI15" s="111" t="n"/>
      <c r="EJ15" s="111" t="n"/>
      <c r="EK15" s="111" t="n"/>
      <c r="EL15" s="111" t="n"/>
      <c r="EM15" s="111" t="n"/>
      <c r="EN15" s="111" t="n"/>
      <c r="EO15" s="111" t="n"/>
      <c r="EP15" s="111" t="n"/>
      <c r="EQ15" s="111" t="n"/>
      <c r="ER15" s="111" t="n"/>
      <c r="ES15" s="111" t="n"/>
      <c r="ET15" s="111" t="n"/>
      <c r="EU15" s="111" t="n"/>
      <c r="EV15" s="111" t="n"/>
      <c r="EW15" s="111" t="n"/>
      <c r="EX15" s="111" t="n"/>
      <c r="EY15" s="111" t="n"/>
      <c r="EZ15" s="111" t="n"/>
      <c r="FA15" s="111" t="n"/>
      <c r="FB15" s="111"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1" t="n"/>
      <c r="GH15" s="111" t="n"/>
      <c r="GI15" s="111" t="n"/>
      <c r="GJ15" s="111" t="n"/>
      <c r="GK15" s="111" t="n"/>
      <c r="GL15" s="111" t="n"/>
      <c r="GM15" s="111" t="n"/>
      <c r="GN15" s="111" t="n"/>
      <c r="GO15" s="111" t="n"/>
      <c r="GP15" s="111" t="n"/>
      <c r="GQ15" s="111" t="n"/>
      <c r="GR15" s="111" t="n"/>
      <c r="GS15" s="111" t="n"/>
      <c r="GT15" s="111" t="n"/>
      <c r="GU15" s="111" t="n"/>
      <c r="GV15" s="111" t="n"/>
      <c r="GW15" s="111" t="n"/>
      <c r="GX15" s="111" t="n"/>
      <c r="GY15" s="111" t="n"/>
      <c r="GZ15" s="111" t="n"/>
      <c r="HA15" s="111" t="n"/>
      <c r="HB15" s="111" t="n"/>
      <c r="HC15" s="111" t="n"/>
      <c r="HD15" s="111" t="n"/>
      <c r="HE15" s="111" t="n"/>
      <c r="HF15" s="111" t="n"/>
      <c r="HG15" s="111" t="n"/>
      <c r="HH15" s="111" t="n"/>
      <c r="HI15" s="111" t="n"/>
      <c r="HJ15" s="111" t="n"/>
      <c r="HK15" s="111" t="n"/>
      <c r="HL15" s="111" t="n"/>
      <c r="HM15" s="111" t="n"/>
      <c r="HN15" s="111" t="n"/>
      <c r="HO15" s="111" t="n"/>
      <c r="HP15" s="111" t="n"/>
      <c r="HQ15" s="111" t="n"/>
      <c r="HR15" s="111" t="n"/>
      <c r="HS15" s="111" t="n"/>
      <c r="HT15" s="111" t="n"/>
      <c r="HU15" s="111" t="n"/>
      <c r="HV15" s="111" t="n"/>
      <c r="HW15" s="111" t="n"/>
      <c r="HX15" s="111" t="n"/>
      <c r="HY15" s="111" t="n"/>
      <c r="HZ15" s="111" t="n"/>
      <c r="IA15" s="111" t="n"/>
      <c r="IB15" s="111" t="n"/>
      <c r="IC15" s="111" t="n"/>
      <c r="ID15" s="111" t="n"/>
      <c r="IE15" s="111" t="n"/>
      <c r="IF15" s="111" t="n"/>
      <c r="IG15" s="111" t="n"/>
      <c r="IH15" s="111" t="n"/>
      <c r="II15" s="111" t="n"/>
      <c r="IJ15" s="111" t="n"/>
      <c r="IK15" s="111" t="n"/>
      <c r="IL15" s="111" t="n"/>
      <c r="IM15" s="111" t="n"/>
      <c r="IN15" s="111" t="n"/>
      <c r="IO15" s="111" t="n"/>
      <c r="IP15" s="111" t="n"/>
      <c r="IQ15" s="111" t="n"/>
      <c r="IR15" s="111" t="n"/>
      <c r="IS15" s="111" t="n"/>
      <c r="IT15" s="111" t="n"/>
      <c r="IU15" s="111" t="n"/>
      <c r="IV15" s="111" t="n"/>
      <c r="IW15" s="111" t="n"/>
      <c r="IX15" s="111" t="n"/>
      <c r="IY15" s="111" t="n"/>
      <c r="IZ15" s="111" t="n"/>
      <c r="JA15" s="111" t="n"/>
      <c r="JB15" s="111" t="n"/>
      <c r="JC15" s="111" t="n"/>
      <c r="JD15" s="111" t="n"/>
      <c r="JE15" s="111" t="n"/>
      <c r="JF15" s="111" t="n"/>
      <c r="JG15" s="111" t="n"/>
      <c r="JH15" s="111" t="n"/>
      <c r="JI15" s="111" t="n"/>
      <c r="JJ15" s="111" t="n"/>
      <c r="JK15" s="111" t="n"/>
      <c r="JL15" s="111" t="n"/>
      <c r="JM15" s="111" t="n"/>
      <c r="JN15" s="111" t="n"/>
      <c r="JO15" s="111" t="n"/>
      <c r="JP15" s="111" t="n"/>
      <c r="JQ15" s="111" t="n"/>
      <c r="JR15" s="111" t="n"/>
      <c r="JS15" s="111" t="n"/>
      <c r="JT15" s="111" t="n"/>
      <c r="JU15" s="111" t="n"/>
      <c r="JV15" s="111" t="n"/>
      <c r="JW15" s="111" t="n"/>
      <c r="JX15" s="111" t="n"/>
      <c r="JY15" s="111" t="n"/>
      <c r="JZ15" s="111" t="n"/>
      <c r="KA15" s="111" t="n"/>
      <c r="KB15" s="111" t="n"/>
      <c r="KC15" s="111" t="n"/>
      <c r="KD15" s="111" t="n"/>
      <c r="KE15" s="111" t="n"/>
      <c r="KF15" s="111" t="n"/>
      <c r="KG15" s="111" t="n"/>
      <c r="KH15" s="111" t="n"/>
      <c r="KI15" s="111" t="n"/>
      <c r="KJ15" s="111" t="n"/>
      <c r="KK15" s="111" t="n"/>
      <c r="KL15" s="111" t="n"/>
      <c r="KM15" s="111" t="n"/>
      <c r="KN15" s="111" t="n"/>
      <c r="KO15" s="111" t="n"/>
      <c r="KP15" s="111" t="n"/>
      <c r="KQ15" s="111" t="n"/>
      <c r="KR15" s="111" t="n"/>
      <c r="KS15" s="111" t="n"/>
      <c r="KT15" s="111" t="n"/>
      <c r="KU15" s="111" t="n"/>
      <c r="KV15" s="111" t="n"/>
      <c r="KW15" s="111" t="n"/>
      <c r="KX15" s="111" t="n"/>
      <c r="KY15" s="111" t="n"/>
      <c r="KZ15" s="111" t="n"/>
      <c r="LA15" s="111" t="n"/>
      <c r="LB15" s="111" t="n"/>
      <c r="LC15" s="111" t="n"/>
      <c r="LD15" s="111" t="n"/>
      <c r="LE15" s="111" t="n"/>
      <c r="LF15" s="111" t="n"/>
      <c r="LG15" s="111" t="n"/>
      <c r="LH15" s="111" t="n"/>
      <c r="LI15" s="111" t="n"/>
      <c r="LJ15" s="111" t="n"/>
      <c r="LK15" s="111" t="n"/>
      <c r="LL15" s="111" t="n"/>
      <c r="LM15" s="111" t="n"/>
      <c r="LN15" s="111" t="n"/>
      <c r="LO15" s="111" t="n"/>
      <c r="LP15" s="111" t="n"/>
      <c r="LQ15" s="111" t="n"/>
      <c r="LR15" s="111" t="n"/>
      <c r="LS15" s="111" t="n"/>
      <c r="LT15" s="111" t="n"/>
      <c r="LU15" s="111" t="n"/>
      <c r="LV15" s="111" t="n"/>
      <c r="LW15" s="111" t="n"/>
      <c r="LX15" s="111" t="n"/>
      <c r="LY15" s="111" t="n"/>
      <c r="LZ15" s="111" t="n"/>
      <c r="MA15" s="111" t="n"/>
      <c r="MB15" s="111" t="n"/>
      <c r="MC15" s="111" t="n"/>
      <c r="MD15" s="111" t="n"/>
      <c r="ME15" s="111" t="n"/>
      <c r="MF15" s="111" t="n"/>
      <c r="MG15" s="111" t="n"/>
      <c r="MH15" s="111" t="n"/>
      <c r="MI15" s="111" t="n"/>
      <c r="MJ15" s="111" t="n"/>
      <c r="MK15" s="111" t="n"/>
      <c r="ML15" s="111" t="n"/>
      <c r="MM15" s="111" t="n"/>
      <c r="MN15" s="111" t="n"/>
      <c r="MO15" s="111" t="n"/>
      <c r="MP15" s="111" t="n"/>
      <c r="MQ15" s="111" t="n"/>
      <c r="MR15" s="111" t="n"/>
      <c r="MS15" s="111" t="n"/>
      <c r="MT15" s="111" t="n"/>
      <c r="MU15" s="111" t="n"/>
      <c r="MV15" s="111" t="n"/>
      <c r="MW15" s="111" t="n"/>
      <c r="MX15" s="111" t="n"/>
      <c r="MY15" s="111" t="n"/>
      <c r="MZ15" s="111" t="n"/>
      <c r="NA15" s="111" t="n"/>
      <c r="NB15" s="111" t="n"/>
      <c r="NC15" s="111" t="n"/>
      <c r="ND15" s="111" t="n"/>
      <c r="NE15" s="111" t="n"/>
      <c r="NF15" s="111" t="n"/>
      <c r="NG15" s="111" t="n"/>
      <c r="NH15" s="111" t="n"/>
      <c r="NI15" s="111" t="n"/>
      <c r="NJ15" s="111" t="n"/>
      <c r="NK15" s="111" t="n"/>
      <c r="NL15" s="111" t="n"/>
      <c r="NM15" s="111" t="n"/>
      <c r="NN15" s="111" t="n"/>
      <c r="NO15" s="111" t="n"/>
      <c r="NP15" s="111" t="n"/>
      <c r="NQ15" s="111" t="n"/>
      <c r="NR15" s="111" t="n"/>
      <c r="NS15" s="111" t="n"/>
      <c r="NT15" s="111" t="n"/>
      <c r="NU15" s="111" t="n"/>
      <c r="NV15" s="111" t="n"/>
      <c r="NW15" s="111" t="n"/>
      <c r="NX15" s="111" t="n"/>
      <c r="NY15" s="111" t="n"/>
      <c r="NZ15" s="111" t="n"/>
      <c r="OA15" s="111" t="n"/>
      <c r="OB15" s="111" t="n"/>
      <c r="OC15" s="111" t="n"/>
      <c r="OD15" s="111" t="n"/>
      <c r="OE15" s="111" t="n"/>
      <c r="OF15" s="111" t="n"/>
      <c r="OG15" s="111" t="n"/>
      <c r="OH15" s="111" t="n"/>
      <c r="OI15" s="111" t="n"/>
      <c r="OJ15" s="111" t="n"/>
      <c r="OK15" s="111" t="n"/>
      <c r="OL15" s="111" t="n"/>
      <c r="OM15" s="111" t="n"/>
      <c r="ON15" s="111" t="n"/>
      <c r="OO15" s="111" t="n"/>
      <c r="OP15" s="111" t="n"/>
      <c r="OQ15" s="111" t="n"/>
      <c r="OR15" s="111" t="n"/>
      <c r="OS15" s="111" t="n"/>
      <c r="OT15" s="111" t="n"/>
      <c r="OU15" s="111" t="n"/>
      <c r="OV15" s="111" t="n"/>
      <c r="OW15" s="111" t="n"/>
      <c r="OX15" s="111" t="n"/>
      <c r="OY15" s="111" t="n"/>
      <c r="OZ15" s="111" t="n"/>
      <c r="PA15" s="111" t="n"/>
      <c r="PB15" s="111" t="n"/>
      <c r="PC15" s="111" t="n"/>
      <c r="PD15" s="111" t="n"/>
      <c r="PE15" s="111" t="n"/>
      <c r="PF15" s="111" t="n"/>
      <c r="PG15" s="111" t="n"/>
      <c r="PH15" s="111" t="n"/>
      <c r="PI15" s="111" t="n"/>
      <c r="PJ15" s="111" t="n"/>
      <c r="PK15" s="111" t="n"/>
      <c r="PL15" s="111" t="n"/>
      <c r="PM15" s="111" t="n"/>
      <c r="PN15" s="111" t="n"/>
      <c r="PO15" s="111" t="n"/>
      <c r="PP15" s="111" t="n"/>
      <c r="PQ15" s="111" t="n"/>
      <c r="PR15" s="111" t="n"/>
      <c r="PS15" s="111" t="n"/>
      <c r="PT15" s="111" t="n"/>
      <c r="PU15" s="111" t="n"/>
      <c r="PV15" s="111" t="n"/>
      <c r="PW15" s="111" t="n"/>
      <c r="PX15" s="111" t="n"/>
      <c r="PY15" s="111" t="n"/>
      <c r="PZ15" s="111" t="n"/>
      <c r="QA15" s="111" t="n"/>
      <c r="QB15" s="111" t="n"/>
      <c r="QC15" s="111" t="n"/>
      <c r="QD15" s="111" t="n"/>
      <c r="QE15" s="111" t="n"/>
      <c r="QF15" s="111" t="n"/>
      <c r="QG15" s="111" t="n"/>
      <c r="QH15" s="111" t="n"/>
      <c r="QI15" s="111" t="n"/>
      <c r="QJ15" s="111" t="n"/>
      <c r="QK15" s="111" t="n"/>
      <c r="QL15" s="111" t="n"/>
      <c r="QM15" s="111" t="n"/>
      <c r="QN15" s="111" t="n"/>
      <c r="QO15" s="111" t="n"/>
      <c r="QP15" s="111" t="n"/>
      <c r="QQ15" s="111" t="n"/>
      <c r="QR15" s="111" t="n"/>
      <c r="QS15" s="111" t="n"/>
      <c r="QT15" s="111" t="n"/>
      <c r="QU15" s="111" t="n"/>
      <c r="QV15" s="111" t="n"/>
      <c r="QW15" s="111" t="n"/>
      <c r="QX15" s="111" t="n"/>
      <c r="QY15" s="111" t="n"/>
      <c r="QZ15" s="111" t="n"/>
      <c r="RA15" s="111" t="n"/>
      <c r="RB15" s="111" t="n"/>
      <c r="RC15" s="111" t="n"/>
      <c r="RD15" s="111" t="n"/>
      <c r="RE15" s="111" t="n"/>
      <c r="RF15" s="111" t="n"/>
      <c r="RG15" s="111" t="n"/>
      <c r="RH15" s="111" t="n"/>
      <c r="RI15" s="111" t="n"/>
      <c r="RJ15" s="111" t="n"/>
      <c r="RK15" s="111" t="n"/>
      <c r="RL15" s="111" t="n"/>
      <c r="RM15" s="111" t="n"/>
      <c r="RN15" s="111" t="n"/>
      <c r="RO15" s="111" t="n"/>
      <c r="RP15" s="111" t="n"/>
      <c r="RQ15" s="111" t="n"/>
      <c r="RR15" s="111" t="n"/>
      <c r="RS15" s="111" t="n"/>
      <c r="RT15" s="111" t="n"/>
      <c r="RU15" s="111" t="n"/>
      <c r="RV15" s="111" t="n"/>
      <c r="RW15" s="111" t="n"/>
      <c r="RX15" s="111" t="n"/>
      <c r="RY15" s="111" t="n"/>
      <c r="RZ15" s="111" t="n"/>
      <c r="SA15" s="111" t="n"/>
      <c r="SB15" s="111" t="n"/>
      <c r="SC15" s="111" t="n"/>
      <c r="SD15" s="111" t="n"/>
      <c r="SE15" s="111" t="n"/>
      <c r="SF15" s="111" t="n"/>
      <c r="SG15" s="111" t="n"/>
      <c r="SH15" s="111" t="n"/>
      <c r="SI15" s="111" t="n"/>
      <c r="SJ15" s="111" t="n"/>
      <c r="SK15" s="111" t="n"/>
    </row>
    <row r="16" ht="13.15" customFormat="1" customHeight="1" s="137">
      <c r="A16" s="177" t="n">
        <v>3</v>
      </c>
      <c r="B16" s="154" t="inlineStr">
        <is>
          <t>HVAC Install Duct and unit</t>
        </is>
      </c>
      <c r="C16" s="144" t="n"/>
      <c r="D16" s="177" t="n"/>
      <c r="E16" s="177" t="n"/>
      <c r="F16" s="177" t="n"/>
      <c r="G16" s="263" t="n">
        <v>44747</v>
      </c>
      <c r="H16" s="262">
        <f>WORKDAY(G16,I16-1,holidays)</f>
        <v/>
      </c>
      <c r="I16" s="149" t="n">
        <v>3</v>
      </c>
      <c r="J16" s="150" t="n">
        <v>0</v>
      </c>
      <c r="K16" s="151">
        <f>IF(OR(G16=0,H16=0),0,H16-G16+1)</f>
        <v/>
      </c>
      <c r="L16" s="152">
        <f>MIN(K16,WORKDAY(G16,ROUNDDOWN(J16*I16,0),holidays)-G16)</f>
        <v/>
      </c>
      <c r="M16" s="151">
        <f>K16-L16</f>
        <v/>
      </c>
      <c r="N16" s="180" t="n"/>
      <c r="P16" s="111" t="n"/>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1" t="n"/>
      <c r="AY16" s="111" t="n"/>
      <c r="AZ16" s="111" t="n"/>
      <c r="BA16" s="111" t="n"/>
      <c r="BB16" s="111" t="n"/>
      <c r="BC16" s="111" t="n"/>
      <c r="BD16" s="111" t="n"/>
      <c r="BE16" s="111" t="n"/>
      <c r="BF16" s="111" t="n"/>
      <c r="BG16" s="111" t="n"/>
      <c r="BH16" s="111" t="n"/>
      <c r="BI16" s="111" t="n"/>
      <c r="BJ16" s="111" t="n"/>
      <c r="BK16" s="111" t="n"/>
      <c r="BL16" s="111" t="n"/>
      <c r="BM16" s="111" t="n"/>
      <c r="BN16" s="111" t="n"/>
      <c r="BO16" s="111" t="n"/>
      <c r="BP16" s="111" t="n"/>
      <c r="BQ16" s="111" t="n"/>
      <c r="BR16" s="111" t="n"/>
      <c r="BS16" s="111" t="n"/>
      <c r="BT16" s="111" t="n"/>
      <c r="BU16" s="111" t="n"/>
      <c r="BV16" s="111" t="n"/>
      <c r="BW16" s="111" t="n"/>
      <c r="BX16" s="111" t="n"/>
      <c r="BY16" s="111" t="n"/>
      <c r="BZ16" s="111" t="n"/>
      <c r="CA16" s="111" t="n"/>
      <c r="CB16" s="111" t="n"/>
      <c r="CC16" s="111" t="n"/>
      <c r="CD16" s="111" t="n"/>
      <c r="CE16" s="111" t="n"/>
      <c r="CF16" s="111" t="n"/>
      <c r="CG16" s="111" t="n"/>
      <c r="CH16" s="111" t="n"/>
      <c r="CI16" s="111" t="n"/>
      <c r="CJ16" s="111" t="n"/>
      <c r="CK16" s="111" t="n"/>
      <c r="CL16" s="111" t="n"/>
      <c r="CM16" s="111" t="n"/>
      <c r="CN16" s="111" t="n"/>
      <c r="CO16" s="111" t="n"/>
      <c r="CP16" s="111" t="n"/>
      <c r="CQ16" s="111" t="n"/>
      <c r="CR16" s="111" t="n"/>
      <c r="CS16" s="111" t="n"/>
      <c r="CT16" s="111" t="n"/>
      <c r="CU16" s="111" t="n"/>
      <c r="CV16" s="111" t="n"/>
      <c r="CW16" s="111" t="n"/>
      <c r="CX16" s="111" t="n"/>
      <c r="CY16" s="111" t="n"/>
      <c r="CZ16" s="111" t="n"/>
      <c r="DA16" s="111" t="n"/>
      <c r="DB16" s="111" t="n"/>
      <c r="DC16" s="111" t="n"/>
      <c r="DD16" s="111" t="n"/>
      <c r="DE16" s="111" t="n"/>
      <c r="DF16" s="111" t="n"/>
      <c r="DG16" s="111" t="n"/>
      <c r="DH16" s="111" t="n"/>
      <c r="DI16" s="111" t="n"/>
      <c r="DJ16" s="111" t="n"/>
      <c r="DK16" s="111" t="n"/>
      <c r="DL16" s="111" t="n"/>
      <c r="DM16" s="111" t="n"/>
      <c r="DN16" s="111" t="n"/>
      <c r="DO16" s="111" t="n"/>
      <c r="DP16" s="111" t="n"/>
      <c r="DQ16" s="111" t="n"/>
      <c r="DR16" s="111" t="n"/>
      <c r="DS16" s="111" t="n"/>
      <c r="DT16" s="111" t="n"/>
      <c r="DU16" s="111" t="n"/>
      <c r="DV16" s="111" t="n"/>
      <c r="DW16" s="111" t="n"/>
      <c r="DX16" s="111" t="n"/>
      <c r="DY16" s="111" t="n"/>
      <c r="DZ16" s="111" t="n"/>
      <c r="EA16" s="111" t="n"/>
      <c r="EB16" s="111" t="n"/>
      <c r="EC16" s="111" t="n"/>
      <c r="ED16" s="111" t="n"/>
      <c r="EE16" s="111" t="n"/>
      <c r="EF16" s="111" t="n"/>
      <c r="EG16" s="111" t="n"/>
      <c r="EH16" s="111" t="n"/>
      <c r="EI16" s="111" t="n"/>
      <c r="EJ16" s="111" t="n"/>
      <c r="EK16" s="111" t="n"/>
      <c r="EL16" s="111" t="n"/>
      <c r="EM16" s="111" t="n"/>
      <c r="EN16" s="111" t="n"/>
      <c r="EO16" s="111" t="n"/>
      <c r="EP16" s="111" t="n"/>
      <c r="EQ16" s="111" t="n"/>
      <c r="ER16" s="111" t="n"/>
      <c r="ES16" s="111" t="n"/>
      <c r="ET16" s="111" t="n"/>
      <c r="EU16" s="111" t="n"/>
      <c r="EV16" s="111" t="n"/>
      <c r="EW16" s="111" t="n"/>
      <c r="EX16" s="111" t="n"/>
      <c r="EY16" s="111" t="n"/>
      <c r="EZ16" s="111" t="n"/>
      <c r="FA16" s="111" t="n"/>
      <c r="FB16" s="111" t="n"/>
      <c r="FC16" s="111" t="n"/>
      <c r="FD16" s="111" t="n"/>
      <c r="FE16" s="111" t="n"/>
      <c r="FF16" s="111" t="n"/>
      <c r="FG16" s="111" t="n"/>
      <c r="FH16" s="111" t="n"/>
      <c r="FI16" s="111" t="n"/>
      <c r="FJ16" s="111" t="n"/>
      <c r="FK16" s="111" t="n"/>
      <c r="FL16" s="111" t="n"/>
      <c r="FM16" s="111" t="n"/>
      <c r="FN16" s="111" t="n"/>
      <c r="FO16" s="111" t="n"/>
      <c r="FP16" s="111" t="n"/>
      <c r="FQ16" s="111" t="n"/>
      <c r="FR16" s="111" t="n"/>
      <c r="FS16" s="111" t="n"/>
      <c r="FT16" s="111" t="n"/>
      <c r="FU16" s="111" t="n"/>
      <c r="FV16" s="111" t="n"/>
      <c r="FW16" s="111" t="n"/>
      <c r="FX16" s="111" t="n"/>
      <c r="FY16" s="111" t="n"/>
      <c r="FZ16" s="111" t="n"/>
      <c r="GA16" s="111" t="n"/>
      <c r="GB16" s="111" t="n"/>
      <c r="GC16" s="111" t="n"/>
      <c r="GD16" s="111" t="n"/>
      <c r="GE16" s="111" t="n"/>
      <c r="GF16" s="111" t="n"/>
      <c r="GG16" s="111" t="n"/>
      <c r="GH16" s="111" t="n"/>
      <c r="GI16" s="111" t="n"/>
      <c r="GJ16" s="111" t="n"/>
      <c r="GK16" s="111" t="n"/>
      <c r="GL16" s="111" t="n"/>
      <c r="GM16" s="111" t="n"/>
      <c r="GN16" s="111" t="n"/>
      <c r="GO16" s="111" t="n"/>
      <c r="GP16" s="111" t="n"/>
      <c r="GQ16" s="111" t="n"/>
      <c r="GR16" s="111" t="n"/>
      <c r="GS16" s="111" t="n"/>
      <c r="GT16" s="111" t="n"/>
      <c r="GU16" s="111" t="n"/>
      <c r="GV16" s="111" t="n"/>
      <c r="GW16" s="111" t="n"/>
      <c r="GX16" s="111" t="n"/>
      <c r="GY16" s="111" t="n"/>
      <c r="GZ16" s="111" t="n"/>
      <c r="HA16" s="111" t="n"/>
      <c r="HB16" s="111" t="n"/>
      <c r="HC16" s="111" t="n"/>
      <c r="HD16" s="111" t="n"/>
      <c r="HE16" s="111" t="n"/>
      <c r="HF16" s="111" t="n"/>
      <c r="HG16" s="111" t="n"/>
      <c r="HH16" s="111" t="n"/>
      <c r="HI16" s="111" t="n"/>
      <c r="HJ16" s="111" t="n"/>
      <c r="HK16" s="111" t="n"/>
      <c r="HL16" s="111" t="n"/>
      <c r="HM16" s="111" t="n"/>
      <c r="HN16" s="111" t="n"/>
      <c r="HO16" s="111" t="n"/>
      <c r="HP16" s="111" t="n"/>
      <c r="HQ16" s="111" t="n"/>
      <c r="HR16" s="111" t="n"/>
      <c r="HS16" s="111" t="n"/>
      <c r="HT16" s="111" t="n"/>
      <c r="HU16" s="111" t="n"/>
      <c r="HV16" s="111" t="n"/>
      <c r="HW16" s="111" t="n"/>
      <c r="HX16" s="111" t="n"/>
      <c r="HY16" s="111" t="n"/>
      <c r="HZ16" s="111" t="n"/>
      <c r="IA16" s="111" t="n"/>
      <c r="IB16" s="111" t="n"/>
      <c r="IC16" s="111" t="n"/>
      <c r="ID16" s="111" t="n"/>
      <c r="IE16" s="111" t="n"/>
      <c r="IF16" s="111" t="n"/>
      <c r="IG16" s="111" t="n"/>
      <c r="IH16" s="111" t="n"/>
      <c r="II16" s="111" t="n"/>
      <c r="IJ16" s="111" t="n"/>
      <c r="IK16" s="111" t="n"/>
      <c r="IL16" s="111" t="n"/>
      <c r="IM16" s="111" t="n"/>
      <c r="IN16" s="111" t="n"/>
      <c r="IO16" s="111" t="n"/>
      <c r="IP16" s="111" t="n"/>
      <c r="IQ16" s="111" t="n"/>
      <c r="IR16" s="111" t="n"/>
      <c r="IS16" s="111" t="n"/>
      <c r="IT16" s="111" t="n"/>
      <c r="IU16" s="111" t="n"/>
      <c r="IV16" s="111" t="n"/>
      <c r="IW16" s="111" t="n"/>
      <c r="IX16" s="111" t="n"/>
      <c r="IY16" s="111" t="n"/>
      <c r="IZ16" s="111" t="n"/>
      <c r="JA16" s="111" t="n"/>
      <c r="JB16" s="111" t="n"/>
      <c r="JC16" s="111" t="n"/>
      <c r="JD16" s="111" t="n"/>
      <c r="JE16" s="111" t="n"/>
      <c r="JF16" s="111" t="n"/>
      <c r="JG16" s="111" t="n"/>
      <c r="JH16" s="111" t="n"/>
      <c r="JI16" s="111" t="n"/>
      <c r="JJ16" s="111" t="n"/>
      <c r="JK16" s="111" t="n"/>
      <c r="JL16" s="111" t="n"/>
      <c r="JM16" s="111" t="n"/>
      <c r="JN16" s="111" t="n"/>
      <c r="JO16" s="111" t="n"/>
      <c r="JP16" s="111" t="n"/>
      <c r="JQ16" s="111" t="n"/>
      <c r="JR16" s="111" t="n"/>
      <c r="JS16" s="111" t="n"/>
      <c r="JT16" s="111" t="n"/>
      <c r="JU16" s="111" t="n"/>
      <c r="JV16" s="111" t="n"/>
      <c r="JW16" s="111" t="n"/>
      <c r="JX16" s="111" t="n"/>
      <c r="JY16" s="111" t="n"/>
      <c r="JZ16" s="111" t="n"/>
      <c r="KA16" s="111" t="n"/>
      <c r="KB16" s="111" t="n"/>
      <c r="KC16" s="111" t="n"/>
      <c r="KD16" s="111" t="n"/>
      <c r="KE16" s="111" t="n"/>
      <c r="KF16" s="111" t="n"/>
      <c r="KG16" s="111" t="n"/>
      <c r="KH16" s="111" t="n"/>
      <c r="KI16" s="111" t="n"/>
      <c r="KJ16" s="111" t="n"/>
      <c r="KK16" s="111" t="n"/>
      <c r="KL16" s="111" t="n"/>
      <c r="KM16" s="111" t="n"/>
      <c r="KN16" s="111" t="n"/>
      <c r="KO16" s="111" t="n"/>
      <c r="KP16" s="111" t="n"/>
      <c r="KQ16" s="111" t="n"/>
      <c r="KR16" s="111" t="n"/>
      <c r="KS16" s="111" t="n"/>
      <c r="KT16" s="111" t="n"/>
      <c r="KU16" s="111" t="n"/>
      <c r="KV16" s="111" t="n"/>
      <c r="KW16" s="111" t="n"/>
      <c r="KX16" s="111" t="n"/>
      <c r="KY16" s="111" t="n"/>
      <c r="KZ16" s="111" t="n"/>
      <c r="LA16" s="111" t="n"/>
      <c r="LB16" s="111" t="n"/>
      <c r="LC16" s="111" t="n"/>
      <c r="LD16" s="111" t="n"/>
      <c r="LE16" s="111" t="n"/>
      <c r="LF16" s="111" t="n"/>
      <c r="LG16" s="111" t="n"/>
      <c r="LH16" s="111" t="n"/>
      <c r="LI16" s="111" t="n"/>
      <c r="LJ16" s="111" t="n"/>
      <c r="LK16" s="111" t="n"/>
      <c r="LL16" s="111" t="n"/>
      <c r="LM16" s="111" t="n"/>
      <c r="LN16" s="111" t="n"/>
      <c r="LO16" s="111" t="n"/>
      <c r="LP16" s="111" t="n"/>
      <c r="LQ16" s="111" t="n"/>
      <c r="LR16" s="111" t="n"/>
      <c r="LS16" s="111" t="n"/>
      <c r="LT16" s="111" t="n"/>
      <c r="LU16" s="111" t="n"/>
      <c r="LV16" s="111" t="n"/>
      <c r="LW16" s="111" t="n"/>
      <c r="LX16" s="111" t="n"/>
      <c r="LY16" s="111" t="n"/>
      <c r="LZ16" s="111" t="n"/>
      <c r="MA16" s="111" t="n"/>
      <c r="MB16" s="111" t="n"/>
      <c r="MC16" s="111" t="n"/>
      <c r="MD16" s="111" t="n"/>
      <c r="ME16" s="111" t="n"/>
      <c r="MF16" s="111" t="n"/>
      <c r="MG16" s="111" t="n"/>
      <c r="MH16" s="111" t="n"/>
      <c r="MI16" s="111" t="n"/>
      <c r="MJ16" s="111" t="n"/>
      <c r="MK16" s="111" t="n"/>
      <c r="ML16" s="111" t="n"/>
      <c r="MM16" s="111" t="n"/>
      <c r="MN16" s="111" t="n"/>
      <c r="MO16" s="111" t="n"/>
      <c r="MP16" s="111" t="n"/>
      <c r="MQ16" s="111" t="n"/>
      <c r="MR16" s="111" t="n"/>
      <c r="MS16" s="111" t="n"/>
      <c r="MT16" s="111" t="n"/>
      <c r="MU16" s="111" t="n"/>
      <c r="MV16" s="111" t="n"/>
      <c r="MW16" s="111" t="n"/>
      <c r="MX16" s="111" t="n"/>
      <c r="MY16" s="111" t="n"/>
      <c r="MZ16" s="111" t="n"/>
      <c r="NA16" s="111" t="n"/>
      <c r="NB16" s="111" t="n"/>
      <c r="NC16" s="111" t="n"/>
      <c r="ND16" s="111" t="n"/>
      <c r="NE16" s="111" t="n"/>
      <c r="NF16" s="111" t="n"/>
      <c r="NG16" s="111" t="n"/>
      <c r="NH16" s="111" t="n"/>
      <c r="NI16" s="111" t="n"/>
      <c r="NJ16" s="111" t="n"/>
      <c r="NK16" s="111" t="n"/>
      <c r="NL16" s="111" t="n"/>
      <c r="NM16" s="111" t="n"/>
      <c r="NN16" s="111" t="n"/>
      <c r="NO16" s="111" t="n"/>
      <c r="NP16" s="111" t="n"/>
      <c r="NQ16" s="111" t="n"/>
      <c r="NR16" s="111" t="n"/>
      <c r="NS16" s="111" t="n"/>
      <c r="NT16" s="111" t="n"/>
      <c r="NU16" s="111" t="n"/>
      <c r="NV16" s="111" t="n"/>
      <c r="NW16" s="111" t="n"/>
      <c r="NX16" s="111" t="n"/>
      <c r="NY16" s="111" t="n"/>
      <c r="NZ16" s="111" t="n"/>
      <c r="OA16" s="111" t="n"/>
      <c r="OB16" s="111" t="n"/>
      <c r="OC16" s="111" t="n"/>
      <c r="OD16" s="111" t="n"/>
      <c r="OE16" s="111" t="n"/>
      <c r="OF16" s="111" t="n"/>
      <c r="OG16" s="111" t="n"/>
      <c r="OH16" s="111" t="n"/>
      <c r="OI16" s="111" t="n"/>
      <c r="OJ16" s="111" t="n"/>
      <c r="OK16" s="111" t="n"/>
      <c r="OL16" s="111" t="n"/>
      <c r="OM16" s="111" t="n"/>
      <c r="ON16" s="111" t="n"/>
      <c r="OO16" s="111" t="n"/>
      <c r="OP16" s="111" t="n"/>
      <c r="OQ16" s="111" t="n"/>
      <c r="OR16" s="111" t="n"/>
      <c r="OS16" s="111" t="n"/>
      <c r="OT16" s="111" t="n"/>
      <c r="OU16" s="111" t="n"/>
      <c r="OV16" s="111" t="n"/>
      <c r="OW16" s="111" t="n"/>
      <c r="OX16" s="111" t="n"/>
      <c r="OY16" s="111" t="n"/>
      <c r="OZ16" s="111" t="n"/>
      <c r="PA16" s="111" t="n"/>
      <c r="PB16" s="111" t="n"/>
      <c r="PC16" s="111" t="n"/>
      <c r="PD16" s="111" t="n"/>
      <c r="PE16" s="111" t="n"/>
      <c r="PF16" s="111" t="n"/>
      <c r="PG16" s="111" t="n"/>
      <c r="PH16" s="111" t="n"/>
      <c r="PI16" s="111" t="n"/>
      <c r="PJ16" s="111" t="n"/>
      <c r="PK16" s="111" t="n"/>
      <c r="PL16" s="111" t="n"/>
      <c r="PM16" s="111" t="n"/>
      <c r="PN16" s="111" t="n"/>
      <c r="PO16" s="111" t="n"/>
      <c r="PP16" s="111" t="n"/>
      <c r="PQ16" s="111" t="n"/>
      <c r="PR16" s="111" t="n"/>
      <c r="PS16" s="111" t="n"/>
      <c r="PT16" s="111" t="n"/>
      <c r="PU16" s="111" t="n"/>
      <c r="PV16" s="111" t="n"/>
      <c r="PW16" s="111" t="n"/>
      <c r="PX16" s="111" t="n"/>
      <c r="PY16" s="111" t="n"/>
      <c r="PZ16" s="111" t="n"/>
      <c r="QA16" s="111" t="n"/>
      <c r="QB16" s="111" t="n"/>
      <c r="QC16" s="111" t="n"/>
      <c r="QD16" s="111" t="n"/>
      <c r="QE16" s="111" t="n"/>
      <c r="QF16" s="111" t="n"/>
      <c r="QG16" s="111" t="n"/>
      <c r="QH16" s="111" t="n"/>
      <c r="QI16" s="111" t="n"/>
      <c r="QJ16" s="111" t="n"/>
      <c r="QK16" s="111" t="n"/>
      <c r="QL16" s="111" t="n"/>
      <c r="QM16" s="111" t="n"/>
      <c r="QN16" s="111" t="n"/>
      <c r="QO16" s="111" t="n"/>
      <c r="QP16" s="111" t="n"/>
      <c r="QQ16" s="111" t="n"/>
      <c r="QR16" s="111" t="n"/>
      <c r="QS16" s="111" t="n"/>
      <c r="QT16" s="111" t="n"/>
      <c r="QU16" s="111" t="n"/>
      <c r="QV16" s="111" t="n"/>
      <c r="QW16" s="111" t="n"/>
      <c r="QX16" s="111" t="n"/>
      <c r="QY16" s="111" t="n"/>
      <c r="QZ16" s="111" t="n"/>
      <c r="RA16" s="111" t="n"/>
      <c r="RB16" s="111" t="n"/>
      <c r="RC16" s="111" t="n"/>
      <c r="RD16" s="111" t="n"/>
      <c r="RE16" s="111" t="n"/>
      <c r="RF16" s="111" t="n"/>
      <c r="RG16" s="111" t="n"/>
      <c r="RH16" s="111" t="n"/>
      <c r="RI16" s="111" t="n"/>
      <c r="RJ16" s="111" t="n"/>
      <c r="RK16" s="111" t="n"/>
      <c r="RL16" s="111" t="n"/>
      <c r="RM16" s="111" t="n"/>
      <c r="RN16" s="111" t="n"/>
      <c r="RO16" s="111" t="n"/>
      <c r="RP16" s="111" t="n"/>
      <c r="RQ16" s="111" t="n"/>
      <c r="RR16" s="111" t="n"/>
      <c r="RS16" s="111" t="n"/>
      <c r="RT16" s="111" t="n"/>
      <c r="RU16" s="111" t="n"/>
      <c r="RV16" s="111" t="n"/>
      <c r="RW16" s="111" t="n"/>
      <c r="RX16" s="111" t="n"/>
      <c r="RY16" s="111" t="n"/>
      <c r="RZ16" s="111" t="n"/>
      <c r="SA16" s="111" t="n"/>
      <c r="SB16" s="111" t="n"/>
      <c r="SC16" s="111" t="n"/>
      <c r="SD16" s="111" t="n"/>
      <c r="SE16" s="111" t="n"/>
      <c r="SF16" s="111" t="n"/>
      <c r="SG16" s="111" t="n"/>
      <c r="SH16" s="111" t="n"/>
      <c r="SI16" s="111" t="n"/>
      <c r="SJ16" s="111" t="n"/>
      <c r="SK16" s="111" t="n"/>
    </row>
    <row r="17" ht="14.25" customFormat="1" customHeight="1" s="137">
      <c r="A17" s="177" t="n">
        <v>4</v>
      </c>
      <c r="B17" s="154" t="inlineStr">
        <is>
          <t>GPR/Send to Structural Engineer</t>
        </is>
      </c>
      <c r="C17" s="144" t="n"/>
      <c r="D17" s="177" t="n"/>
      <c r="E17" s="177" t="n"/>
      <c r="F17" s="177" t="n"/>
      <c r="G17" s="263" t="n">
        <v>44750</v>
      </c>
      <c r="H17" s="262">
        <f>WORKDAY(G17,I17-1,holidays)</f>
        <v/>
      </c>
      <c r="I17" s="149" t="n">
        <v>2</v>
      </c>
      <c r="J17" s="150" t="n">
        <v>0</v>
      </c>
      <c r="K17" s="151">
        <f>IF(OR(G17=0,H17=0),0,H17-G17+1)</f>
        <v/>
      </c>
      <c r="L17" s="152">
        <f>MIN(K17,WORKDAY(G17,ROUNDDOWN(J17*I17,0),holidays)-G17)</f>
        <v/>
      </c>
      <c r="M17" s="151">
        <f>K17-L17</f>
        <v/>
      </c>
      <c r="N17" s="180" t="n"/>
      <c r="P17" s="111" t="n"/>
      <c r="Q17" s="111" t="n"/>
      <c r="R17" s="111" t="n"/>
      <c r="S17" s="111" t="n"/>
      <c r="T17" s="111" t="n"/>
      <c r="U17" s="111" t="n"/>
      <c r="V17" s="111" t="n"/>
      <c r="W17" s="111" t="n"/>
      <c r="X17" s="111" t="n"/>
      <c r="Y17" s="111" t="n"/>
      <c r="Z17" s="111" t="n"/>
      <c r="AA17" s="111" t="n"/>
      <c r="AB17" s="111" t="n"/>
      <c r="AC17" s="111" t="n"/>
      <c r="AD17" s="111" t="n"/>
      <c r="AE17" s="111" t="n"/>
      <c r="AF17" s="111" t="n"/>
      <c r="AG17" s="111" t="n"/>
      <c r="AH17" s="111" t="n"/>
      <c r="AI17" s="111" t="n"/>
      <c r="AJ17" s="111" t="n"/>
      <c r="AK17" s="111" t="n"/>
      <c r="AL17" s="111" t="n"/>
      <c r="AM17" s="111" t="n"/>
      <c r="AN17" s="111" t="n"/>
      <c r="AO17" s="111" t="n"/>
      <c r="AP17" s="111" t="n"/>
      <c r="AQ17" s="111" t="n"/>
      <c r="AR17" s="111" t="n"/>
      <c r="AS17" s="111" t="n"/>
      <c r="AT17" s="111" t="n"/>
      <c r="AU17" s="111" t="n"/>
      <c r="AV17" s="111" t="n"/>
      <c r="AW17" s="111" t="n"/>
      <c r="AX17" s="111" t="n"/>
      <c r="AY17" s="111" t="n"/>
      <c r="AZ17" s="111" t="n"/>
      <c r="BA17" s="111" t="n"/>
      <c r="BB17" s="111" t="n"/>
      <c r="BC17" s="111" t="n"/>
      <c r="BD17" s="111" t="n"/>
      <c r="BE17" s="111" t="n"/>
      <c r="BF17" s="111" t="n"/>
      <c r="BG17" s="111" t="n"/>
      <c r="BH17" s="111" t="n"/>
      <c r="BI17" s="111" t="n"/>
      <c r="BJ17" s="111" t="n"/>
      <c r="BK17" s="111" t="n"/>
      <c r="BL17" s="111" t="n"/>
      <c r="BM17" s="111" t="n"/>
      <c r="BN17" s="111" t="n"/>
      <c r="BO17" s="111" t="n"/>
      <c r="BP17" s="111" t="n"/>
      <c r="BQ17" s="111" t="n"/>
      <c r="BR17" s="111" t="n"/>
      <c r="BS17" s="111" t="n"/>
      <c r="BT17" s="111" t="n"/>
      <c r="BU17" s="111" t="n"/>
      <c r="BV17" s="111" t="n"/>
      <c r="BW17" s="111" t="n"/>
      <c r="BX17" s="111" t="n"/>
      <c r="BY17" s="111" t="n"/>
      <c r="BZ17" s="111" t="n"/>
      <c r="CA17" s="111" t="n"/>
      <c r="CB17" s="111" t="n"/>
      <c r="CC17" s="111" t="n"/>
      <c r="CD17" s="111" t="n"/>
      <c r="CE17" s="111" t="n"/>
      <c r="CF17" s="111" t="n"/>
      <c r="CG17" s="111" t="n"/>
      <c r="CH17" s="111" t="n"/>
      <c r="CI17" s="111" t="n"/>
      <c r="CJ17" s="111" t="n"/>
      <c r="CK17" s="111" t="n"/>
      <c r="CL17" s="111" t="n"/>
      <c r="CM17" s="111" t="n"/>
      <c r="CN17" s="111" t="n"/>
      <c r="CO17" s="111" t="n"/>
      <c r="CP17" s="111" t="n"/>
      <c r="CQ17" s="111" t="n"/>
      <c r="CR17" s="111" t="n"/>
      <c r="CS17" s="111" t="n"/>
      <c r="CT17" s="111" t="n"/>
      <c r="CU17" s="111" t="n"/>
      <c r="CV17" s="111" t="n"/>
      <c r="CW17" s="111" t="n"/>
      <c r="CX17" s="111" t="n"/>
      <c r="CY17" s="111" t="n"/>
      <c r="CZ17" s="111" t="n"/>
      <c r="DA17" s="111" t="n"/>
      <c r="DB17" s="111" t="n"/>
      <c r="DC17" s="111" t="n"/>
      <c r="DD17" s="111" t="n"/>
      <c r="DE17" s="111" t="n"/>
      <c r="DF17" s="111" t="n"/>
      <c r="DG17" s="111" t="n"/>
      <c r="DH17" s="111" t="n"/>
      <c r="DI17" s="111" t="n"/>
      <c r="DJ17" s="111" t="n"/>
      <c r="DK17" s="111" t="n"/>
      <c r="DL17" s="111" t="n"/>
      <c r="DM17" s="111" t="n"/>
      <c r="DN17" s="111" t="n"/>
      <c r="DO17" s="111" t="n"/>
      <c r="DP17" s="111" t="n"/>
      <c r="DQ17" s="111" t="n"/>
      <c r="DR17" s="111" t="n"/>
      <c r="DS17" s="111" t="n"/>
      <c r="DT17" s="111" t="n"/>
      <c r="DU17" s="111" t="n"/>
      <c r="DV17" s="111" t="n"/>
      <c r="DW17" s="111" t="n"/>
      <c r="DX17" s="111" t="n"/>
      <c r="DY17" s="111" t="n"/>
      <c r="DZ17" s="111" t="n"/>
      <c r="EA17" s="111" t="n"/>
      <c r="EB17" s="111" t="n"/>
      <c r="EC17" s="111" t="n"/>
      <c r="ED17" s="111" t="n"/>
      <c r="EE17" s="111" t="n"/>
      <c r="EF17" s="111" t="n"/>
      <c r="EG17" s="111" t="n"/>
      <c r="EH17" s="111" t="n"/>
      <c r="EI17" s="111" t="n"/>
      <c r="EJ17" s="111" t="n"/>
      <c r="EK17" s="111" t="n"/>
      <c r="EL17" s="111" t="n"/>
      <c r="EM17" s="111" t="n"/>
      <c r="EN17" s="111" t="n"/>
      <c r="EO17" s="111" t="n"/>
      <c r="EP17" s="111" t="n"/>
      <c r="EQ17" s="111" t="n"/>
      <c r="ER17" s="111" t="n"/>
      <c r="ES17" s="111" t="n"/>
      <c r="ET17" s="111" t="n"/>
      <c r="EU17" s="111" t="n"/>
      <c r="EV17" s="111" t="n"/>
      <c r="EW17" s="111" t="n"/>
      <c r="EX17" s="111" t="n"/>
      <c r="EY17" s="111" t="n"/>
      <c r="EZ17" s="111" t="n"/>
      <c r="FA17" s="111" t="n"/>
      <c r="FB17" s="111" t="n"/>
      <c r="FC17" s="111" t="n"/>
      <c r="FD17" s="111" t="n"/>
      <c r="FE17" s="111" t="n"/>
      <c r="FF17" s="111" t="n"/>
      <c r="FG17" s="111" t="n"/>
      <c r="FH17" s="111" t="n"/>
      <c r="FI17" s="111" t="n"/>
      <c r="FJ17" s="111" t="n"/>
      <c r="FK17" s="111" t="n"/>
      <c r="FL17" s="111" t="n"/>
      <c r="FM17" s="111" t="n"/>
      <c r="FN17" s="111" t="n"/>
      <c r="FO17" s="111" t="n"/>
      <c r="FP17" s="111" t="n"/>
      <c r="FQ17" s="111" t="n"/>
      <c r="FR17" s="111" t="n"/>
      <c r="FS17" s="111" t="n"/>
      <c r="FT17" s="111" t="n"/>
      <c r="FU17" s="111" t="n"/>
      <c r="FV17" s="111" t="n"/>
      <c r="FW17" s="111" t="n"/>
      <c r="FX17" s="111" t="n"/>
      <c r="FY17" s="111" t="n"/>
      <c r="FZ17" s="111" t="n"/>
      <c r="GA17" s="111" t="n"/>
      <c r="GB17" s="111" t="n"/>
      <c r="GC17" s="111" t="n"/>
      <c r="GD17" s="111" t="n"/>
      <c r="GE17" s="111" t="n"/>
      <c r="GF17" s="111" t="n"/>
      <c r="GG17" s="111" t="n"/>
      <c r="GH17" s="111" t="n"/>
      <c r="GI17" s="111" t="n"/>
      <c r="GJ17" s="111" t="n"/>
      <c r="GK17" s="111" t="n"/>
      <c r="GL17" s="111" t="n"/>
      <c r="GM17" s="111" t="n"/>
      <c r="GN17" s="111" t="n"/>
      <c r="GO17" s="111" t="n"/>
      <c r="GP17" s="111" t="n"/>
      <c r="GQ17" s="111" t="n"/>
      <c r="GR17" s="111" t="n"/>
      <c r="GS17" s="111" t="n"/>
      <c r="GT17" s="111" t="n"/>
      <c r="GU17" s="111" t="n"/>
      <c r="GV17" s="111" t="n"/>
      <c r="GW17" s="111" t="n"/>
      <c r="GX17" s="111" t="n"/>
      <c r="GY17" s="111" t="n"/>
      <c r="GZ17" s="111" t="n"/>
      <c r="HA17" s="111" t="n"/>
      <c r="HB17" s="111" t="n"/>
      <c r="HC17" s="111" t="n"/>
      <c r="HD17" s="111" t="n"/>
      <c r="HE17" s="111" t="n"/>
      <c r="HF17" s="111" t="n"/>
      <c r="HG17" s="111" t="n"/>
      <c r="HH17" s="111" t="n"/>
      <c r="HI17" s="111" t="n"/>
      <c r="HJ17" s="111" t="n"/>
      <c r="HK17" s="111" t="n"/>
      <c r="HL17" s="111" t="n"/>
      <c r="HM17" s="111" t="n"/>
      <c r="HN17" s="111" t="n"/>
      <c r="HO17" s="111" t="n"/>
      <c r="HP17" s="111" t="n"/>
      <c r="HQ17" s="111" t="n"/>
      <c r="HR17" s="111" t="n"/>
      <c r="HS17" s="111" t="n"/>
      <c r="HT17" s="111" t="n"/>
      <c r="HU17" s="111" t="n"/>
      <c r="HV17" s="111" t="n"/>
      <c r="HW17" s="111" t="n"/>
      <c r="HX17" s="111" t="n"/>
      <c r="HY17" s="111" t="n"/>
      <c r="HZ17" s="111" t="n"/>
      <c r="IA17" s="111" t="n"/>
      <c r="IB17" s="111" t="n"/>
      <c r="IC17" s="111" t="n"/>
      <c r="ID17" s="111" t="n"/>
      <c r="IE17" s="111" t="n"/>
      <c r="IF17" s="111" t="n"/>
      <c r="IG17" s="111" t="n"/>
      <c r="IH17" s="111" t="n"/>
      <c r="II17" s="111" t="n"/>
      <c r="IJ17" s="111" t="n"/>
      <c r="IK17" s="111" t="n"/>
      <c r="IL17" s="111" t="n"/>
      <c r="IM17" s="111" t="n"/>
      <c r="IN17" s="111" t="n"/>
      <c r="IO17" s="111" t="n"/>
      <c r="IP17" s="111" t="n"/>
      <c r="IQ17" s="111" t="n"/>
      <c r="IR17" s="111" t="n"/>
      <c r="IS17" s="111" t="n"/>
      <c r="IT17" s="111" t="n"/>
      <c r="IU17" s="111" t="n"/>
      <c r="IV17" s="111" t="n"/>
      <c r="IW17" s="111" t="n"/>
      <c r="IX17" s="111" t="n"/>
      <c r="IY17" s="111" t="n"/>
      <c r="IZ17" s="111" t="n"/>
      <c r="JA17" s="111" t="n"/>
      <c r="JB17" s="111" t="n"/>
      <c r="JC17" s="111" t="n"/>
      <c r="JD17" s="111" t="n"/>
      <c r="JE17" s="111" t="n"/>
      <c r="JF17" s="111" t="n"/>
      <c r="JG17" s="111" t="n"/>
      <c r="JH17" s="111" t="n"/>
      <c r="JI17" s="111" t="n"/>
      <c r="JJ17" s="111" t="n"/>
      <c r="JK17" s="111" t="n"/>
      <c r="JL17" s="111" t="n"/>
      <c r="JM17" s="111" t="n"/>
      <c r="JN17" s="111" t="n"/>
      <c r="JO17" s="111" t="n"/>
      <c r="JP17" s="111" t="n"/>
      <c r="JQ17" s="111" t="n"/>
      <c r="JR17" s="111" t="n"/>
      <c r="JS17" s="111" t="n"/>
      <c r="JT17" s="111" t="n"/>
      <c r="JU17" s="111" t="n"/>
      <c r="JV17" s="111" t="n"/>
      <c r="JW17" s="111" t="n"/>
      <c r="JX17" s="111" t="n"/>
      <c r="JY17" s="111" t="n"/>
      <c r="JZ17" s="111" t="n"/>
      <c r="KA17" s="111" t="n"/>
      <c r="KB17" s="111" t="n"/>
      <c r="KC17" s="111" t="n"/>
      <c r="KD17" s="111" t="n"/>
      <c r="KE17" s="111" t="n"/>
      <c r="KF17" s="111" t="n"/>
      <c r="KG17" s="111" t="n"/>
      <c r="KH17" s="111" t="n"/>
      <c r="KI17" s="111" t="n"/>
      <c r="KJ17" s="111" t="n"/>
      <c r="KK17" s="111" t="n"/>
      <c r="KL17" s="111" t="n"/>
      <c r="KM17" s="111" t="n"/>
      <c r="KN17" s="111" t="n"/>
      <c r="KO17" s="111" t="n"/>
      <c r="KP17" s="111" t="n"/>
      <c r="KQ17" s="111" t="n"/>
      <c r="KR17" s="111" t="n"/>
      <c r="KS17" s="111" t="n"/>
      <c r="KT17" s="111" t="n"/>
      <c r="KU17" s="111" t="n"/>
      <c r="KV17" s="111" t="n"/>
      <c r="KW17" s="111" t="n"/>
      <c r="KX17" s="111" t="n"/>
      <c r="KY17" s="111" t="n"/>
      <c r="KZ17" s="111" t="n"/>
      <c r="LA17" s="111" t="n"/>
      <c r="LB17" s="111" t="n"/>
      <c r="LC17" s="111" t="n"/>
      <c r="LD17" s="111" t="n"/>
      <c r="LE17" s="111" t="n"/>
      <c r="LF17" s="111" t="n"/>
      <c r="LG17" s="111" t="n"/>
      <c r="LH17" s="111" t="n"/>
      <c r="LI17" s="111" t="n"/>
      <c r="LJ17" s="111" t="n"/>
      <c r="LK17" s="111" t="n"/>
      <c r="LL17" s="111" t="n"/>
      <c r="LM17" s="111" t="n"/>
      <c r="LN17" s="111" t="n"/>
      <c r="LO17" s="111" t="n"/>
      <c r="LP17" s="111" t="n"/>
      <c r="LQ17" s="111" t="n"/>
      <c r="LR17" s="111" t="n"/>
      <c r="LS17" s="111" t="n"/>
      <c r="LT17" s="111" t="n"/>
      <c r="LU17" s="111" t="n"/>
      <c r="LV17" s="111" t="n"/>
      <c r="LW17" s="111" t="n"/>
      <c r="LX17" s="111" t="n"/>
      <c r="LY17" s="111" t="n"/>
      <c r="LZ17" s="111" t="n"/>
      <c r="MA17" s="111" t="n"/>
      <c r="MB17" s="111" t="n"/>
      <c r="MC17" s="111" t="n"/>
      <c r="MD17" s="111" t="n"/>
      <c r="ME17" s="111" t="n"/>
      <c r="MF17" s="111" t="n"/>
      <c r="MG17" s="111" t="n"/>
      <c r="MH17" s="111" t="n"/>
      <c r="MI17" s="111" t="n"/>
      <c r="MJ17" s="111" t="n"/>
      <c r="MK17" s="111" t="n"/>
      <c r="ML17" s="111" t="n"/>
      <c r="MM17" s="111" t="n"/>
      <c r="MN17" s="111" t="n"/>
      <c r="MO17" s="111" t="n"/>
      <c r="MP17" s="111" t="n"/>
      <c r="MQ17" s="111" t="n"/>
      <c r="MR17" s="111" t="n"/>
      <c r="MS17" s="111" t="n"/>
      <c r="MT17" s="111" t="n"/>
      <c r="MU17" s="111" t="n"/>
      <c r="MV17" s="111" t="n"/>
      <c r="MW17" s="111" t="n"/>
      <c r="MX17" s="111" t="n"/>
      <c r="MY17" s="111" t="n"/>
      <c r="MZ17" s="111" t="n"/>
      <c r="NA17" s="111" t="n"/>
      <c r="NB17" s="111" t="n"/>
      <c r="NC17" s="111" t="n"/>
      <c r="ND17" s="111" t="n"/>
      <c r="NE17" s="111" t="n"/>
      <c r="NF17" s="111" t="n"/>
      <c r="NG17" s="111" t="n"/>
      <c r="NH17" s="111" t="n"/>
      <c r="NI17" s="111" t="n"/>
      <c r="NJ17" s="111" t="n"/>
      <c r="NK17" s="111" t="n"/>
      <c r="NL17" s="111" t="n"/>
      <c r="NM17" s="111" t="n"/>
      <c r="NN17" s="111" t="n"/>
      <c r="NO17" s="111" t="n"/>
      <c r="NP17" s="111" t="n"/>
      <c r="NQ17" s="111" t="n"/>
      <c r="NR17" s="111" t="n"/>
      <c r="NS17" s="111" t="n"/>
      <c r="NT17" s="111" t="n"/>
      <c r="NU17" s="111" t="n"/>
      <c r="NV17" s="111" t="n"/>
      <c r="NW17" s="111" t="n"/>
      <c r="NX17" s="111" t="n"/>
      <c r="NY17" s="111" t="n"/>
      <c r="NZ17" s="111" t="n"/>
      <c r="OA17" s="111" t="n"/>
      <c r="OB17" s="111" t="n"/>
      <c r="OC17" s="111" t="n"/>
      <c r="OD17" s="111" t="n"/>
      <c r="OE17" s="111" t="n"/>
      <c r="OF17" s="111" t="n"/>
      <c r="OG17" s="111" t="n"/>
      <c r="OH17" s="111" t="n"/>
      <c r="OI17" s="111" t="n"/>
      <c r="OJ17" s="111" t="n"/>
      <c r="OK17" s="111" t="n"/>
      <c r="OL17" s="111" t="n"/>
      <c r="OM17" s="111" t="n"/>
      <c r="ON17" s="111" t="n"/>
      <c r="OO17" s="111" t="n"/>
      <c r="OP17" s="111" t="n"/>
      <c r="OQ17" s="111" t="n"/>
      <c r="OR17" s="111" t="n"/>
      <c r="OS17" s="111" t="n"/>
      <c r="OT17" s="111" t="n"/>
      <c r="OU17" s="111" t="n"/>
      <c r="OV17" s="111" t="n"/>
      <c r="OW17" s="111" t="n"/>
      <c r="OX17" s="111" t="n"/>
      <c r="OY17" s="111" t="n"/>
      <c r="OZ17" s="111" t="n"/>
      <c r="PA17" s="111" t="n"/>
      <c r="PB17" s="111" t="n"/>
      <c r="PC17" s="111" t="n"/>
      <c r="PD17" s="111" t="n"/>
      <c r="PE17" s="111" t="n"/>
      <c r="PF17" s="111" t="n"/>
      <c r="PG17" s="111" t="n"/>
      <c r="PH17" s="111" t="n"/>
      <c r="PI17" s="111" t="n"/>
      <c r="PJ17" s="111" t="n"/>
      <c r="PK17" s="111" t="n"/>
      <c r="PL17" s="111" t="n"/>
      <c r="PM17" s="111" t="n"/>
      <c r="PN17" s="111" t="n"/>
      <c r="PO17" s="111" t="n"/>
      <c r="PP17" s="111" t="n"/>
      <c r="PQ17" s="111" t="n"/>
      <c r="PR17" s="111" t="n"/>
      <c r="PS17" s="111" t="n"/>
      <c r="PT17" s="111" t="n"/>
      <c r="PU17" s="111" t="n"/>
      <c r="PV17" s="111" t="n"/>
      <c r="PW17" s="111" t="n"/>
      <c r="PX17" s="111" t="n"/>
      <c r="PY17" s="111" t="n"/>
      <c r="PZ17" s="111" t="n"/>
      <c r="QA17" s="111" t="n"/>
      <c r="QB17" s="111" t="n"/>
      <c r="QC17" s="111" t="n"/>
      <c r="QD17" s="111" t="n"/>
      <c r="QE17" s="111" t="n"/>
      <c r="QF17" s="111" t="n"/>
      <c r="QG17" s="111" t="n"/>
      <c r="QH17" s="111" t="n"/>
      <c r="QI17" s="111" t="n"/>
      <c r="QJ17" s="111" t="n"/>
      <c r="QK17" s="111" t="n"/>
      <c r="QL17" s="111" t="n"/>
      <c r="QM17" s="111" t="n"/>
      <c r="QN17" s="111" t="n"/>
      <c r="QO17" s="111" t="n"/>
      <c r="QP17" s="111" t="n"/>
      <c r="QQ17" s="111" t="n"/>
      <c r="QR17" s="111" t="n"/>
      <c r="QS17" s="111" t="n"/>
      <c r="QT17" s="111" t="n"/>
      <c r="QU17" s="111" t="n"/>
      <c r="QV17" s="111" t="n"/>
      <c r="QW17" s="111" t="n"/>
      <c r="QX17" s="111" t="n"/>
      <c r="QY17" s="111" t="n"/>
      <c r="QZ17" s="111" t="n"/>
      <c r="RA17" s="111" t="n"/>
      <c r="RB17" s="111" t="n"/>
      <c r="RC17" s="111" t="n"/>
      <c r="RD17" s="111" t="n"/>
      <c r="RE17" s="111" t="n"/>
      <c r="RF17" s="111" t="n"/>
      <c r="RG17" s="111" t="n"/>
      <c r="RH17" s="111" t="n"/>
      <c r="RI17" s="111" t="n"/>
      <c r="RJ17" s="111" t="n"/>
      <c r="RK17" s="111" t="n"/>
      <c r="RL17" s="111" t="n"/>
      <c r="RM17" s="111" t="n"/>
      <c r="RN17" s="111" t="n"/>
      <c r="RO17" s="111" t="n"/>
      <c r="RP17" s="111" t="n"/>
      <c r="RQ17" s="111" t="n"/>
      <c r="RR17" s="111" t="n"/>
      <c r="RS17" s="111" t="n"/>
      <c r="RT17" s="111" t="n"/>
      <c r="RU17" s="111" t="n"/>
      <c r="RV17" s="111" t="n"/>
      <c r="RW17" s="111" t="n"/>
      <c r="RX17" s="111" t="n"/>
      <c r="RY17" s="111" t="n"/>
      <c r="RZ17" s="111" t="n"/>
      <c r="SA17" s="111" t="n"/>
      <c r="SB17" s="111" t="n"/>
      <c r="SC17" s="111" t="n"/>
      <c r="SD17" s="111" t="n"/>
      <c r="SE17" s="111" t="n"/>
      <c r="SF17" s="111" t="n"/>
      <c r="SG17" s="111" t="n"/>
      <c r="SH17" s="111" t="n"/>
      <c r="SI17" s="111" t="n"/>
      <c r="SJ17" s="111" t="n"/>
      <c r="SK17" s="111" t="n"/>
    </row>
    <row r="18" ht="14.25" customFormat="1" customHeight="1" s="137">
      <c r="A18" s="177" t="n">
        <v>5</v>
      </c>
      <c r="B18" s="154" t="inlineStr">
        <is>
          <t xml:space="preserve">Concrete Raised floor layout </t>
        </is>
      </c>
      <c r="C18" s="144" t="n"/>
      <c r="D18" s="177" t="n"/>
      <c r="E18" s="177" t="n"/>
      <c r="F18" s="177" t="n"/>
      <c r="G18" s="263" t="n">
        <v>44754</v>
      </c>
      <c r="H18" s="262">
        <f>WORKDAY(G18,I18-1,holidays)</f>
        <v/>
      </c>
      <c r="I18" s="149" t="n">
        <v>2</v>
      </c>
      <c r="J18" s="150" t="n">
        <v>0</v>
      </c>
      <c r="K18" s="151">
        <f>IF(OR(G18=0,H18=0),0,H18-G18+1)</f>
        <v/>
      </c>
      <c r="L18" s="152">
        <f>MIN(K18,WORKDAY(G18,ROUNDDOWN(J18*I18,0),holidays)-G18)</f>
        <v/>
      </c>
      <c r="M18" s="151">
        <f>K18-L18</f>
        <v/>
      </c>
      <c r="N18" s="180" t="n"/>
      <c r="P18" s="111" t="n"/>
      <c r="Q18" s="111" t="n"/>
      <c r="R18" s="111" t="n"/>
      <c r="S18" s="111" t="n"/>
      <c r="T18" s="111" t="n"/>
      <c r="U18" s="111" t="n"/>
      <c r="V18" s="111" t="n"/>
      <c r="W18" s="111" t="n"/>
      <c r="X18" s="111" t="n"/>
      <c r="Y18" s="111" t="n"/>
      <c r="Z18" s="111" t="n"/>
      <c r="AA18" s="111" t="n"/>
      <c r="AB18" s="111" t="n"/>
      <c r="AC18" s="111" t="n"/>
      <c r="AD18" s="111" t="n"/>
      <c r="AE18" s="111" t="n"/>
      <c r="AF18" s="111" t="n"/>
      <c r="AG18" s="111" t="n"/>
      <c r="AH18" s="111" t="n"/>
      <c r="AI18" s="111" t="n"/>
      <c r="AJ18" s="111" t="n"/>
      <c r="AK18" s="111" t="n"/>
      <c r="AL18" s="111" t="n"/>
      <c r="AM18" s="111" t="n"/>
      <c r="AN18" s="111" t="n"/>
      <c r="AO18" s="111" t="n"/>
      <c r="AP18" s="111" t="n"/>
      <c r="AQ18" s="111" t="n"/>
      <c r="AR18" s="111" t="n"/>
      <c r="AS18" s="111" t="n"/>
      <c r="AT18" s="111" t="n"/>
      <c r="AU18" s="111" t="n"/>
      <c r="AV18" s="111" t="n"/>
      <c r="AW18" s="111" t="n"/>
      <c r="AX18" s="111" t="n"/>
      <c r="AY18" s="111" t="n"/>
      <c r="AZ18" s="111" t="n"/>
      <c r="BA18" s="111" t="n"/>
      <c r="BB18" s="111" t="n"/>
      <c r="BC18" s="111" t="n"/>
      <c r="BD18" s="111" t="n"/>
      <c r="BE18" s="111" t="n"/>
      <c r="BF18" s="111" t="n"/>
      <c r="BG18" s="111" t="n"/>
      <c r="BH18" s="111" t="n"/>
      <c r="BI18" s="111" t="n"/>
      <c r="BJ18" s="111" t="n"/>
      <c r="BK18" s="111" t="n"/>
      <c r="BL18" s="111" t="n"/>
      <c r="BM18" s="111" t="n"/>
      <c r="BN18" s="111" t="n"/>
      <c r="BO18" s="111" t="n"/>
      <c r="BP18" s="111" t="n"/>
      <c r="BQ18" s="111" t="n"/>
      <c r="BR18" s="111" t="n"/>
      <c r="BS18" s="111" t="n"/>
      <c r="BT18" s="111" t="n"/>
      <c r="BU18" s="111" t="n"/>
      <c r="BV18" s="111" t="n"/>
      <c r="BW18" s="111" t="n"/>
      <c r="BX18" s="111" t="n"/>
      <c r="BY18" s="111" t="n"/>
      <c r="BZ18" s="111" t="n"/>
      <c r="CA18" s="111" t="n"/>
      <c r="CB18" s="111" t="n"/>
      <c r="CC18" s="111" t="n"/>
      <c r="CD18" s="111" t="n"/>
      <c r="CE18" s="111" t="n"/>
      <c r="CF18" s="111" t="n"/>
      <c r="CG18" s="111" t="n"/>
      <c r="CH18" s="111" t="n"/>
      <c r="CI18" s="111" t="n"/>
      <c r="CJ18" s="111" t="n"/>
      <c r="CK18" s="111" t="n"/>
      <c r="CL18" s="111" t="n"/>
      <c r="CM18" s="111" t="n"/>
      <c r="CN18" s="111" t="n"/>
      <c r="CO18" s="111" t="n"/>
      <c r="CP18" s="111" t="n"/>
      <c r="CQ18" s="111" t="n"/>
      <c r="CR18" s="111" t="n"/>
      <c r="CS18" s="111" t="n"/>
      <c r="CT18" s="111" t="n"/>
      <c r="CU18" s="111" t="n"/>
      <c r="CV18" s="111" t="n"/>
      <c r="CW18" s="111" t="n"/>
      <c r="CX18" s="111" t="n"/>
      <c r="CY18" s="111" t="n"/>
      <c r="CZ18" s="111" t="n"/>
      <c r="DA18" s="111" t="n"/>
      <c r="DB18" s="111" t="n"/>
      <c r="DC18" s="111" t="n"/>
      <c r="DD18" s="111" t="n"/>
      <c r="DE18" s="111" t="n"/>
      <c r="DF18" s="111" t="n"/>
      <c r="DG18" s="111" t="n"/>
      <c r="DH18" s="111" t="n"/>
      <c r="DI18" s="111" t="n"/>
      <c r="DJ18" s="111" t="n"/>
      <c r="DK18" s="111" t="n"/>
      <c r="DL18" s="111" t="n"/>
      <c r="DM18" s="111" t="n"/>
      <c r="DN18" s="111" t="n"/>
      <c r="DO18" s="111" t="n"/>
      <c r="DP18" s="111" t="n"/>
      <c r="DQ18" s="111" t="n"/>
      <c r="DR18" s="111" t="n"/>
      <c r="DS18" s="111" t="n"/>
      <c r="DT18" s="111" t="n"/>
      <c r="DU18" s="111" t="n"/>
      <c r="DV18" s="111" t="n"/>
      <c r="DW18" s="111" t="n"/>
      <c r="DX18" s="111" t="n"/>
      <c r="DY18" s="111" t="n"/>
      <c r="DZ18" s="111" t="n"/>
      <c r="EA18" s="111" t="n"/>
      <c r="EB18" s="111" t="n"/>
      <c r="EC18" s="111" t="n"/>
      <c r="ED18" s="111" t="n"/>
      <c r="EE18" s="111" t="n"/>
      <c r="EF18" s="111" t="n"/>
      <c r="EG18" s="111" t="n"/>
      <c r="EH18" s="111" t="n"/>
      <c r="EI18" s="111" t="n"/>
      <c r="EJ18" s="111" t="n"/>
      <c r="EK18" s="111" t="n"/>
      <c r="EL18" s="111" t="n"/>
      <c r="EM18" s="111" t="n"/>
      <c r="EN18" s="111" t="n"/>
      <c r="EO18" s="111" t="n"/>
      <c r="EP18" s="111" t="n"/>
      <c r="EQ18" s="111" t="n"/>
      <c r="ER18" s="111" t="n"/>
      <c r="ES18" s="111" t="n"/>
      <c r="ET18" s="111" t="n"/>
      <c r="EU18" s="111" t="n"/>
      <c r="EV18" s="111" t="n"/>
      <c r="EW18" s="111" t="n"/>
      <c r="EX18" s="111" t="n"/>
      <c r="EY18" s="111" t="n"/>
      <c r="EZ18" s="111" t="n"/>
      <c r="FA18" s="111" t="n"/>
      <c r="FB18" s="111" t="n"/>
      <c r="FC18" s="111" t="n"/>
      <c r="FD18" s="111" t="n"/>
      <c r="FE18" s="111" t="n"/>
      <c r="FF18" s="111" t="n"/>
      <c r="FG18" s="111" t="n"/>
      <c r="FH18" s="111" t="n"/>
      <c r="FI18" s="111" t="n"/>
      <c r="FJ18" s="111" t="n"/>
      <c r="FK18" s="111" t="n"/>
      <c r="FL18" s="111" t="n"/>
      <c r="FM18" s="111" t="n"/>
      <c r="FN18" s="111" t="n"/>
      <c r="FO18" s="111" t="n"/>
      <c r="FP18" s="111" t="n"/>
      <c r="FQ18" s="111" t="n"/>
      <c r="FR18" s="111" t="n"/>
      <c r="FS18" s="111" t="n"/>
      <c r="FT18" s="111" t="n"/>
      <c r="FU18" s="111" t="n"/>
      <c r="FV18" s="111" t="n"/>
      <c r="FW18" s="111" t="n"/>
      <c r="FX18" s="111" t="n"/>
      <c r="FY18" s="111" t="n"/>
      <c r="FZ18" s="111" t="n"/>
      <c r="GA18" s="111" t="n"/>
      <c r="GB18" s="111" t="n"/>
      <c r="GC18" s="111" t="n"/>
      <c r="GD18" s="111" t="n"/>
      <c r="GE18" s="111" t="n"/>
      <c r="GF18" s="111" t="n"/>
      <c r="GG18" s="111" t="n"/>
      <c r="GH18" s="111" t="n"/>
      <c r="GI18" s="111" t="n"/>
      <c r="GJ18" s="111" t="n"/>
      <c r="GK18" s="111" t="n"/>
      <c r="GL18" s="111" t="n"/>
      <c r="GM18" s="111" t="n"/>
      <c r="GN18" s="111" t="n"/>
      <c r="GO18" s="111" t="n"/>
      <c r="GP18" s="111" t="n"/>
      <c r="GQ18" s="111" t="n"/>
      <c r="GR18" s="111" t="n"/>
      <c r="GS18" s="111" t="n"/>
      <c r="GT18" s="111" t="n"/>
      <c r="GU18" s="111" t="n"/>
      <c r="GV18" s="111" t="n"/>
      <c r="GW18" s="111" t="n"/>
      <c r="GX18" s="111" t="n"/>
      <c r="GY18" s="111" t="n"/>
      <c r="GZ18" s="111" t="n"/>
      <c r="HA18" s="111" t="n"/>
      <c r="HB18" s="111" t="n"/>
      <c r="HC18" s="111" t="n"/>
      <c r="HD18" s="111" t="n"/>
      <c r="HE18" s="111" t="n"/>
      <c r="HF18" s="111" t="n"/>
      <c r="HG18" s="111" t="n"/>
      <c r="HH18" s="111" t="n"/>
      <c r="HI18" s="111" t="n"/>
      <c r="HJ18" s="111" t="n"/>
      <c r="HK18" s="111" t="n"/>
      <c r="HL18" s="111" t="n"/>
      <c r="HM18" s="111" t="n"/>
      <c r="HN18" s="111" t="n"/>
      <c r="HO18" s="111" t="n"/>
      <c r="HP18" s="111" t="n"/>
      <c r="HQ18" s="111" t="n"/>
      <c r="HR18" s="111" t="n"/>
      <c r="HS18" s="111" t="n"/>
      <c r="HT18" s="111" t="n"/>
      <c r="HU18" s="111" t="n"/>
      <c r="HV18" s="111" t="n"/>
      <c r="HW18" s="111" t="n"/>
      <c r="HX18" s="111" t="n"/>
      <c r="HY18" s="111" t="n"/>
      <c r="HZ18" s="111" t="n"/>
      <c r="IA18" s="111" t="n"/>
      <c r="IB18" s="111" t="n"/>
      <c r="IC18" s="111" t="n"/>
      <c r="ID18" s="111" t="n"/>
      <c r="IE18" s="111" t="n"/>
      <c r="IF18" s="111" t="n"/>
      <c r="IG18" s="111" t="n"/>
      <c r="IH18" s="111" t="n"/>
      <c r="II18" s="111" t="n"/>
      <c r="IJ18" s="111" t="n"/>
      <c r="IK18" s="111" t="n"/>
      <c r="IL18" s="111" t="n"/>
      <c r="IM18" s="111" t="n"/>
      <c r="IN18" s="111" t="n"/>
      <c r="IO18" s="111" t="n"/>
      <c r="IP18" s="111" t="n"/>
      <c r="IQ18" s="111" t="n"/>
      <c r="IR18" s="111" t="n"/>
      <c r="IS18" s="111" t="n"/>
      <c r="IT18" s="111" t="n"/>
      <c r="IU18" s="111" t="n"/>
      <c r="IV18" s="111" t="n"/>
      <c r="IW18" s="111" t="n"/>
      <c r="IX18" s="111" t="n"/>
      <c r="IY18" s="111" t="n"/>
      <c r="IZ18" s="111" t="n"/>
      <c r="JA18" s="111" t="n"/>
      <c r="JB18" s="111" t="n"/>
      <c r="JC18" s="111" t="n"/>
      <c r="JD18" s="111" t="n"/>
      <c r="JE18" s="111" t="n"/>
      <c r="JF18" s="111" t="n"/>
      <c r="JG18" s="111" t="n"/>
      <c r="JH18" s="111" t="n"/>
      <c r="JI18" s="111" t="n"/>
      <c r="JJ18" s="111" t="n"/>
      <c r="JK18" s="111" t="n"/>
      <c r="JL18" s="111" t="n"/>
      <c r="JM18" s="111" t="n"/>
      <c r="JN18" s="111" t="n"/>
      <c r="JO18" s="111" t="n"/>
      <c r="JP18" s="111" t="n"/>
      <c r="JQ18" s="111" t="n"/>
      <c r="JR18" s="111" t="n"/>
      <c r="JS18" s="111" t="n"/>
      <c r="JT18" s="111" t="n"/>
      <c r="JU18" s="111" t="n"/>
      <c r="JV18" s="111" t="n"/>
      <c r="JW18" s="111" t="n"/>
      <c r="JX18" s="111" t="n"/>
      <c r="JY18" s="111" t="n"/>
      <c r="JZ18" s="111" t="n"/>
      <c r="KA18" s="111" t="n"/>
      <c r="KB18" s="111" t="n"/>
      <c r="KC18" s="111" t="n"/>
      <c r="KD18" s="111" t="n"/>
      <c r="KE18" s="111" t="n"/>
      <c r="KF18" s="111" t="n"/>
      <c r="KG18" s="111" t="n"/>
      <c r="KH18" s="111" t="n"/>
      <c r="KI18" s="111" t="n"/>
      <c r="KJ18" s="111" t="n"/>
      <c r="KK18" s="111" t="n"/>
      <c r="KL18" s="111" t="n"/>
      <c r="KM18" s="111" t="n"/>
      <c r="KN18" s="111" t="n"/>
      <c r="KO18" s="111" t="n"/>
      <c r="KP18" s="111" t="n"/>
      <c r="KQ18" s="111" t="n"/>
      <c r="KR18" s="111" t="n"/>
      <c r="KS18" s="111" t="n"/>
      <c r="KT18" s="111" t="n"/>
      <c r="KU18" s="111" t="n"/>
      <c r="KV18" s="111" t="n"/>
      <c r="KW18" s="111" t="n"/>
      <c r="KX18" s="111" t="n"/>
      <c r="KY18" s="111" t="n"/>
      <c r="KZ18" s="111" t="n"/>
      <c r="LA18" s="111" t="n"/>
      <c r="LB18" s="111" t="n"/>
      <c r="LC18" s="111" t="n"/>
      <c r="LD18" s="111" t="n"/>
      <c r="LE18" s="111" t="n"/>
      <c r="LF18" s="111" t="n"/>
      <c r="LG18" s="111" t="n"/>
      <c r="LH18" s="111" t="n"/>
      <c r="LI18" s="111" t="n"/>
      <c r="LJ18" s="111" t="n"/>
      <c r="LK18" s="111" t="n"/>
      <c r="LL18" s="111" t="n"/>
      <c r="LM18" s="111" t="n"/>
      <c r="LN18" s="111" t="n"/>
      <c r="LO18" s="111" t="n"/>
      <c r="LP18" s="111" t="n"/>
      <c r="LQ18" s="111" t="n"/>
      <c r="LR18" s="111" t="n"/>
      <c r="LS18" s="111" t="n"/>
      <c r="LT18" s="111" t="n"/>
      <c r="LU18" s="111" t="n"/>
      <c r="LV18" s="111" t="n"/>
      <c r="LW18" s="111" t="n"/>
      <c r="LX18" s="111" t="n"/>
      <c r="LY18" s="111" t="n"/>
      <c r="LZ18" s="111" t="n"/>
      <c r="MA18" s="111" t="n"/>
      <c r="MB18" s="111" t="n"/>
      <c r="MC18" s="111" t="n"/>
      <c r="MD18" s="111" t="n"/>
      <c r="ME18" s="111" t="n"/>
      <c r="MF18" s="111" t="n"/>
      <c r="MG18" s="111" t="n"/>
      <c r="MH18" s="111" t="n"/>
      <c r="MI18" s="111" t="n"/>
      <c r="MJ18" s="111" t="n"/>
      <c r="MK18" s="111" t="n"/>
      <c r="ML18" s="111" t="n"/>
      <c r="MM18" s="111" t="n"/>
      <c r="MN18" s="111" t="n"/>
      <c r="MO18" s="111" t="n"/>
      <c r="MP18" s="111" t="n"/>
      <c r="MQ18" s="111" t="n"/>
      <c r="MR18" s="111" t="n"/>
      <c r="MS18" s="111" t="n"/>
      <c r="MT18" s="111" t="n"/>
      <c r="MU18" s="111" t="n"/>
      <c r="MV18" s="111" t="n"/>
      <c r="MW18" s="111" t="n"/>
      <c r="MX18" s="111" t="n"/>
      <c r="MY18" s="111" t="n"/>
      <c r="MZ18" s="111" t="n"/>
      <c r="NA18" s="111" t="n"/>
      <c r="NB18" s="111" t="n"/>
      <c r="NC18" s="111" t="n"/>
      <c r="ND18" s="111" t="n"/>
      <c r="NE18" s="111" t="n"/>
      <c r="NF18" s="111" t="n"/>
      <c r="NG18" s="111" t="n"/>
      <c r="NH18" s="111" t="n"/>
      <c r="NI18" s="111" t="n"/>
      <c r="NJ18" s="111" t="n"/>
      <c r="NK18" s="111" t="n"/>
      <c r="NL18" s="111" t="n"/>
      <c r="NM18" s="111" t="n"/>
      <c r="NN18" s="111" t="n"/>
      <c r="NO18" s="111" t="n"/>
      <c r="NP18" s="111" t="n"/>
      <c r="NQ18" s="111" t="n"/>
      <c r="NR18" s="111" t="n"/>
      <c r="NS18" s="111" t="n"/>
      <c r="NT18" s="111" t="n"/>
      <c r="NU18" s="111" t="n"/>
      <c r="NV18" s="111" t="n"/>
      <c r="NW18" s="111" t="n"/>
      <c r="NX18" s="111" t="n"/>
      <c r="NY18" s="111" t="n"/>
      <c r="NZ18" s="111" t="n"/>
      <c r="OA18" s="111" t="n"/>
      <c r="OB18" s="111" t="n"/>
      <c r="OC18" s="111" t="n"/>
      <c r="OD18" s="111" t="n"/>
      <c r="OE18" s="111" t="n"/>
      <c r="OF18" s="111" t="n"/>
      <c r="OG18" s="111" t="n"/>
      <c r="OH18" s="111" t="n"/>
      <c r="OI18" s="111" t="n"/>
      <c r="OJ18" s="111" t="n"/>
      <c r="OK18" s="111" t="n"/>
      <c r="OL18" s="111" t="n"/>
      <c r="OM18" s="111" t="n"/>
      <c r="ON18" s="111" t="n"/>
      <c r="OO18" s="111" t="n"/>
      <c r="OP18" s="111" t="n"/>
      <c r="OQ18" s="111" t="n"/>
      <c r="OR18" s="111" t="n"/>
      <c r="OS18" s="111" t="n"/>
      <c r="OT18" s="111" t="n"/>
      <c r="OU18" s="111" t="n"/>
      <c r="OV18" s="111" t="n"/>
      <c r="OW18" s="111" t="n"/>
      <c r="OX18" s="111" t="n"/>
      <c r="OY18" s="111" t="n"/>
      <c r="OZ18" s="111" t="n"/>
      <c r="PA18" s="111" t="n"/>
      <c r="PB18" s="111" t="n"/>
      <c r="PC18" s="111" t="n"/>
      <c r="PD18" s="111" t="n"/>
      <c r="PE18" s="111" t="n"/>
      <c r="PF18" s="111" t="n"/>
      <c r="PG18" s="111" t="n"/>
      <c r="PH18" s="111" t="n"/>
      <c r="PI18" s="111" t="n"/>
      <c r="PJ18" s="111" t="n"/>
      <c r="PK18" s="111" t="n"/>
      <c r="PL18" s="111" t="n"/>
      <c r="PM18" s="111" t="n"/>
      <c r="PN18" s="111" t="n"/>
      <c r="PO18" s="111" t="n"/>
      <c r="PP18" s="111" t="n"/>
      <c r="PQ18" s="111" t="n"/>
      <c r="PR18" s="111" t="n"/>
      <c r="PS18" s="111" t="n"/>
      <c r="PT18" s="111" t="n"/>
      <c r="PU18" s="111" t="n"/>
      <c r="PV18" s="111" t="n"/>
      <c r="PW18" s="111" t="n"/>
      <c r="PX18" s="111" t="n"/>
      <c r="PY18" s="111" t="n"/>
      <c r="PZ18" s="111" t="n"/>
      <c r="QA18" s="111" t="n"/>
      <c r="QB18" s="111" t="n"/>
      <c r="QC18" s="111" t="n"/>
      <c r="QD18" s="111" t="n"/>
      <c r="QE18" s="111" t="n"/>
      <c r="QF18" s="111" t="n"/>
      <c r="QG18" s="111" t="n"/>
      <c r="QH18" s="111" t="n"/>
      <c r="QI18" s="111" t="n"/>
      <c r="QJ18" s="111" t="n"/>
      <c r="QK18" s="111" t="n"/>
      <c r="QL18" s="111" t="n"/>
      <c r="QM18" s="111" t="n"/>
      <c r="QN18" s="111" t="n"/>
      <c r="QO18" s="111" t="n"/>
      <c r="QP18" s="111" t="n"/>
      <c r="QQ18" s="111" t="n"/>
      <c r="QR18" s="111" t="n"/>
      <c r="QS18" s="111" t="n"/>
      <c r="QT18" s="111" t="n"/>
      <c r="QU18" s="111" t="n"/>
      <c r="QV18" s="111" t="n"/>
      <c r="QW18" s="111" t="n"/>
      <c r="QX18" s="111" t="n"/>
      <c r="QY18" s="111" t="n"/>
      <c r="QZ18" s="111" t="n"/>
      <c r="RA18" s="111" t="n"/>
      <c r="RB18" s="111" t="n"/>
      <c r="RC18" s="111" t="n"/>
      <c r="RD18" s="111" t="n"/>
      <c r="RE18" s="111" t="n"/>
      <c r="RF18" s="111" t="n"/>
      <c r="RG18" s="111" t="n"/>
      <c r="RH18" s="111" t="n"/>
      <c r="RI18" s="111" t="n"/>
      <c r="RJ18" s="111" t="n"/>
      <c r="RK18" s="111" t="n"/>
      <c r="RL18" s="111" t="n"/>
      <c r="RM18" s="111" t="n"/>
      <c r="RN18" s="111" t="n"/>
      <c r="RO18" s="111" t="n"/>
      <c r="RP18" s="111" t="n"/>
      <c r="RQ18" s="111" t="n"/>
      <c r="RR18" s="111" t="n"/>
      <c r="RS18" s="111" t="n"/>
      <c r="RT18" s="111" t="n"/>
      <c r="RU18" s="111" t="n"/>
      <c r="RV18" s="111" t="n"/>
      <c r="RW18" s="111" t="n"/>
      <c r="RX18" s="111" t="n"/>
      <c r="RY18" s="111" t="n"/>
      <c r="RZ18" s="111" t="n"/>
      <c r="SA18" s="111" t="n"/>
      <c r="SB18" s="111" t="n"/>
      <c r="SC18" s="111" t="n"/>
      <c r="SD18" s="111" t="n"/>
      <c r="SE18" s="111" t="n"/>
      <c r="SF18" s="111" t="n"/>
      <c r="SG18" s="111" t="n"/>
      <c r="SH18" s="111" t="n"/>
      <c r="SI18" s="111" t="n"/>
      <c r="SJ18" s="111" t="n"/>
      <c r="SK18" s="111" t="n"/>
    </row>
    <row r="19" ht="13.15" customFormat="1" customHeight="1" s="137">
      <c r="A19" s="177" t="n">
        <v>6</v>
      </c>
      <c r="B19" s="154" t="inlineStr">
        <is>
          <t xml:space="preserve">Install Rebar and foam   </t>
        </is>
      </c>
      <c r="C19" s="144" t="n"/>
      <c r="D19" s="177" t="n"/>
      <c r="E19" s="177" t="n"/>
      <c r="F19" s="177" t="n"/>
      <c r="G19" s="263" t="n">
        <v>44756</v>
      </c>
      <c r="H19" s="262">
        <f>WORKDAY(G19,I19-1,holidays)</f>
        <v/>
      </c>
      <c r="I19" s="149" t="n">
        <v>3</v>
      </c>
      <c r="J19" s="150" t="n">
        <v>0</v>
      </c>
      <c r="K19" s="151">
        <f>IF(OR(G19=0,H19=0),0,H19-G19+1)</f>
        <v/>
      </c>
      <c r="L19" s="152">
        <f>MIN(K19,WORKDAY(G19,ROUNDDOWN(J19*I19,0),holidays)-G19)</f>
        <v/>
      </c>
      <c r="M19" s="151">
        <f>K19-L19</f>
        <v/>
      </c>
      <c r="N19" s="180" t="n"/>
      <c r="P19" s="111" t="n"/>
      <c r="Q19" s="111" t="n"/>
      <c r="R19" s="111" t="n"/>
      <c r="S19" s="111" t="n"/>
      <c r="T19" s="111" t="n"/>
      <c r="U19" s="111" t="n"/>
      <c r="V19" s="111" t="n"/>
      <c r="W19" s="111" t="n"/>
      <c r="X19" s="111" t="n"/>
      <c r="Y19" s="111" t="n"/>
      <c r="Z19" s="111" t="n"/>
      <c r="AA19" s="111" t="n"/>
      <c r="AB19" s="111" t="n"/>
      <c r="AC19" s="111" t="n"/>
      <c r="AD19" s="111" t="n"/>
      <c r="AE19" s="111" t="n"/>
      <c r="AF19" s="111" t="n"/>
      <c r="AG19" s="111" t="n"/>
      <c r="AH19" s="111" t="n"/>
      <c r="AI19" s="111" t="n"/>
      <c r="AJ19" s="111" t="n"/>
      <c r="AK19" s="111" t="n"/>
      <c r="AL19" s="111" t="n"/>
      <c r="AM19" s="111" t="n"/>
      <c r="AN19" s="111" t="n"/>
      <c r="AO19" s="111" t="n"/>
      <c r="AP19" s="111" t="n"/>
      <c r="AQ19" s="111" t="n"/>
      <c r="AR19" s="111" t="n"/>
      <c r="AS19" s="111" t="n"/>
      <c r="AT19" s="111" t="n"/>
      <c r="AU19" s="111" t="n"/>
      <c r="AV19" s="111" t="n"/>
      <c r="AW19" s="111" t="n"/>
      <c r="AX19" s="111" t="n"/>
      <c r="AY19" s="111" t="n"/>
      <c r="AZ19" s="111" t="n"/>
      <c r="BA19" s="111" t="n"/>
      <c r="BB19" s="111" t="n"/>
      <c r="BC19" s="111" t="n"/>
      <c r="BD19" s="111" t="n"/>
      <c r="BE19" s="111" t="n"/>
      <c r="BF19" s="111" t="n"/>
      <c r="BG19" s="111" t="n"/>
      <c r="BH19" s="111" t="n"/>
      <c r="BI19" s="111" t="n"/>
      <c r="BJ19" s="111" t="n"/>
      <c r="BK19" s="111" t="n"/>
      <c r="BL19" s="111" t="n"/>
      <c r="BM19" s="111" t="n"/>
      <c r="BN19" s="111" t="n"/>
      <c r="BO19" s="111" t="n"/>
      <c r="BP19" s="111" t="n"/>
      <c r="BQ19" s="111" t="n"/>
      <c r="BR19" s="111" t="n"/>
      <c r="BS19" s="111" t="n"/>
      <c r="BT19" s="111" t="n"/>
      <c r="BU19" s="111" t="n"/>
      <c r="BV19" s="111" t="n"/>
      <c r="BW19" s="111" t="n"/>
      <c r="BX19" s="111" t="n"/>
      <c r="BY19" s="111" t="n"/>
      <c r="BZ19" s="111" t="n"/>
      <c r="CA19" s="111" t="n"/>
      <c r="CB19" s="111" t="n"/>
      <c r="CC19" s="111" t="n"/>
      <c r="CD19" s="111" t="n"/>
      <c r="CE19" s="111" t="n"/>
      <c r="CF19" s="111" t="n"/>
      <c r="CG19" s="111" t="n"/>
      <c r="CH19" s="111" t="n"/>
      <c r="CI19" s="111" t="n"/>
      <c r="CJ19" s="111" t="n"/>
      <c r="CK19" s="111" t="n"/>
      <c r="CL19" s="111" t="n"/>
      <c r="CM19" s="111" t="n"/>
      <c r="CN19" s="111" t="n"/>
      <c r="CO19" s="111" t="n"/>
      <c r="CP19" s="111" t="n"/>
      <c r="CQ19" s="111" t="n"/>
      <c r="CR19" s="111" t="n"/>
      <c r="CS19" s="111" t="n"/>
      <c r="CT19" s="111" t="n"/>
      <c r="CU19" s="111" t="n"/>
      <c r="CV19" s="111" t="n"/>
      <c r="CW19" s="111" t="n"/>
      <c r="CX19" s="111" t="n"/>
      <c r="CY19" s="111" t="n"/>
      <c r="CZ19" s="111" t="n"/>
      <c r="DA19" s="111" t="n"/>
      <c r="DB19" s="111" t="n"/>
      <c r="DC19" s="111" t="n"/>
      <c r="DD19" s="111" t="n"/>
      <c r="DE19" s="111" t="n"/>
      <c r="DF19" s="111" t="n"/>
      <c r="DG19" s="111" t="n"/>
      <c r="DH19" s="111" t="n"/>
      <c r="DI19" s="111" t="n"/>
      <c r="DJ19" s="111" t="n"/>
      <c r="DK19" s="111" t="n"/>
      <c r="DL19" s="111" t="n"/>
      <c r="DM19" s="111" t="n"/>
      <c r="DN19" s="111" t="n"/>
      <c r="DO19" s="111" t="n"/>
      <c r="DP19" s="111" t="n"/>
      <c r="DQ19" s="111" t="n"/>
      <c r="DR19" s="111" t="n"/>
      <c r="DS19" s="111" t="n"/>
      <c r="DT19" s="111" t="n"/>
      <c r="DU19" s="111" t="n"/>
      <c r="DV19" s="111" t="n"/>
      <c r="DW19" s="111" t="n"/>
      <c r="DX19" s="111" t="n"/>
      <c r="DY19" s="111" t="n"/>
      <c r="DZ19" s="111" t="n"/>
      <c r="EA19" s="111" t="n"/>
      <c r="EB19" s="111" t="n"/>
      <c r="EC19" s="111" t="n"/>
      <c r="ED19" s="111" t="n"/>
      <c r="EE19" s="111" t="n"/>
      <c r="EF19" s="111" t="n"/>
      <c r="EG19" s="111" t="n"/>
      <c r="EH19" s="111" t="n"/>
      <c r="EI19" s="111" t="n"/>
      <c r="EJ19" s="111" t="n"/>
      <c r="EK19" s="111" t="n"/>
      <c r="EL19" s="111" t="n"/>
      <c r="EM19" s="111" t="n"/>
      <c r="EN19" s="111" t="n"/>
      <c r="EO19" s="111" t="n"/>
      <c r="EP19" s="111" t="n"/>
      <c r="EQ19" s="111" t="n"/>
      <c r="ER19" s="111" t="n"/>
      <c r="ES19" s="111" t="n"/>
      <c r="ET19" s="111" t="n"/>
      <c r="EU19" s="111" t="n"/>
      <c r="EV19" s="111" t="n"/>
      <c r="EW19" s="111" t="n"/>
      <c r="EX19" s="111" t="n"/>
      <c r="EY19" s="111" t="n"/>
      <c r="EZ19" s="111" t="n"/>
      <c r="FA19" s="111" t="n"/>
      <c r="FB19" s="111" t="n"/>
      <c r="FC19" s="111" t="n"/>
      <c r="FD19" s="111" t="n"/>
      <c r="FE19" s="111" t="n"/>
      <c r="FF19" s="111" t="n"/>
      <c r="FG19" s="111" t="n"/>
      <c r="FH19" s="111" t="n"/>
      <c r="FI19" s="111" t="n"/>
      <c r="FJ19" s="111" t="n"/>
      <c r="FK19" s="111" t="n"/>
      <c r="FL19" s="111" t="n"/>
      <c r="FM19" s="111" t="n"/>
      <c r="FN19" s="111" t="n"/>
      <c r="FO19" s="111" t="n"/>
      <c r="FP19" s="111" t="n"/>
      <c r="FQ19" s="111" t="n"/>
      <c r="FR19" s="111" t="n"/>
      <c r="FS19" s="111" t="n"/>
      <c r="FT19" s="111" t="n"/>
      <c r="FU19" s="111" t="n"/>
      <c r="FV19" s="111" t="n"/>
      <c r="FW19" s="111" t="n"/>
      <c r="FX19" s="111" t="n"/>
      <c r="FY19" s="111" t="n"/>
      <c r="FZ19" s="111" t="n"/>
      <c r="GA19" s="111" t="n"/>
      <c r="GB19" s="111" t="n"/>
      <c r="GC19" s="111" t="n"/>
      <c r="GD19" s="111" t="n"/>
      <c r="GE19" s="111" t="n"/>
      <c r="GF19" s="111" t="n"/>
      <c r="GG19" s="111" t="n"/>
      <c r="GH19" s="111" t="n"/>
      <c r="GI19" s="111" t="n"/>
      <c r="GJ19" s="111" t="n"/>
      <c r="GK19" s="111" t="n"/>
      <c r="GL19" s="111" t="n"/>
      <c r="GM19" s="111" t="n"/>
      <c r="GN19" s="111" t="n"/>
      <c r="GO19" s="111" t="n"/>
      <c r="GP19" s="111" t="n"/>
      <c r="GQ19" s="111" t="n"/>
      <c r="GR19" s="111" t="n"/>
      <c r="GS19" s="111" t="n"/>
      <c r="GT19" s="111" t="n"/>
      <c r="GU19" s="111" t="n"/>
      <c r="GV19" s="111" t="n"/>
      <c r="GW19" s="111" t="n"/>
      <c r="GX19" s="111" t="n"/>
      <c r="GY19" s="111" t="n"/>
      <c r="GZ19" s="111" t="n"/>
      <c r="HA19" s="111" t="n"/>
      <c r="HB19" s="111" t="n"/>
      <c r="HC19" s="111" t="n"/>
      <c r="HD19" s="111" t="n"/>
      <c r="HE19" s="111" t="n"/>
      <c r="HF19" s="111" t="n"/>
      <c r="HG19" s="111" t="n"/>
      <c r="HH19" s="111" t="n"/>
      <c r="HI19" s="111" t="n"/>
      <c r="HJ19" s="111" t="n"/>
      <c r="HK19" s="111" t="n"/>
      <c r="HL19" s="111" t="n"/>
      <c r="HM19" s="111" t="n"/>
      <c r="HN19" s="111" t="n"/>
      <c r="HO19" s="111" t="n"/>
      <c r="HP19" s="111" t="n"/>
      <c r="HQ19" s="111" t="n"/>
      <c r="HR19" s="111" t="n"/>
      <c r="HS19" s="111" t="n"/>
      <c r="HT19" s="111" t="n"/>
      <c r="HU19" s="111" t="n"/>
      <c r="HV19" s="111" t="n"/>
      <c r="HW19" s="111" t="n"/>
      <c r="HX19" s="111" t="n"/>
      <c r="HY19" s="111" t="n"/>
      <c r="HZ19" s="111" t="n"/>
      <c r="IA19" s="111" t="n"/>
      <c r="IB19" s="111" t="n"/>
      <c r="IC19" s="111" t="n"/>
      <c r="ID19" s="111" t="n"/>
      <c r="IE19" s="111" t="n"/>
      <c r="IF19" s="111" t="n"/>
      <c r="IG19" s="111" t="n"/>
      <c r="IH19" s="111" t="n"/>
      <c r="II19" s="111" t="n"/>
      <c r="IJ19" s="111" t="n"/>
      <c r="IK19" s="111" t="n"/>
      <c r="IL19" s="111" t="n"/>
      <c r="IM19" s="111" t="n"/>
      <c r="IN19" s="111" t="n"/>
      <c r="IO19" s="111" t="n"/>
      <c r="IP19" s="111" t="n"/>
      <c r="IQ19" s="111" t="n"/>
      <c r="IR19" s="111" t="n"/>
      <c r="IS19" s="111" t="n"/>
      <c r="IT19" s="111" t="n"/>
      <c r="IU19" s="111" t="n"/>
      <c r="IV19" s="111" t="n"/>
      <c r="IW19" s="111" t="n"/>
      <c r="IX19" s="111" t="n"/>
      <c r="IY19" s="111" t="n"/>
      <c r="IZ19" s="111" t="n"/>
      <c r="JA19" s="111" t="n"/>
      <c r="JB19" s="111" t="n"/>
      <c r="JC19" s="111" t="n"/>
      <c r="JD19" s="111" t="n"/>
      <c r="JE19" s="111" t="n"/>
      <c r="JF19" s="111" t="n"/>
      <c r="JG19" s="111" t="n"/>
      <c r="JH19" s="111" t="n"/>
      <c r="JI19" s="111" t="n"/>
      <c r="JJ19" s="111" t="n"/>
      <c r="JK19" s="111" t="n"/>
      <c r="JL19" s="111" t="n"/>
      <c r="JM19" s="111" t="n"/>
      <c r="JN19" s="111" t="n"/>
      <c r="JO19" s="111" t="n"/>
      <c r="JP19" s="111" t="n"/>
      <c r="JQ19" s="111" t="n"/>
      <c r="JR19" s="111" t="n"/>
      <c r="JS19" s="111" t="n"/>
      <c r="JT19" s="111" t="n"/>
      <c r="JU19" s="111" t="n"/>
      <c r="JV19" s="111" t="n"/>
      <c r="JW19" s="111" t="n"/>
      <c r="JX19" s="111" t="n"/>
      <c r="JY19" s="111" t="n"/>
      <c r="JZ19" s="111" t="n"/>
      <c r="KA19" s="111" t="n"/>
      <c r="KB19" s="111" t="n"/>
      <c r="KC19" s="111" t="n"/>
      <c r="KD19" s="111" t="n"/>
      <c r="KE19" s="111" t="n"/>
      <c r="KF19" s="111" t="n"/>
      <c r="KG19" s="111" t="n"/>
      <c r="KH19" s="111" t="n"/>
      <c r="KI19" s="111" t="n"/>
      <c r="KJ19" s="111" t="n"/>
      <c r="KK19" s="111" t="n"/>
      <c r="KL19" s="111" t="n"/>
      <c r="KM19" s="111" t="n"/>
      <c r="KN19" s="111" t="n"/>
      <c r="KO19" s="111" t="n"/>
      <c r="KP19" s="111" t="n"/>
      <c r="KQ19" s="111" t="n"/>
      <c r="KR19" s="111" t="n"/>
      <c r="KS19" s="111" t="n"/>
      <c r="KT19" s="111" t="n"/>
      <c r="KU19" s="111" t="n"/>
      <c r="KV19" s="111" t="n"/>
      <c r="KW19" s="111" t="n"/>
      <c r="KX19" s="111" t="n"/>
      <c r="KY19" s="111" t="n"/>
      <c r="KZ19" s="111" t="n"/>
      <c r="LA19" s="111" t="n"/>
      <c r="LB19" s="111" t="n"/>
      <c r="LC19" s="111" t="n"/>
      <c r="LD19" s="111" t="n"/>
      <c r="LE19" s="111" t="n"/>
      <c r="LF19" s="111" t="n"/>
      <c r="LG19" s="111" t="n"/>
      <c r="LH19" s="111" t="n"/>
      <c r="LI19" s="111" t="n"/>
      <c r="LJ19" s="111" t="n"/>
      <c r="LK19" s="111" t="n"/>
      <c r="LL19" s="111" t="n"/>
      <c r="LM19" s="111" t="n"/>
      <c r="LN19" s="111" t="n"/>
      <c r="LO19" s="111" t="n"/>
      <c r="LP19" s="111" t="n"/>
      <c r="LQ19" s="111" t="n"/>
      <c r="LR19" s="111" t="n"/>
      <c r="LS19" s="111" t="n"/>
      <c r="LT19" s="111" t="n"/>
      <c r="LU19" s="111" t="n"/>
      <c r="LV19" s="111" t="n"/>
      <c r="LW19" s="111" t="n"/>
      <c r="LX19" s="111" t="n"/>
      <c r="LY19" s="111" t="n"/>
      <c r="LZ19" s="111" t="n"/>
      <c r="MA19" s="111" t="n"/>
      <c r="MB19" s="111" t="n"/>
      <c r="MC19" s="111" t="n"/>
      <c r="MD19" s="111" t="n"/>
      <c r="ME19" s="111" t="n"/>
      <c r="MF19" s="111" t="n"/>
      <c r="MG19" s="111" t="n"/>
      <c r="MH19" s="111" t="n"/>
      <c r="MI19" s="111" t="n"/>
      <c r="MJ19" s="111" t="n"/>
      <c r="MK19" s="111" t="n"/>
      <c r="ML19" s="111" t="n"/>
      <c r="MM19" s="111" t="n"/>
      <c r="MN19" s="111" t="n"/>
      <c r="MO19" s="111" t="n"/>
      <c r="MP19" s="111" t="n"/>
      <c r="MQ19" s="111" t="n"/>
      <c r="MR19" s="111" t="n"/>
      <c r="MS19" s="111" t="n"/>
      <c r="MT19" s="111" t="n"/>
      <c r="MU19" s="111" t="n"/>
      <c r="MV19" s="111" t="n"/>
      <c r="MW19" s="111" t="n"/>
      <c r="MX19" s="111" t="n"/>
      <c r="MY19" s="111" t="n"/>
      <c r="MZ19" s="111" t="n"/>
      <c r="NA19" s="111" t="n"/>
      <c r="NB19" s="111" t="n"/>
      <c r="NC19" s="111" t="n"/>
      <c r="ND19" s="111" t="n"/>
      <c r="NE19" s="111" t="n"/>
      <c r="NF19" s="111" t="n"/>
      <c r="NG19" s="111" t="n"/>
      <c r="NH19" s="111" t="n"/>
      <c r="NI19" s="111" t="n"/>
      <c r="NJ19" s="111" t="n"/>
      <c r="NK19" s="111" t="n"/>
      <c r="NL19" s="111" t="n"/>
      <c r="NM19" s="111" t="n"/>
      <c r="NN19" s="111" t="n"/>
      <c r="NO19" s="111" t="n"/>
      <c r="NP19" s="111" t="n"/>
      <c r="NQ19" s="111" t="n"/>
      <c r="NR19" s="111" t="n"/>
      <c r="NS19" s="111" t="n"/>
      <c r="NT19" s="111" t="n"/>
      <c r="NU19" s="111" t="n"/>
      <c r="NV19" s="111" t="n"/>
      <c r="NW19" s="111" t="n"/>
      <c r="NX19" s="111" t="n"/>
      <c r="NY19" s="111" t="n"/>
      <c r="NZ19" s="111" t="n"/>
      <c r="OA19" s="111" t="n"/>
      <c r="OB19" s="111" t="n"/>
      <c r="OC19" s="111" t="n"/>
      <c r="OD19" s="111" t="n"/>
      <c r="OE19" s="111" t="n"/>
      <c r="OF19" s="111" t="n"/>
      <c r="OG19" s="111" t="n"/>
      <c r="OH19" s="111" t="n"/>
      <c r="OI19" s="111" t="n"/>
      <c r="OJ19" s="111" t="n"/>
      <c r="OK19" s="111" t="n"/>
      <c r="OL19" s="111" t="n"/>
      <c r="OM19" s="111" t="n"/>
      <c r="ON19" s="111" t="n"/>
      <c r="OO19" s="111" t="n"/>
      <c r="OP19" s="111" t="n"/>
      <c r="OQ19" s="111" t="n"/>
      <c r="OR19" s="111" t="n"/>
      <c r="OS19" s="111" t="n"/>
      <c r="OT19" s="111" t="n"/>
      <c r="OU19" s="111" t="n"/>
      <c r="OV19" s="111" t="n"/>
      <c r="OW19" s="111" t="n"/>
      <c r="OX19" s="111" t="n"/>
      <c r="OY19" s="111" t="n"/>
      <c r="OZ19" s="111" t="n"/>
      <c r="PA19" s="111" t="n"/>
      <c r="PB19" s="111" t="n"/>
      <c r="PC19" s="111" t="n"/>
      <c r="PD19" s="111" t="n"/>
      <c r="PE19" s="111" t="n"/>
      <c r="PF19" s="111" t="n"/>
      <c r="PG19" s="111" t="n"/>
      <c r="PH19" s="111" t="n"/>
      <c r="PI19" s="111" t="n"/>
      <c r="PJ19" s="111" t="n"/>
      <c r="PK19" s="111" t="n"/>
      <c r="PL19" s="111" t="n"/>
      <c r="PM19" s="111" t="n"/>
      <c r="PN19" s="111" t="n"/>
      <c r="PO19" s="111" t="n"/>
      <c r="PP19" s="111" t="n"/>
      <c r="PQ19" s="111" t="n"/>
      <c r="PR19" s="111" t="n"/>
      <c r="PS19" s="111" t="n"/>
      <c r="PT19" s="111" t="n"/>
      <c r="PU19" s="111" t="n"/>
      <c r="PV19" s="111" t="n"/>
      <c r="PW19" s="111" t="n"/>
      <c r="PX19" s="111" t="n"/>
      <c r="PY19" s="111" t="n"/>
      <c r="PZ19" s="111" t="n"/>
      <c r="QA19" s="111" t="n"/>
      <c r="QB19" s="111" t="n"/>
      <c r="QC19" s="111" t="n"/>
      <c r="QD19" s="111" t="n"/>
      <c r="QE19" s="111" t="n"/>
      <c r="QF19" s="111" t="n"/>
      <c r="QG19" s="111" t="n"/>
      <c r="QH19" s="111" t="n"/>
      <c r="QI19" s="111" t="n"/>
      <c r="QJ19" s="111" t="n"/>
      <c r="QK19" s="111" t="n"/>
      <c r="QL19" s="111" t="n"/>
      <c r="QM19" s="111" t="n"/>
      <c r="QN19" s="111" t="n"/>
      <c r="QO19" s="111" t="n"/>
      <c r="QP19" s="111" t="n"/>
      <c r="QQ19" s="111" t="n"/>
      <c r="QR19" s="111" t="n"/>
      <c r="QS19" s="111" t="n"/>
      <c r="QT19" s="111" t="n"/>
      <c r="QU19" s="111" t="n"/>
      <c r="QV19" s="111" t="n"/>
      <c r="QW19" s="111" t="n"/>
      <c r="QX19" s="111" t="n"/>
      <c r="QY19" s="111" t="n"/>
      <c r="QZ19" s="111" t="n"/>
      <c r="RA19" s="111" t="n"/>
      <c r="RB19" s="111" t="n"/>
      <c r="RC19" s="111" t="n"/>
      <c r="RD19" s="111" t="n"/>
      <c r="RE19" s="111" t="n"/>
      <c r="RF19" s="111" t="n"/>
      <c r="RG19" s="111" t="n"/>
      <c r="RH19" s="111" t="n"/>
      <c r="RI19" s="111" t="n"/>
      <c r="RJ19" s="111" t="n"/>
      <c r="RK19" s="111" t="n"/>
      <c r="RL19" s="111" t="n"/>
      <c r="RM19" s="111" t="n"/>
      <c r="RN19" s="111" t="n"/>
      <c r="RO19" s="111" t="n"/>
      <c r="RP19" s="111" t="n"/>
      <c r="RQ19" s="111" t="n"/>
      <c r="RR19" s="111" t="n"/>
      <c r="RS19" s="111" t="n"/>
      <c r="RT19" s="111" t="n"/>
      <c r="RU19" s="111" t="n"/>
      <c r="RV19" s="111" t="n"/>
      <c r="RW19" s="111" t="n"/>
      <c r="RX19" s="111" t="n"/>
      <c r="RY19" s="111" t="n"/>
      <c r="RZ19" s="111" t="n"/>
      <c r="SA19" s="111" t="n"/>
      <c r="SB19" s="111" t="n"/>
      <c r="SC19" s="111" t="n"/>
      <c r="SD19" s="111" t="n"/>
      <c r="SE19" s="111" t="n"/>
      <c r="SF19" s="111" t="n"/>
      <c r="SG19" s="111" t="n"/>
      <c r="SH19" s="111" t="n"/>
      <c r="SI19" s="111" t="n"/>
      <c r="SJ19" s="111" t="n"/>
      <c r="SK19" s="111" t="n"/>
    </row>
    <row r="20" ht="13.15" customFormat="1" customHeight="1" s="137">
      <c r="A20" s="177" t="n">
        <v>7</v>
      </c>
      <c r="B20" s="154" t="inlineStr">
        <is>
          <t>Install Electric thru foam</t>
        </is>
      </c>
      <c r="C20" s="144" t="n"/>
      <c r="D20" s="177" t="n"/>
      <c r="E20" s="177" t="n"/>
      <c r="F20" s="177" t="n"/>
      <c r="G20" s="263" t="n">
        <v>44761</v>
      </c>
      <c r="H20" s="262">
        <f>WORKDAY(G20,I20-1,holidays)</f>
        <v/>
      </c>
      <c r="I20" s="149" t="n">
        <v>1</v>
      </c>
      <c r="J20" s="150" t="n">
        <v>0</v>
      </c>
      <c r="K20" s="151">
        <f>IF(OR(G20=0,H20=0),0,H20-G20+1)</f>
        <v/>
      </c>
      <c r="L20" s="152">
        <f>MIN(K20,WORKDAY(G20,ROUNDDOWN(J20*I20,0),holidays)-G20)</f>
        <v/>
      </c>
      <c r="M20" s="151">
        <f>K20-L20</f>
        <v/>
      </c>
      <c r="N20" s="180" t="n"/>
      <c r="P20" s="111" t="n"/>
      <c r="Q20" s="111" t="n"/>
      <c r="R20" s="111" t="n"/>
      <c r="S20" s="111" t="n"/>
      <c r="T20" s="111" t="n"/>
      <c r="U20" s="111" t="n"/>
      <c r="V20" s="111" t="n"/>
      <c r="W20" s="111" t="n"/>
      <c r="X20" s="111" t="n"/>
      <c r="Y20" s="111" t="n"/>
      <c r="Z20" s="111" t="n"/>
      <c r="AA20" s="111" t="n"/>
      <c r="AB20" s="111" t="n"/>
      <c r="AC20" s="111" t="n"/>
      <c r="AD20" s="111" t="n"/>
      <c r="AE20" s="111" t="n"/>
      <c r="AF20" s="111" t="n"/>
      <c r="AG20" s="111" t="n"/>
      <c r="AH20" s="111" t="n"/>
      <c r="AI20" s="111" t="n"/>
      <c r="AJ20" s="111" t="n"/>
      <c r="AK20" s="111" t="n"/>
      <c r="AL20" s="111" t="n"/>
      <c r="AM20" s="111" t="n"/>
      <c r="AN20" s="111" t="n"/>
      <c r="AO20" s="111" t="n"/>
      <c r="AP20" s="111" t="n"/>
      <c r="AQ20" s="111" t="n"/>
      <c r="AR20" s="111" t="n"/>
      <c r="AS20" s="111" t="n"/>
      <c r="AT20" s="111" t="n"/>
      <c r="AU20" s="111" t="n"/>
      <c r="AV20" s="111" t="n"/>
      <c r="AW20" s="111" t="n"/>
      <c r="AX20" s="111" t="n"/>
      <c r="AY20" s="111" t="n"/>
      <c r="AZ20" s="111" t="n"/>
      <c r="BA20" s="111" t="n"/>
      <c r="BB20" s="111" t="n"/>
      <c r="BC20" s="111" t="n"/>
      <c r="BD20" s="111" t="n"/>
      <c r="BE20" s="111" t="n"/>
      <c r="BF20" s="111" t="n"/>
      <c r="BG20" s="111" t="n"/>
      <c r="BH20" s="111" t="n"/>
      <c r="BI20" s="111" t="n"/>
      <c r="BJ20" s="111" t="n"/>
      <c r="BK20" s="111" t="n"/>
      <c r="BL20" s="111" t="n"/>
      <c r="BM20" s="111" t="n"/>
      <c r="BN20" s="111" t="n"/>
      <c r="BO20" s="111" t="n"/>
      <c r="BP20" s="111" t="n"/>
      <c r="BQ20" s="111" t="n"/>
      <c r="BR20" s="111" t="n"/>
      <c r="BS20" s="111" t="n"/>
      <c r="BT20" s="111" t="n"/>
      <c r="BU20" s="111" t="n"/>
      <c r="BV20" s="111" t="n"/>
      <c r="BW20" s="111" t="n"/>
      <c r="BX20" s="111" t="n"/>
      <c r="BY20" s="111" t="n"/>
      <c r="BZ20" s="111" t="n"/>
      <c r="CA20" s="111" t="n"/>
      <c r="CB20" s="111" t="n"/>
      <c r="CC20" s="111" t="n"/>
      <c r="CD20" s="111" t="n"/>
      <c r="CE20" s="111" t="n"/>
      <c r="CF20" s="111" t="n"/>
      <c r="CG20" s="111" t="n"/>
      <c r="CH20" s="111" t="n"/>
      <c r="CI20" s="111" t="n"/>
      <c r="CJ20" s="111" t="n"/>
      <c r="CK20" s="111" t="n"/>
      <c r="CL20" s="111" t="n"/>
      <c r="CM20" s="111" t="n"/>
      <c r="CN20" s="111" t="n"/>
      <c r="CO20" s="111" t="n"/>
      <c r="CP20" s="111" t="n"/>
      <c r="CQ20" s="111" t="n"/>
      <c r="CR20" s="111" t="n"/>
      <c r="CS20" s="111" t="n"/>
      <c r="CT20" s="111" t="n"/>
      <c r="CU20" s="111" t="n"/>
      <c r="CV20" s="111" t="n"/>
      <c r="CW20" s="111" t="n"/>
      <c r="CX20" s="111" t="n"/>
      <c r="CY20" s="111" t="n"/>
      <c r="CZ20" s="111" t="n"/>
      <c r="DA20" s="111" t="n"/>
      <c r="DB20" s="111" t="n"/>
      <c r="DC20" s="111" t="n"/>
      <c r="DD20" s="111" t="n"/>
      <c r="DE20" s="111" t="n"/>
      <c r="DF20" s="111" t="n"/>
      <c r="DG20" s="111" t="n"/>
      <c r="DH20" s="111" t="n"/>
      <c r="DI20" s="111" t="n"/>
      <c r="DJ20" s="111" t="n"/>
      <c r="DK20" s="111" t="n"/>
      <c r="DL20" s="111" t="n"/>
      <c r="DM20" s="111" t="n"/>
      <c r="DN20" s="111" t="n"/>
      <c r="DO20" s="111" t="n"/>
      <c r="DP20" s="111" t="n"/>
      <c r="DQ20" s="111" t="n"/>
      <c r="DR20" s="111" t="n"/>
      <c r="DS20" s="111" t="n"/>
      <c r="DT20" s="111" t="n"/>
      <c r="DU20" s="111" t="n"/>
      <c r="DV20" s="111" t="n"/>
      <c r="DW20" s="111" t="n"/>
      <c r="DX20" s="111" t="n"/>
      <c r="DY20" s="111" t="n"/>
      <c r="DZ20" s="111" t="n"/>
      <c r="EA20" s="111" t="n"/>
      <c r="EB20" s="111" t="n"/>
      <c r="EC20" s="111" t="n"/>
      <c r="ED20" s="111" t="n"/>
      <c r="EE20" s="111" t="n"/>
      <c r="EF20" s="111" t="n"/>
      <c r="EG20" s="111" t="n"/>
      <c r="EH20" s="111" t="n"/>
      <c r="EI20" s="111" t="n"/>
      <c r="EJ20" s="111" t="n"/>
      <c r="EK20" s="111" t="n"/>
      <c r="EL20" s="111" t="n"/>
      <c r="EM20" s="111" t="n"/>
      <c r="EN20" s="111" t="n"/>
      <c r="EO20" s="111" t="n"/>
      <c r="EP20" s="111" t="n"/>
      <c r="EQ20" s="111" t="n"/>
      <c r="ER20" s="111" t="n"/>
      <c r="ES20" s="111" t="n"/>
      <c r="ET20" s="111" t="n"/>
      <c r="EU20" s="111" t="n"/>
      <c r="EV20" s="111" t="n"/>
      <c r="EW20" s="111" t="n"/>
      <c r="EX20" s="111" t="n"/>
      <c r="EY20" s="111" t="n"/>
      <c r="EZ20" s="111" t="n"/>
      <c r="FA20" s="111" t="n"/>
      <c r="FB20" s="111" t="n"/>
      <c r="FC20" s="111" t="n"/>
      <c r="FD20" s="111" t="n"/>
      <c r="FE20" s="111" t="n"/>
      <c r="FF20" s="111" t="n"/>
      <c r="FG20" s="111" t="n"/>
      <c r="FH20" s="111" t="n"/>
      <c r="FI20" s="111" t="n"/>
      <c r="FJ20" s="111" t="n"/>
      <c r="FK20" s="111" t="n"/>
      <c r="FL20" s="111" t="n"/>
      <c r="FM20" s="111" t="n"/>
      <c r="FN20" s="111" t="n"/>
      <c r="FO20" s="111" t="n"/>
      <c r="FP20" s="111" t="n"/>
      <c r="FQ20" s="111" t="n"/>
      <c r="FR20" s="111" t="n"/>
      <c r="FS20" s="111" t="n"/>
      <c r="FT20" s="111" t="n"/>
      <c r="FU20" s="111" t="n"/>
      <c r="FV20" s="111" t="n"/>
      <c r="FW20" s="111" t="n"/>
      <c r="FX20" s="111" t="n"/>
      <c r="FY20" s="111" t="n"/>
      <c r="FZ20" s="111" t="n"/>
      <c r="GA20" s="111" t="n"/>
      <c r="GB20" s="111" t="n"/>
      <c r="GC20" s="111" t="n"/>
      <c r="GD20" s="111" t="n"/>
      <c r="GE20" s="111" t="n"/>
      <c r="GF20" s="111" t="n"/>
      <c r="GG20" s="111" t="n"/>
      <c r="GH20" s="111" t="n"/>
      <c r="GI20" s="111" t="n"/>
      <c r="GJ20" s="111" t="n"/>
      <c r="GK20" s="111" t="n"/>
      <c r="GL20" s="111" t="n"/>
      <c r="GM20" s="111" t="n"/>
      <c r="GN20" s="111" t="n"/>
      <c r="GO20" s="111" t="n"/>
      <c r="GP20" s="111" t="n"/>
      <c r="GQ20" s="111" t="n"/>
      <c r="GR20" s="111" t="n"/>
      <c r="GS20" s="111" t="n"/>
      <c r="GT20" s="111" t="n"/>
      <c r="GU20" s="111" t="n"/>
      <c r="GV20" s="111" t="n"/>
      <c r="GW20" s="111" t="n"/>
      <c r="GX20" s="111" t="n"/>
      <c r="GY20" s="111" t="n"/>
      <c r="GZ20" s="111" t="n"/>
      <c r="HA20" s="111" t="n"/>
      <c r="HB20" s="111" t="n"/>
      <c r="HC20" s="111" t="n"/>
      <c r="HD20" s="111" t="n"/>
      <c r="HE20" s="111" t="n"/>
      <c r="HF20" s="111" t="n"/>
      <c r="HG20" s="111" t="n"/>
      <c r="HH20" s="111" t="n"/>
      <c r="HI20" s="111" t="n"/>
      <c r="HJ20" s="111" t="n"/>
      <c r="HK20" s="111" t="n"/>
      <c r="HL20" s="111" t="n"/>
      <c r="HM20" s="111" t="n"/>
      <c r="HN20" s="111" t="n"/>
      <c r="HO20" s="111" t="n"/>
      <c r="HP20" s="111" t="n"/>
      <c r="HQ20" s="111" t="n"/>
      <c r="HR20" s="111" t="n"/>
      <c r="HS20" s="111" t="n"/>
      <c r="HT20" s="111" t="n"/>
      <c r="HU20" s="111" t="n"/>
      <c r="HV20" s="111" t="n"/>
      <c r="HW20" s="111" t="n"/>
      <c r="HX20" s="111" t="n"/>
      <c r="HY20" s="111" t="n"/>
      <c r="HZ20" s="111" t="n"/>
      <c r="IA20" s="111" t="n"/>
      <c r="IB20" s="111" t="n"/>
      <c r="IC20" s="111" t="n"/>
      <c r="ID20" s="111" t="n"/>
      <c r="IE20" s="111" t="n"/>
      <c r="IF20" s="111" t="n"/>
      <c r="IG20" s="111" t="n"/>
      <c r="IH20" s="111" t="n"/>
      <c r="II20" s="111" t="n"/>
      <c r="IJ20" s="111" t="n"/>
      <c r="IK20" s="111" t="n"/>
      <c r="IL20" s="111" t="n"/>
      <c r="IM20" s="111" t="n"/>
      <c r="IN20" s="111" t="n"/>
      <c r="IO20" s="111" t="n"/>
      <c r="IP20" s="111" t="n"/>
      <c r="IQ20" s="111" t="n"/>
      <c r="IR20" s="111" t="n"/>
      <c r="IS20" s="111" t="n"/>
      <c r="IT20" s="111" t="n"/>
      <c r="IU20" s="111" t="n"/>
      <c r="IV20" s="111" t="n"/>
      <c r="IW20" s="111" t="n"/>
      <c r="IX20" s="111" t="n"/>
      <c r="IY20" s="111" t="n"/>
      <c r="IZ20" s="111" t="n"/>
      <c r="JA20" s="111" t="n"/>
      <c r="JB20" s="111" t="n"/>
      <c r="JC20" s="111" t="n"/>
      <c r="JD20" s="111" t="n"/>
      <c r="JE20" s="111" t="n"/>
      <c r="JF20" s="111" t="n"/>
      <c r="JG20" s="111" t="n"/>
      <c r="JH20" s="111" t="n"/>
      <c r="JI20" s="111" t="n"/>
      <c r="JJ20" s="111" t="n"/>
      <c r="JK20" s="111" t="n"/>
      <c r="JL20" s="111" t="n"/>
      <c r="JM20" s="111" t="n"/>
      <c r="JN20" s="111" t="n"/>
      <c r="JO20" s="111" t="n"/>
      <c r="JP20" s="111" t="n"/>
      <c r="JQ20" s="111" t="n"/>
      <c r="JR20" s="111" t="n"/>
      <c r="JS20" s="111" t="n"/>
      <c r="JT20" s="111" t="n"/>
      <c r="JU20" s="111" t="n"/>
      <c r="JV20" s="111" t="n"/>
      <c r="JW20" s="111" t="n"/>
      <c r="JX20" s="111" t="n"/>
      <c r="JY20" s="111" t="n"/>
      <c r="JZ20" s="111" t="n"/>
      <c r="KA20" s="111" t="n"/>
      <c r="KB20" s="111" t="n"/>
      <c r="KC20" s="111" t="n"/>
      <c r="KD20" s="111" t="n"/>
      <c r="KE20" s="111" t="n"/>
      <c r="KF20" s="111" t="n"/>
      <c r="KG20" s="111" t="n"/>
      <c r="KH20" s="111" t="n"/>
      <c r="KI20" s="111" t="n"/>
      <c r="KJ20" s="111" t="n"/>
      <c r="KK20" s="111" t="n"/>
      <c r="KL20" s="111" t="n"/>
      <c r="KM20" s="111" t="n"/>
      <c r="KN20" s="111" t="n"/>
      <c r="KO20" s="111" t="n"/>
      <c r="KP20" s="111" t="n"/>
      <c r="KQ20" s="111" t="n"/>
      <c r="KR20" s="111" t="n"/>
      <c r="KS20" s="111" t="n"/>
      <c r="KT20" s="111" t="n"/>
      <c r="KU20" s="111" t="n"/>
      <c r="KV20" s="111" t="n"/>
      <c r="KW20" s="111" t="n"/>
      <c r="KX20" s="111" t="n"/>
      <c r="KY20" s="111" t="n"/>
      <c r="KZ20" s="111" t="n"/>
      <c r="LA20" s="111" t="n"/>
      <c r="LB20" s="111" t="n"/>
      <c r="LC20" s="111" t="n"/>
      <c r="LD20" s="111" t="n"/>
      <c r="LE20" s="111" t="n"/>
      <c r="LF20" s="111" t="n"/>
      <c r="LG20" s="111" t="n"/>
      <c r="LH20" s="111" t="n"/>
      <c r="LI20" s="111" t="n"/>
      <c r="LJ20" s="111" t="n"/>
      <c r="LK20" s="111" t="n"/>
      <c r="LL20" s="111" t="n"/>
      <c r="LM20" s="111" t="n"/>
      <c r="LN20" s="111" t="n"/>
      <c r="LO20" s="111" t="n"/>
      <c r="LP20" s="111" t="n"/>
      <c r="LQ20" s="111" t="n"/>
      <c r="LR20" s="111" t="n"/>
      <c r="LS20" s="111" t="n"/>
      <c r="LT20" s="111" t="n"/>
      <c r="LU20" s="111" t="n"/>
      <c r="LV20" s="111" t="n"/>
      <c r="LW20" s="111" t="n"/>
      <c r="LX20" s="111" t="n"/>
      <c r="LY20" s="111" t="n"/>
      <c r="LZ20" s="111" t="n"/>
      <c r="MA20" s="111" t="n"/>
      <c r="MB20" s="111" t="n"/>
      <c r="MC20" s="111" t="n"/>
      <c r="MD20" s="111" t="n"/>
      <c r="ME20" s="111" t="n"/>
      <c r="MF20" s="111" t="n"/>
      <c r="MG20" s="111" t="n"/>
      <c r="MH20" s="111" t="n"/>
      <c r="MI20" s="111" t="n"/>
      <c r="MJ20" s="111" t="n"/>
      <c r="MK20" s="111" t="n"/>
      <c r="ML20" s="111" t="n"/>
      <c r="MM20" s="111" t="n"/>
      <c r="MN20" s="111" t="n"/>
      <c r="MO20" s="111" t="n"/>
      <c r="MP20" s="111" t="n"/>
      <c r="MQ20" s="111" t="n"/>
      <c r="MR20" s="111" t="n"/>
      <c r="MS20" s="111" t="n"/>
      <c r="MT20" s="111" t="n"/>
      <c r="MU20" s="111" t="n"/>
      <c r="MV20" s="111" t="n"/>
      <c r="MW20" s="111" t="n"/>
      <c r="MX20" s="111" t="n"/>
      <c r="MY20" s="111" t="n"/>
      <c r="MZ20" s="111" t="n"/>
      <c r="NA20" s="111" t="n"/>
      <c r="NB20" s="111" t="n"/>
      <c r="NC20" s="111" t="n"/>
      <c r="ND20" s="111" t="n"/>
      <c r="NE20" s="111" t="n"/>
      <c r="NF20" s="111" t="n"/>
      <c r="NG20" s="111" t="n"/>
      <c r="NH20" s="111" t="n"/>
      <c r="NI20" s="111" t="n"/>
      <c r="NJ20" s="111" t="n"/>
      <c r="NK20" s="111" t="n"/>
      <c r="NL20" s="111" t="n"/>
      <c r="NM20" s="111" t="n"/>
      <c r="NN20" s="111" t="n"/>
      <c r="NO20" s="111" t="n"/>
      <c r="NP20" s="111" t="n"/>
      <c r="NQ20" s="111" t="n"/>
      <c r="NR20" s="111" t="n"/>
      <c r="NS20" s="111" t="n"/>
      <c r="NT20" s="111" t="n"/>
      <c r="NU20" s="111" t="n"/>
      <c r="NV20" s="111" t="n"/>
      <c r="NW20" s="111" t="n"/>
      <c r="NX20" s="111" t="n"/>
      <c r="NY20" s="111" t="n"/>
      <c r="NZ20" s="111" t="n"/>
      <c r="OA20" s="111" t="n"/>
      <c r="OB20" s="111" t="n"/>
      <c r="OC20" s="111" t="n"/>
      <c r="OD20" s="111" t="n"/>
      <c r="OE20" s="111" t="n"/>
      <c r="OF20" s="111" t="n"/>
      <c r="OG20" s="111" t="n"/>
      <c r="OH20" s="111" t="n"/>
      <c r="OI20" s="111" t="n"/>
      <c r="OJ20" s="111" t="n"/>
      <c r="OK20" s="111" t="n"/>
      <c r="OL20" s="111" t="n"/>
      <c r="OM20" s="111" t="n"/>
      <c r="ON20" s="111" t="n"/>
      <c r="OO20" s="111" t="n"/>
      <c r="OP20" s="111" t="n"/>
      <c r="OQ20" s="111" t="n"/>
      <c r="OR20" s="111" t="n"/>
      <c r="OS20" s="111" t="n"/>
      <c r="OT20" s="111" t="n"/>
      <c r="OU20" s="111" t="n"/>
      <c r="OV20" s="111" t="n"/>
      <c r="OW20" s="111" t="n"/>
      <c r="OX20" s="111" t="n"/>
      <c r="OY20" s="111" t="n"/>
      <c r="OZ20" s="111" t="n"/>
      <c r="PA20" s="111" t="n"/>
      <c r="PB20" s="111" t="n"/>
      <c r="PC20" s="111" t="n"/>
      <c r="PD20" s="111" t="n"/>
      <c r="PE20" s="111" t="n"/>
      <c r="PF20" s="111" t="n"/>
      <c r="PG20" s="111" t="n"/>
      <c r="PH20" s="111" t="n"/>
      <c r="PI20" s="111" t="n"/>
      <c r="PJ20" s="111" t="n"/>
      <c r="PK20" s="111" t="n"/>
      <c r="PL20" s="111" t="n"/>
      <c r="PM20" s="111" t="n"/>
      <c r="PN20" s="111" t="n"/>
      <c r="PO20" s="111" t="n"/>
      <c r="PP20" s="111" t="n"/>
      <c r="PQ20" s="111" t="n"/>
      <c r="PR20" s="111" t="n"/>
      <c r="PS20" s="111" t="n"/>
      <c r="PT20" s="111" t="n"/>
      <c r="PU20" s="111" t="n"/>
      <c r="PV20" s="111" t="n"/>
      <c r="PW20" s="111" t="n"/>
      <c r="PX20" s="111" t="n"/>
      <c r="PY20" s="111" t="n"/>
      <c r="PZ20" s="111" t="n"/>
      <c r="QA20" s="111" t="n"/>
      <c r="QB20" s="111" t="n"/>
      <c r="QC20" s="111" t="n"/>
      <c r="QD20" s="111" t="n"/>
      <c r="QE20" s="111" t="n"/>
      <c r="QF20" s="111" t="n"/>
      <c r="QG20" s="111" t="n"/>
      <c r="QH20" s="111" t="n"/>
      <c r="QI20" s="111" t="n"/>
      <c r="QJ20" s="111" t="n"/>
      <c r="QK20" s="111" t="n"/>
      <c r="QL20" s="111" t="n"/>
      <c r="QM20" s="111" t="n"/>
      <c r="QN20" s="111" t="n"/>
      <c r="QO20" s="111" t="n"/>
      <c r="QP20" s="111" t="n"/>
      <c r="QQ20" s="111" t="n"/>
      <c r="QR20" s="111" t="n"/>
      <c r="QS20" s="111" t="n"/>
      <c r="QT20" s="111" t="n"/>
      <c r="QU20" s="111" t="n"/>
      <c r="QV20" s="111" t="n"/>
      <c r="QW20" s="111" t="n"/>
      <c r="QX20" s="111" t="n"/>
      <c r="QY20" s="111" t="n"/>
      <c r="QZ20" s="111" t="n"/>
      <c r="RA20" s="111" t="n"/>
      <c r="RB20" s="111" t="n"/>
      <c r="RC20" s="111" t="n"/>
      <c r="RD20" s="111" t="n"/>
      <c r="RE20" s="111" t="n"/>
      <c r="RF20" s="111" t="n"/>
      <c r="RG20" s="111" t="n"/>
      <c r="RH20" s="111" t="n"/>
      <c r="RI20" s="111" t="n"/>
      <c r="RJ20" s="111" t="n"/>
      <c r="RK20" s="111" t="n"/>
      <c r="RL20" s="111" t="n"/>
      <c r="RM20" s="111" t="n"/>
      <c r="RN20" s="111" t="n"/>
      <c r="RO20" s="111" t="n"/>
      <c r="RP20" s="111" t="n"/>
      <c r="RQ20" s="111" t="n"/>
      <c r="RR20" s="111" t="n"/>
      <c r="RS20" s="111" t="n"/>
      <c r="RT20" s="111" t="n"/>
      <c r="RU20" s="111" t="n"/>
      <c r="RV20" s="111" t="n"/>
      <c r="RW20" s="111" t="n"/>
      <c r="RX20" s="111" t="n"/>
      <c r="RY20" s="111" t="n"/>
      <c r="RZ20" s="111" t="n"/>
      <c r="SA20" s="111" t="n"/>
      <c r="SB20" s="111" t="n"/>
      <c r="SC20" s="111" t="n"/>
      <c r="SD20" s="111" t="n"/>
      <c r="SE20" s="111" t="n"/>
      <c r="SF20" s="111" t="n"/>
      <c r="SG20" s="111" t="n"/>
      <c r="SH20" s="111" t="n"/>
      <c r="SI20" s="111" t="n"/>
      <c r="SJ20" s="111" t="n"/>
      <c r="SK20" s="111" t="n"/>
    </row>
    <row r="21" ht="13.15" customFormat="1" customHeight="1" s="137">
      <c r="A21" s="177" t="n">
        <v>8</v>
      </c>
      <c r="B21" s="154" t="inlineStr">
        <is>
          <t xml:space="preserve">Inspection for Floor Close in </t>
        </is>
      </c>
      <c r="C21" s="144" t="n"/>
      <c r="D21" s="177" t="n"/>
      <c r="E21" s="177" t="n"/>
      <c r="F21" s="177" t="n"/>
      <c r="G21" s="263" t="n">
        <v>44791</v>
      </c>
      <c r="H21" s="262">
        <f>WORKDAY(G21,I21-1,holidays)</f>
        <v/>
      </c>
      <c r="I21" s="149" t="n">
        <v>1</v>
      </c>
      <c r="J21" s="150" t="n">
        <v>0</v>
      </c>
      <c r="K21" s="151">
        <f>IF(OR(G21=0,H21=0),0,H21-G21+1)</f>
        <v/>
      </c>
      <c r="L21" s="152">
        <f>MIN(K21,WORKDAY(G21,ROUNDDOWN(J21*I21,0),holidays)-G21)</f>
        <v/>
      </c>
      <c r="M21" s="151">
        <f>K21-L21</f>
        <v/>
      </c>
      <c r="N21" s="180" t="n"/>
      <c r="P21" s="111" t="n"/>
      <c r="Q21" s="111"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c r="AJ21" s="111" t="n"/>
      <c r="AK21" s="111" t="n"/>
      <c r="AL21" s="111" t="n"/>
      <c r="AM21" s="111" t="n"/>
      <c r="AN21" s="111" t="n"/>
      <c r="AO21" s="111" t="n"/>
      <c r="AP21" s="111" t="n"/>
      <c r="AQ21" s="111" t="n"/>
      <c r="AR21" s="111" t="n"/>
      <c r="AS21" s="111" t="n"/>
      <c r="AT21" s="111" t="n"/>
      <c r="AU21" s="111" t="n"/>
      <c r="AV21" s="111" t="n"/>
      <c r="AW21" s="111" t="n"/>
      <c r="AX21" s="111" t="n"/>
      <c r="AY21" s="111" t="n"/>
      <c r="AZ21" s="111" t="n"/>
      <c r="BA21" s="111" t="n"/>
      <c r="BB21" s="111" t="n"/>
      <c r="BC21" s="111" t="n"/>
      <c r="BD21" s="111" t="n"/>
      <c r="BE21" s="111" t="n"/>
      <c r="BF21" s="111" t="n"/>
      <c r="BG21" s="111" t="n"/>
      <c r="BH21" s="111" t="n"/>
      <c r="BI21" s="111" t="n"/>
      <c r="BJ21" s="111" t="n"/>
      <c r="BK21" s="111" t="n"/>
      <c r="BL21" s="111" t="n"/>
      <c r="BM21" s="111" t="n"/>
      <c r="BN21" s="111" t="n"/>
      <c r="BO21" s="111" t="n"/>
      <c r="BP21" s="111" t="n"/>
      <c r="BQ21" s="111" t="n"/>
      <c r="BR21" s="111" t="n"/>
      <c r="BS21" s="111" t="n"/>
      <c r="BT21" s="111" t="n"/>
      <c r="BU21" s="111" t="n"/>
      <c r="BV21" s="111" t="n"/>
      <c r="BW21" s="111" t="n"/>
      <c r="BX21" s="111" t="n"/>
      <c r="BY21" s="111" t="n"/>
      <c r="BZ21" s="111" t="n"/>
      <c r="CA21" s="111" t="n"/>
      <c r="CB21" s="111" t="n"/>
      <c r="CC21" s="111" t="n"/>
      <c r="CD21" s="111" t="n"/>
      <c r="CE21" s="111" t="n"/>
      <c r="CF21" s="111" t="n"/>
      <c r="CG21" s="111" t="n"/>
      <c r="CH21" s="111" t="n"/>
      <c r="CI21" s="111" t="n"/>
      <c r="CJ21" s="111" t="n"/>
      <c r="CK21" s="111" t="n"/>
      <c r="CL21" s="111" t="n"/>
      <c r="CM21" s="111" t="n"/>
      <c r="CN21" s="111" t="n"/>
      <c r="CO21" s="111" t="n"/>
      <c r="CP21" s="111" t="n"/>
      <c r="CQ21" s="111" t="n"/>
      <c r="CR21" s="111" t="n"/>
      <c r="CS21" s="111" t="n"/>
      <c r="CT21" s="111" t="n"/>
      <c r="CU21" s="111" t="n"/>
      <c r="CV21" s="111" t="n"/>
      <c r="CW21" s="111" t="n"/>
      <c r="CX21" s="111" t="n"/>
      <c r="CY21" s="111" t="n"/>
      <c r="CZ21" s="111" t="n"/>
      <c r="DA21" s="111" t="n"/>
      <c r="DB21" s="111" t="n"/>
      <c r="DC21" s="111" t="n"/>
      <c r="DD21" s="111" t="n"/>
      <c r="DE21" s="111" t="n"/>
      <c r="DF21" s="111" t="n"/>
      <c r="DG21" s="111" t="n"/>
      <c r="DH21" s="111" t="n"/>
      <c r="DI21" s="111" t="n"/>
      <c r="DJ21" s="111" t="n"/>
      <c r="DK21" s="111" t="n"/>
      <c r="DL21" s="111" t="n"/>
      <c r="DM21" s="111" t="n"/>
      <c r="DN21" s="111" t="n"/>
      <c r="DO21" s="111" t="n"/>
      <c r="DP21" s="111" t="n"/>
      <c r="DQ21" s="111" t="n"/>
      <c r="DR21" s="111" t="n"/>
      <c r="DS21" s="111" t="n"/>
      <c r="DT21" s="111" t="n"/>
      <c r="DU21" s="111" t="n"/>
      <c r="DV21" s="111" t="n"/>
      <c r="DW21" s="111" t="n"/>
      <c r="DX21" s="111" t="n"/>
      <c r="DY21" s="111" t="n"/>
      <c r="DZ21" s="111" t="n"/>
      <c r="EA21" s="111" t="n"/>
      <c r="EB21" s="111" t="n"/>
      <c r="EC21" s="111" t="n"/>
      <c r="ED21" s="111" t="n"/>
      <c r="EE21" s="111" t="n"/>
      <c r="EF21" s="111" t="n"/>
      <c r="EG21" s="111" t="n"/>
      <c r="EH21" s="111" t="n"/>
      <c r="EI21" s="111" t="n"/>
      <c r="EJ21" s="111" t="n"/>
      <c r="EK21" s="111" t="n"/>
      <c r="EL21" s="111" t="n"/>
      <c r="EM21" s="111" t="n"/>
      <c r="EN21" s="111" t="n"/>
      <c r="EO21" s="111" t="n"/>
      <c r="EP21" s="111" t="n"/>
      <c r="EQ21" s="111" t="n"/>
      <c r="ER21" s="111" t="n"/>
      <c r="ES21" s="111" t="n"/>
      <c r="ET21" s="111" t="n"/>
      <c r="EU21" s="111" t="n"/>
      <c r="EV21" s="111" t="n"/>
      <c r="EW21" s="111" t="n"/>
      <c r="EX21" s="111" t="n"/>
      <c r="EY21" s="111" t="n"/>
      <c r="EZ21" s="111" t="n"/>
      <c r="FA21" s="111" t="n"/>
      <c r="FB21" s="111" t="n"/>
      <c r="FC21" s="111" t="n"/>
      <c r="FD21" s="111" t="n"/>
      <c r="FE21" s="111" t="n"/>
      <c r="FF21" s="111" t="n"/>
      <c r="FG21" s="111" t="n"/>
      <c r="FH21" s="111" t="n"/>
      <c r="FI21" s="111" t="n"/>
      <c r="FJ21" s="111" t="n"/>
      <c r="FK21" s="111" t="n"/>
      <c r="FL21" s="111" t="n"/>
      <c r="FM21" s="111" t="n"/>
      <c r="FN21" s="111" t="n"/>
      <c r="FO21" s="111" t="n"/>
      <c r="FP21" s="111" t="n"/>
      <c r="FQ21" s="111" t="n"/>
      <c r="FR21" s="111" t="n"/>
      <c r="FS21" s="111" t="n"/>
      <c r="FT21" s="111" t="n"/>
      <c r="FU21" s="111" t="n"/>
      <c r="FV21" s="111" t="n"/>
      <c r="FW21" s="111" t="n"/>
      <c r="FX21" s="111" t="n"/>
      <c r="FY21" s="111" t="n"/>
      <c r="FZ21" s="111" t="n"/>
      <c r="GA21" s="111" t="n"/>
      <c r="GB21" s="111" t="n"/>
      <c r="GC21" s="111" t="n"/>
      <c r="GD21" s="111" t="n"/>
      <c r="GE21" s="111" t="n"/>
      <c r="GF21" s="111" t="n"/>
      <c r="GG21" s="111" t="n"/>
      <c r="GH21" s="111" t="n"/>
      <c r="GI21" s="111" t="n"/>
      <c r="GJ21" s="111" t="n"/>
      <c r="GK21" s="111" t="n"/>
      <c r="GL21" s="111" t="n"/>
      <c r="GM21" s="111" t="n"/>
      <c r="GN21" s="111" t="n"/>
      <c r="GO21" s="111" t="n"/>
      <c r="GP21" s="111" t="n"/>
      <c r="GQ21" s="111" t="n"/>
      <c r="GR21" s="111" t="n"/>
      <c r="GS21" s="111" t="n"/>
      <c r="GT21" s="111" t="n"/>
      <c r="GU21" s="111" t="n"/>
      <c r="GV21" s="111" t="n"/>
      <c r="GW21" s="111" t="n"/>
      <c r="GX21" s="111" t="n"/>
      <c r="GY21" s="111" t="n"/>
      <c r="GZ21" s="111" t="n"/>
      <c r="HA21" s="111" t="n"/>
      <c r="HB21" s="111" t="n"/>
      <c r="HC21" s="111" t="n"/>
      <c r="HD21" s="111" t="n"/>
      <c r="HE21" s="111" t="n"/>
      <c r="HF21" s="111" t="n"/>
      <c r="HG21" s="111" t="n"/>
      <c r="HH21" s="111" t="n"/>
      <c r="HI21" s="111" t="n"/>
      <c r="HJ21" s="111" t="n"/>
      <c r="HK21" s="111" t="n"/>
      <c r="HL21" s="111" t="n"/>
      <c r="HM21" s="111" t="n"/>
      <c r="HN21" s="111" t="n"/>
      <c r="HO21" s="111" t="n"/>
      <c r="HP21" s="111" t="n"/>
      <c r="HQ21" s="111" t="n"/>
      <c r="HR21" s="111" t="n"/>
      <c r="HS21" s="111" t="n"/>
      <c r="HT21" s="111" t="n"/>
      <c r="HU21" s="111" t="n"/>
      <c r="HV21" s="111" t="n"/>
      <c r="HW21" s="111" t="n"/>
      <c r="HX21" s="111" t="n"/>
      <c r="HY21" s="111" t="n"/>
      <c r="HZ21" s="111" t="n"/>
      <c r="IA21" s="111" t="n"/>
      <c r="IB21" s="111" t="n"/>
      <c r="IC21" s="111" t="n"/>
      <c r="ID21" s="111" t="n"/>
      <c r="IE21" s="111" t="n"/>
      <c r="IF21" s="111" t="n"/>
      <c r="IG21" s="111" t="n"/>
      <c r="IH21" s="111" t="n"/>
      <c r="II21" s="111" t="n"/>
      <c r="IJ21" s="111" t="n"/>
      <c r="IK21" s="111" t="n"/>
      <c r="IL21" s="111" t="n"/>
      <c r="IM21" s="111" t="n"/>
      <c r="IN21" s="111" t="n"/>
      <c r="IO21" s="111" t="n"/>
      <c r="IP21" s="111" t="n"/>
      <c r="IQ21" s="111" t="n"/>
      <c r="IR21" s="111" t="n"/>
      <c r="IS21" s="111" t="n"/>
      <c r="IT21" s="111" t="n"/>
      <c r="IU21" s="111" t="n"/>
      <c r="IV21" s="111" t="n"/>
      <c r="IW21" s="111" t="n"/>
      <c r="IX21" s="111" t="n"/>
      <c r="IY21" s="111" t="n"/>
      <c r="IZ21" s="111" t="n"/>
      <c r="JA21" s="111" t="n"/>
      <c r="JB21" s="111" t="n"/>
      <c r="JC21" s="111" t="n"/>
      <c r="JD21" s="111" t="n"/>
      <c r="JE21" s="111" t="n"/>
      <c r="JF21" s="111" t="n"/>
      <c r="JG21" s="111" t="n"/>
      <c r="JH21" s="111" t="n"/>
      <c r="JI21" s="111" t="n"/>
      <c r="JJ21" s="111" t="n"/>
      <c r="JK21" s="111" t="n"/>
      <c r="JL21" s="111" t="n"/>
      <c r="JM21" s="111" t="n"/>
      <c r="JN21" s="111" t="n"/>
      <c r="JO21" s="111" t="n"/>
      <c r="JP21" s="111" t="n"/>
      <c r="JQ21" s="111" t="n"/>
      <c r="JR21" s="111" t="n"/>
      <c r="JS21" s="111" t="n"/>
      <c r="JT21" s="111" t="n"/>
      <c r="JU21" s="111" t="n"/>
      <c r="JV21" s="111" t="n"/>
      <c r="JW21" s="111" t="n"/>
      <c r="JX21" s="111" t="n"/>
      <c r="JY21" s="111" t="n"/>
      <c r="JZ21" s="111" t="n"/>
      <c r="KA21" s="111" t="n"/>
      <c r="KB21" s="111" t="n"/>
      <c r="KC21" s="111" t="n"/>
      <c r="KD21" s="111" t="n"/>
      <c r="KE21" s="111" t="n"/>
      <c r="KF21" s="111" t="n"/>
      <c r="KG21" s="111" t="n"/>
      <c r="KH21" s="111" t="n"/>
      <c r="KI21" s="111" t="n"/>
      <c r="KJ21" s="111" t="n"/>
      <c r="KK21" s="111" t="n"/>
      <c r="KL21" s="111" t="n"/>
      <c r="KM21" s="111" t="n"/>
      <c r="KN21" s="111" t="n"/>
      <c r="KO21" s="111" t="n"/>
      <c r="KP21" s="111" t="n"/>
      <c r="KQ21" s="111" t="n"/>
      <c r="KR21" s="111" t="n"/>
      <c r="KS21" s="111" t="n"/>
      <c r="KT21" s="111" t="n"/>
      <c r="KU21" s="111" t="n"/>
      <c r="KV21" s="111" t="n"/>
      <c r="KW21" s="111" t="n"/>
      <c r="KX21" s="111" t="n"/>
      <c r="KY21" s="111" t="n"/>
      <c r="KZ21" s="111" t="n"/>
      <c r="LA21" s="111" t="n"/>
      <c r="LB21" s="111" t="n"/>
      <c r="LC21" s="111" t="n"/>
      <c r="LD21" s="111" t="n"/>
      <c r="LE21" s="111" t="n"/>
      <c r="LF21" s="111" t="n"/>
      <c r="LG21" s="111" t="n"/>
      <c r="LH21" s="111" t="n"/>
      <c r="LI21" s="111" t="n"/>
      <c r="LJ21" s="111" t="n"/>
      <c r="LK21" s="111" t="n"/>
      <c r="LL21" s="111" t="n"/>
      <c r="LM21" s="111" t="n"/>
      <c r="LN21" s="111" t="n"/>
      <c r="LO21" s="111" t="n"/>
      <c r="LP21" s="111" t="n"/>
      <c r="LQ21" s="111" t="n"/>
      <c r="LR21" s="111" t="n"/>
      <c r="LS21" s="111" t="n"/>
      <c r="LT21" s="111" t="n"/>
      <c r="LU21" s="111" t="n"/>
      <c r="LV21" s="111" t="n"/>
      <c r="LW21" s="111" t="n"/>
      <c r="LX21" s="111" t="n"/>
      <c r="LY21" s="111" t="n"/>
      <c r="LZ21" s="111" t="n"/>
      <c r="MA21" s="111" t="n"/>
      <c r="MB21" s="111" t="n"/>
      <c r="MC21" s="111" t="n"/>
      <c r="MD21" s="111" t="n"/>
      <c r="ME21" s="111" t="n"/>
      <c r="MF21" s="111" t="n"/>
      <c r="MG21" s="111" t="n"/>
      <c r="MH21" s="111" t="n"/>
      <c r="MI21" s="111" t="n"/>
      <c r="MJ21" s="111" t="n"/>
      <c r="MK21" s="111" t="n"/>
      <c r="ML21" s="111" t="n"/>
      <c r="MM21" s="111" t="n"/>
      <c r="MN21" s="111" t="n"/>
      <c r="MO21" s="111" t="n"/>
      <c r="MP21" s="111" t="n"/>
      <c r="MQ21" s="111" t="n"/>
      <c r="MR21" s="111" t="n"/>
      <c r="MS21" s="111" t="n"/>
      <c r="MT21" s="111" t="n"/>
      <c r="MU21" s="111" t="n"/>
      <c r="MV21" s="111" t="n"/>
      <c r="MW21" s="111" t="n"/>
      <c r="MX21" s="111" t="n"/>
      <c r="MY21" s="111" t="n"/>
      <c r="MZ21" s="111" t="n"/>
      <c r="NA21" s="111" t="n"/>
      <c r="NB21" s="111" t="n"/>
      <c r="NC21" s="111" t="n"/>
      <c r="ND21" s="111" t="n"/>
      <c r="NE21" s="111" t="n"/>
      <c r="NF21" s="111" t="n"/>
      <c r="NG21" s="111" t="n"/>
      <c r="NH21" s="111" t="n"/>
      <c r="NI21" s="111" t="n"/>
      <c r="NJ21" s="111" t="n"/>
      <c r="NK21" s="111" t="n"/>
      <c r="NL21" s="111" t="n"/>
      <c r="NM21" s="111" t="n"/>
      <c r="NN21" s="111" t="n"/>
      <c r="NO21" s="111" t="n"/>
      <c r="NP21" s="111" t="n"/>
      <c r="NQ21" s="111" t="n"/>
      <c r="NR21" s="111" t="n"/>
      <c r="NS21" s="111" t="n"/>
      <c r="NT21" s="111" t="n"/>
      <c r="NU21" s="111" t="n"/>
      <c r="NV21" s="111" t="n"/>
      <c r="NW21" s="111" t="n"/>
      <c r="NX21" s="111" t="n"/>
      <c r="NY21" s="111" t="n"/>
      <c r="NZ21" s="111" t="n"/>
      <c r="OA21" s="111" t="n"/>
      <c r="OB21" s="111" t="n"/>
      <c r="OC21" s="111" t="n"/>
      <c r="OD21" s="111" t="n"/>
      <c r="OE21" s="111" t="n"/>
      <c r="OF21" s="111" t="n"/>
      <c r="OG21" s="111" t="n"/>
      <c r="OH21" s="111" t="n"/>
      <c r="OI21" s="111" t="n"/>
      <c r="OJ21" s="111" t="n"/>
      <c r="OK21" s="111" t="n"/>
      <c r="OL21" s="111" t="n"/>
      <c r="OM21" s="111" t="n"/>
      <c r="ON21" s="111" t="n"/>
      <c r="OO21" s="111" t="n"/>
      <c r="OP21" s="111" t="n"/>
      <c r="OQ21" s="111" t="n"/>
      <c r="OR21" s="111" t="n"/>
      <c r="OS21" s="111" t="n"/>
      <c r="OT21" s="111" t="n"/>
      <c r="OU21" s="111" t="n"/>
      <c r="OV21" s="111" t="n"/>
      <c r="OW21" s="111" t="n"/>
      <c r="OX21" s="111" t="n"/>
      <c r="OY21" s="111" t="n"/>
      <c r="OZ21" s="111" t="n"/>
      <c r="PA21" s="111" t="n"/>
      <c r="PB21" s="111" t="n"/>
      <c r="PC21" s="111" t="n"/>
      <c r="PD21" s="111" t="n"/>
      <c r="PE21" s="111" t="n"/>
      <c r="PF21" s="111" t="n"/>
      <c r="PG21" s="111" t="n"/>
      <c r="PH21" s="111" t="n"/>
      <c r="PI21" s="111" t="n"/>
      <c r="PJ21" s="111" t="n"/>
      <c r="PK21" s="111" t="n"/>
      <c r="PL21" s="111" t="n"/>
      <c r="PM21" s="111" t="n"/>
      <c r="PN21" s="111" t="n"/>
      <c r="PO21" s="111" t="n"/>
      <c r="PP21" s="111" t="n"/>
      <c r="PQ21" s="111" t="n"/>
      <c r="PR21" s="111" t="n"/>
      <c r="PS21" s="111" t="n"/>
      <c r="PT21" s="111" t="n"/>
      <c r="PU21" s="111" t="n"/>
      <c r="PV21" s="111" t="n"/>
      <c r="PW21" s="111" t="n"/>
      <c r="PX21" s="111" t="n"/>
      <c r="PY21" s="111" t="n"/>
      <c r="PZ21" s="111" t="n"/>
      <c r="QA21" s="111" t="n"/>
      <c r="QB21" s="111" t="n"/>
      <c r="QC21" s="111" t="n"/>
      <c r="QD21" s="111" t="n"/>
      <c r="QE21" s="111" t="n"/>
      <c r="QF21" s="111" t="n"/>
      <c r="QG21" s="111" t="n"/>
      <c r="QH21" s="111" t="n"/>
      <c r="QI21" s="111" t="n"/>
      <c r="QJ21" s="111" t="n"/>
      <c r="QK21" s="111" t="n"/>
      <c r="QL21" s="111" t="n"/>
      <c r="QM21" s="111" t="n"/>
      <c r="QN21" s="111" t="n"/>
      <c r="QO21" s="111" t="n"/>
      <c r="QP21" s="111" t="n"/>
      <c r="QQ21" s="111" t="n"/>
      <c r="QR21" s="111" t="n"/>
      <c r="QS21" s="111" t="n"/>
      <c r="QT21" s="111" t="n"/>
      <c r="QU21" s="111" t="n"/>
      <c r="QV21" s="111" t="n"/>
      <c r="QW21" s="111" t="n"/>
      <c r="QX21" s="111" t="n"/>
      <c r="QY21" s="111" t="n"/>
      <c r="QZ21" s="111" t="n"/>
      <c r="RA21" s="111" t="n"/>
      <c r="RB21" s="111" t="n"/>
      <c r="RC21" s="111" t="n"/>
      <c r="RD21" s="111" t="n"/>
      <c r="RE21" s="111" t="n"/>
      <c r="RF21" s="111" t="n"/>
      <c r="RG21" s="111" t="n"/>
      <c r="RH21" s="111" t="n"/>
      <c r="RI21" s="111" t="n"/>
      <c r="RJ21" s="111" t="n"/>
      <c r="RK21" s="111" t="n"/>
      <c r="RL21" s="111" t="n"/>
      <c r="RM21" s="111" t="n"/>
      <c r="RN21" s="111" t="n"/>
      <c r="RO21" s="111" t="n"/>
      <c r="RP21" s="111" t="n"/>
      <c r="RQ21" s="111" t="n"/>
      <c r="RR21" s="111" t="n"/>
      <c r="RS21" s="111" t="n"/>
      <c r="RT21" s="111" t="n"/>
      <c r="RU21" s="111" t="n"/>
      <c r="RV21" s="111" t="n"/>
      <c r="RW21" s="111" t="n"/>
      <c r="RX21" s="111" t="n"/>
      <c r="RY21" s="111" t="n"/>
      <c r="RZ21" s="111" t="n"/>
      <c r="SA21" s="111" t="n"/>
      <c r="SB21" s="111" t="n"/>
      <c r="SC21" s="111" t="n"/>
      <c r="SD21" s="111" t="n"/>
      <c r="SE21" s="111" t="n"/>
      <c r="SF21" s="111" t="n"/>
      <c r="SG21" s="111" t="n"/>
      <c r="SH21" s="111" t="n"/>
      <c r="SI21" s="111" t="n"/>
      <c r="SJ21" s="111" t="n"/>
      <c r="SK21" s="111" t="n"/>
    </row>
    <row r="22" ht="13.15" customFormat="1" customHeight="1" s="137">
      <c r="A22" s="177" t="n">
        <v>9</v>
      </c>
      <c r="B22" s="154" t="inlineStr">
        <is>
          <t xml:space="preserve">Pour Concrete </t>
        </is>
      </c>
      <c r="C22" s="144" t="n"/>
      <c r="D22" s="177" t="n"/>
      <c r="E22" s="177" t="n"/>
      <c r="F22" s="177" t="n"/>
      <c r="G22" s="263" t="n">
        <v>44792</v>
      </c>
      <c r="H22" s="262">
        <f>WORKDAY(G22,I22-1,holidays)</f>
        <v/>
      </c>
      <c r="I22" s="149" t="n">
        <v>1</v>
      </c>
      <c r="J22" s="150" t="n">
        <v>0</v>
      </c>
      <c r="K22" s="151">
        <f>IF(OR(G22=0,H22=0),0,H22-G22+1)</f>
        <v/>
      </c>
      <c r="L22" s="152">
        <f>MIN(K22,WORKDAY(G22,ROUNDDOWN(J22*I22,0),holidays)-G22)</f>
        <v/>
      </c>
      <c r="M22" s="151">
        <f>K22-L22</f>
        <v/>
      </c>
      <c r="N22" s="180" t="n"/>
      <c r="P22" s="111" t="n"/>
      <c r="Q22" s="111"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c r="AJ22" s="111" t="n"/>
      <c r="AK22" s="111" t="n"/>
      <c r="AL22" s="111" t="n"/>
      <c r="AM22" s="111" t="n"/>
      <c r="AN22" s="111" t="n"/>
      <c r="AO22" s="111" t="n"/>
      <c r="AP22" s="111" t="n"/>
      <c r="AQ22" s="111" t="n"/>
      <c r="AR22" s="111" t="n"/>
      <c r="AS22" s="111" t="n"/>
      <c r="AT22" s="111" t="n"/>
      <c r="AU22" s="111" t="n"/>
      <c r="AV22" s="111" t="n"/>
      <c r="AW22" s="111" t="n"/>
      <c r="AX22" s="111" t="n"/>
      <c r="AY22" s="111" t="n"/>
      <c r="AZ22" s="111" t="n"/>
      <c r="BA22" s="111" t="n"/>
      <c r="BB22" s="111" t="n"/>
      <c r="BC22" s="111" t="n"/>
      <c r="BD22" s="111" t="n"/>
      <c r="BE22" s="111" t="n"/>
      <c r="BF22" s="111" t="n"/>
      <c r="BG22" s="111" t="n"/>
      <c r="BH22" s="111" t="n"/>
      <c r="BI22" s="111" t="n"/>
      <c r="BJ22" s="111" t="n"/>
      <c r="BK22" s="111" t="n"/>
      <c r="BL22" s="111" t="n"/>
      <c r="BM22" s="111" t="n"/>
      <c r="BN22" s="111" t="n"/>
      <c r="BO22" s="111" t="n"/>
      <c r="BP22" s="111" t="n"/>
      <c r="BQ22" s="111" t="n"/>
      <c r="BR22" s="111" t="n"/>
      <c r="BS22" s="111" t="n"/>
      <c r="BT22" s="111" t="n"/>
      <c r="BU22" s="111" t="n"/>
      <c r="BV22" s="111" t="n"/>
      <c r="BW22" s="111" t="n"/>
      <c r="BX22" s="111" t="n"/>
      <c r="BY22" s="111" t="n"/>
      <c r="BZ22" s="111" t="n"/>
      <c r="CA22" s="111" t="n"/>
      <c r="CB22" s="111" t="n"/>
      <c r="CC22" s="111" t="n"/>
      <c r="CD22" s="111" t="n"/>
      <c r="CE22" s="111" t="n"/>
      <c r="CF22" s="111" t="n"/>
      <c r="CG22" s="111" t="n"/>
      <c r="CH22" s="111" t="n"/>
      <c r="CI22" s="111" t="n"/>
      <c r="CJ22" s="111" t="n"/>
      <c r="CK22" s="111" t="n"/>
      <c r="CL22" s="111" t="n"/>
      <c r="CM22" s="111" t="n"/>
      <c r="CN22" s="111" t="n"/>
      <c r="CO22" s="111" t="n"/>
      <c r="CP22" s="111" t="n"/>
      <c r="CQ22" s="111" t="n"/>
      <c r="CR22" s="111" t="n"/>
      <c r="CS22" s="111" t="n"/>
      <c r="CT22" s="111" t="n"/>
      <c r="CU22" s="111" t="n"/>
      <c r="CV22" s="111" t="n"/>
      <c r="CW22" s="111" t="n"/>
      <c r="CX22" s="111" t="n"/>
      <c r="CY22" s="111" t="n"/>
      <c r="CZ22" s="111" t="n"/>
      <c r="DA22" s="111" t="n"/>
      <c r="DB22" s="111" t="n"/>
      <c r="DC22" s="111" t="n"/>
      <c r="DD22" s="111" t="n"/>
      <c r="DE22" s="111" t="n"/>
      <c r="DF22" s="111" t="n"/>
      <c r="DG22" s="111" t="n"/>
      <c r="DH22" s="111" t="n"/>
      <c r="DI22" s="111" t="n"/>
      <c r="DJ22" s="111" t="n"/>
      <c r="DK22" s="111" t="n"/>
      <c r="DL22" s="111" t="n"/>
      <c r="DM22" s="111" t="n"/>
      <c r="DN22" s="111" t="n"/>
      <c r="DO22" s="111" t="n"/>
      <c r="DP22" s="111" t="n"/>
      <c r="DQ22" s="111" t="n"/>
      <c r="DR22" s="111" t="n"/>
      <c r="DS22" s="111" t="n"/>
      <c r="DT22" s="111" t="n"/>
      <c r="DU22" s="111" t="n"/>
      <c r="DV22" s="111" t="n"/>
      <c r="DW22" s="111" t="n"/>
      <c r="DX22" s="111" t="n"/>
      <c r="DY22" s="111" t="n"/>
      <c r="DZ22" s="111" t="n"/>
      <c r="EA22" s="111" t="n"/>
      <c r="EB22" s="111" t="n"/>
      <c r="EC22" s="111" t="n"/>
      <c r="ED22" s="111" t="n"/>
      <c r="EE22" s="111" t="n"/>
      <c r="EF22" s="111" t="n"/>
      <c r="EG22" s="111" t="n"/>
      <c r="EH22" s="111" t="n"/>
      <c r="EI22" s="111" t="n"/>
      <c r="EJ22" s="111" t="n"/>
      <c r="EK22" s="111" t="n"/>
      <c r="EL22" s="111" t="n"/>
      <c r="EM22" s="111" t="n"/>
      <c r="EN22" s="111" t="n"/>
      <c r="EO22" s="111" t="n"/>
      <c r="EP22" s="111" t="n"/>
      <c r="EQ22" s="111" t="n"/>
      <c r="ER22" s="111" t="n"/>
      <c r="ES22" s="111" t="n"/>
      <c r="ET22" s="111" t="n"/>
      <c r="EU22" s="111" t="n"/>
      <c r="EV22" s="111" t="n"/>
      <c r="EW22" s="111" t="n"/>
      <c r="EX22" s="111" t="n"/>
      <c r="EY22" s="111" t="n"/>
      <c r="EZ22" s="111" t="n"/>
      <c r="FA22" s="111" t="n"/>
      <c r="FB22" s="111" t="n"/>
      <c r="FC22" s="111" t="n"/>
      <c r="FD22" s="111" t="n"/>
      <c r="FE22" s="111" t="n"/>
      <c r="FF22" s="111" t="n"/>
      <c r="FG22" s="111" t="n"/>
      <c r="FH22" s="111" t="n"/>
      <c r="FI22" s="111" t="n"/>
      <c r="FJ22" s="111" t="n"/>
      <c r="FK22" s="111" t="n"/>
      <c r="FL22" s="111" t="n"/>
      <c r="FM22" s="111" t="n"/>
      <c r="FN22" s="111" t="n"/>
      <c r="FO22" s="111" t="n"/>
      <c r="FP22" s="111" t="n"/>
      <c r="FQ22" s="111" t="n"/>
      <c r="FR22" s="111" t="n"/>
      <c r="FS22" s="111" t="n"/>
      <c r="FT22" s="111" t="n"/>
      <c r="FU22" s="111" t="n"/>
      <c r="FV22" s="111" t="n"/>
      <c r="FW22" s="111" t="n"/>
      <c r="FX22" s="111" t="n"/>
      <c r="FY22" s="111" t="n"/>
      <c r="FZ22" s="111" t="n"/>
      <c r="GA22" s="111" t="n"/>
      <c r="GB22" s="111" t="n"/>
      <c r="GC22" s="111" t="n"/>
      <c r="GD22" s="111" t="n"/>
      <c r="GE22" s="111" t="n"/>
      <c r="GF22" s="111" t="n"/>
      <c r="GG22" s="111" t="n"/>
      <c r="GH22" s="111" t="n"/>
      <c r="GI22" s="111" t="n"/>
      <c r="GJ22" s="111" t="n"/>
      <c r="GK22" s="111" t="n"/>
      <c r="GL22" s="111" t="n"/>
      <c r="GM22" s="111" t="n"/>
      <c r="GN22" s="111" t="n"/>
      <c r="GO22" s="111" t="n"/>
      <c r="GP22" s="111" t="n"/>
      <c r="GQ22" s="111" t="n"/>
      <c r="GR22" s="111" t="n"/>
      <c r="GS22" s="111" t="n"/>
      <c r="GT22" s="111" t="n"/>
      <c r="GU22" s="111" t="n"/>
      <c r="GV22" s="111" t="n"/>
      <c r="GW22" s="111" t="n"/>
      <c r="GX22" s="111" t="n"/>
      <c r="GY22" s="111" t="n"/>
      <c r="GZ22" s="111" t="n"/>
      <c r="HA22" s="111" t="n"/>
      <c r="HB22" s="111" t="n"/>
      <c r="HC22" s="111" t="n"/>
      <c r="HD22" s="111" t="n"/>
      <c r="HE22" s="111" t="n"/>
      <c r="HF22" s="111" t="n"/>
      <c r="HG22" s="111" t="n"/>
      <c r="HH22" s="111" t="n"/>
      <c r="HI22" s="111" t="n"/>
      <c r="HJ22" s="111" t="n"/>
      <c r="HK22" s="111" t="n"/>
      <c r="HL22" s="111" t="n"/>
      <c r="HM22" s="111" t="n"/>
      <c r="HN22" s="111" t="n"/>
      <c r="HO22" s="111" t="n"/>
      <c r="HP22" s="111" t="n"/>
      <c r="HQ22" s="111" t="n"/>
      <c r="HR22" s="111" t="n"/>
      <c r="HS22" s="111" t="n"/>
      <c r="HT22" s="111" t="n"/>
      <c r="HU22" s="111" t="n"/>
      <c r="HV22" s="111" t="n"/>
      <c r="HW22" s="111" t="n"/>
      <c r="HX22" s="111" t="n"/>
      <c r="HY22" s="111" t="n"/>
      <c r="HZ22" s="111" t="n"/>
      <c r="IA22" s="111" t="n"/>
      <c r="IB22" s="111" t="n"/>
      <c r="IC22" s="111" t="n"/>
      <c r="ID22" s="111" t="n"/>
      <c r="IE22" s="111" t="n"/>
      <c r="IF22" s="111" t="n"/>
      <c r="IG22" s="111" t="n"/>
      <c r="IH22" s="111" t="n"/>
      <c r="II22" s="111" t="n"/>
      <c r="IJ22" s="111" t="n"/>
      <c r="IK22" s="111" t="n"/>
      <c r="IL22" s="111" t="n"/>
      <c r="IM22" s="111" t="n"/>
      <c r="IN22" s="111" t="n"/>
      <c r="IO22" s="111" t="n"/>
      <c r="IP22" s="111" t="n"/>
      <c r="IQ22" s="111" t="n"/>
      <c r="IR22" s="111" t="n"/>
      <c r="IS22" s="111" t="n"/>
      <c r="IT22" s="111" t="n"/>
      <c r="IU22" s="111" t="n"/>
      <c r="IV22" s="111" t="n"/>
      <c r="IW22" s="111" t="n"/>
      <c r="IX22" s="111" t="n"/>
      <c r="IY22" s="111" t="n"/>
      <c r="IZ22" s="111" t="n"/>
      <c r="JA22" s="111" t="n"/>
      <c r="JB22" s="111" t="n"/>
      <c r="JC22" s="111" t="n"/>
      <c r="JD22" s="111" t="n"/>
      <c r="JE22" s="111" t="n"/>
      <c r="JF22" s="111" t="n"/>
      <c r="JG22" s="111" t="n"/>
      <c r="JH22" s="111" t="n"/>
      <c r="JI22" s="111" t="n"/>
      <c r="JJ22" s="111" t="n"/>
      <c r="JK22" s="111" t="n"/>
      <c r="JL22" s="111" t="n"/>
      <c r="JM22" s="111" t="n"/>
      <c r="JN22" s="111" t="n"/>
      <c r="JO22" s="111" t="n"/>
      <c r="JP22" s="111" t="n"/>
      <c r="JQ22" s="111" t="n"/>
      <c r="JR22" s="111" t="n"/>
      <c r="JS22" s="111" t="n"/>
      <c r="JT22" s="111" t="n"/>
      <c r="JU22" s="111" t="n"/>
      <c r="JV22" s="111" t="n"/>
      <c r="JW22" s="111" t="n"/>
      <c r="JX22" s="111" t="n"/>
      <c r="JY22" s="111" t="n"/>
      <c r="JZ22" s="111" t="n"/>
      <c r="KA22" s="111" t="n"/>
      <c r="KB22" s="111" t="n"/>
      <c r="KC22" s="111" t="n"/>
      <c r="KD22" s="111" t="n"/>
      <c r="KE22" s="111" t="n"/>
      <c r="KF22" s="111" t="n"/>
      <c r="KG22" s="111" t="n"/>
      <c r="KH22" s="111" t="n"/>
      <c r="KI22" s="111" t="n"/>
      <c r="KJ22" s="111" t="n"/>
      <c r="KK22" s="111" t="n"/>
      <c r="KL22" s="111" t="n"/>
      <c r="KM22" s="111" t="n"/>
      <c r="KN22" s="111" t="n"/>
      <c r="KO22" s="111" t="n"/>
      <c r="KP22" s="111" t="n"/>
      <c r="KQ22" s="111" t="n"/>
      <c r="KR22" s="111" t="n"/>
      <c r="KS22" s="111" t="n"/>
      <c r="KT22" s="111" t="n"/>
      <c r="KU22" s="111" t="n"/>
      <c r="KV22" s="111" t="n"/>
      <c r="KW22" s="111" t="n"/>
      <c r="KX22" s="111" t="n"/>
      <c r="KY22" s="111" t="n"/>
      <c r="KZ22" s="111" t="n"/>
      <c r="LA22" s="111" t="n"/>
      <c r="LB22" s="111" t="n"/>
      <c r="LC22" s="111" t="n"/>
      <c r="LD22" s="111" t="n"/>
      <c r="LE22" s="111" t="n"/>
      <c r="LF22" s="111" t="n"/>
      <c r="LG22" s="111" t="n"/>
      <c r="LH22" s="111" t="n"/>
      <c r="LI22" s="111" t="n"/>
      <c r="LJ22" s="111" t="n"/>
      <c r="LK22" s="111" t="n"/>
      <c r="LL22" s="111" t="n"/>
      <c r="LM22" s="111" t="n"/>
      <c r="LN22" s="111" t="n"/>
      <c r="LO22" s="111" t="n"/>
      <c r="LP22" s="111" t="n"/>
      <c r="LQ22" s="111" t="n"/>
      <c r="LR22" s="111" t="n"/>
      <c r="LS22" s="111" t="n"/>
      <c r="LT22" s="111" t="n"/>
      <c r="LU22" s="111" t="n"/>
      <c r="LV22" s="111" t="n"/>
      <c r="LW22" s="111" t="n"/>
      <c r="LX22" s="111" t="n"/>
      <c r="LY22" s="111" t="n"/>
      <c r="LZ22" s="111" t="n"/>
      <c r="MA22" s="111" t="n"/>
      <c r="MB22" s="111" t="n"/>
      <c r="MC22" s="111" t="n"/>
      <c r="MD22" s="111" t="n"/>
      <c r="ME22" s="111" t="n"/>
      <c r="MF22" s="111" t="n"/>
      <c r="MG22" s="111" t="n"/>
      <c r="MH22" s="111" t="n"/>
      <c r="MI22" s="111" t="n"/>
      <c r="MJ22" s="111" t="n"/>
      <c r="MK22" s="111" t="n"/>
      <c r="ML22" s="111" t="n"/>
      <c r="MM22" s="111" t="n"/>
      <c r="MN22" s="111" t="n"/>
      <c r="MO22" s="111" t="n"/>
      <c r="MP22" s="111" t="n"/>
      <c r="MQ22" s="111" t="n"/>
      <c r="MR22" s="111" t="n"/>
      <c r="MS22" s="111" t="n"/>
      <c r="MT22" s="111" t="n"/>
      <c r="MU22" s="111" t="n"/>
      <c r="MV22" s="111" t="n"/>
      <c r="MW22" s="111" t="n"/>
      <c r="MX22" s="111" t="n"/>
      <c r="MY22" s="111" t="n"/>
      <c r="MZ22" s="111" t="n"/>
      <c r="NA22" s="111" t="n"/>
      <c r="NB22" s="111" t="n"/>
      <c r="NC22" s="111" t="n"/>
      <c r="ND22" s="111" t="n"/>
      <c r="NE22" s="111" t="n"/>
      <c r="NF22" s="111" t="n"/>
      <c r="NG22" s="111" t="n"/>
      <c r="NH22" s="111" t="n"/>
      <c r="NI22" s="111" t="n"/>
      <c r="NJ22" s="111" t="n"/>
      <c r="NK22" s="111" t="n"/>
      <c r="NL22" s="111" t="n"/>
      <c r="NM22" s="111" t="n"/>
      <c r="NN22" s="111" t="n"/>
      <c r="NO22" s="111" t="n"/>
      <c r="NP22" s="111" t="n"/>
      <c r="NQ22" s="111" t="n"/>
      <c r="NR22" s="111" t="n"/>
      <c r="NS22" s="111" t="n"/>
      <c r="NT22" s="111" t="n"/>
      <c r="NU22" s="111" t="n"/>
      <c r="NV22" s="111" t="n"/>
      <c r="NW22" s="111" t="n"/>
      <c r="NX22" s="111" t="n"/>
      <c r="NY22" s="111" t="n"/>
      <c r="NZ22" s="111" t="n"/>
      <c r="OA22" s="111" t="n"/>
      <c r="OB22" s="111" t="n"/>
      <c r="OC22" s="111" t="n"/>
      <c r="OD22" s="111" t="n"/>
      <c r="OE22" s="111" t="n"/>
      <c r="OF22" s="111" t="n"/>
      <c r="OG22" s="111" t="n"/>
      <c r="OH22" s="111" t="n"/>
      <c r="OI22" s="111" t="n"/>
      <c r="OJ22" s="111" t="n"/>
      <c r="OK22" s="111" t="n"/>
      <c r="OL22" s="111" t="n"/>
      <c r="OM22" s="111" t="n"/>
      <c r="ON22" s="111" t="n"/>
      <c r="OO22" s="111" t="n"/>
      <c r="OP22" s="111" t="n"/>
      <c r="OQ22" s="111" t="n"/>
      <c r="OR22" s="111" t="n"/>
      <c r="OS22" s="111" t="n"/>
      <c r="OT22" s="111" t="n"/>
      <c r="OU22" s="111" t="n"/>
      <c r="OV22" s="111" t="n"/>
      <c r="OW22" s="111" t="n"/>
      <c r="OX22" s="111" t="n"/>
      <c r="OY22" s="111" t="n"/>
      <c r="OZ22" s="111" t="n"/>
      <c r="PA22" s="111" t="n"/>
      <c r="PB22" s="111" t="n"/>
      <c r="PC22" s="111" t="n"/>
      <c r="PD22" s="111" t="n"/>
      <c r="PE22" s="111" t="n"/>
      <c r="PF22" s="111" t="n"/>
      <c r="PG22" s="111" t="n"/>
      <c r="PH22" s="111" t="n"/>
      <c r="PI22" s="111" t="n"/>
      <c r="PJ22" s="111" t="n"/>
      <c r="PK22" s="111" t="n"/>
      <c r="PL22" s="111" t="n"/>
      <c r="PM22" s="111" t="n"/>
      <c r="PN22" s="111" t="n"/>
      <c r="PO22" s="111" t="n"/>
      <c r="PP22" s="111" t="n"/>
      <c r="PQ22" s="111" t="n"/>
      <c r="PR22" s="111" t="n"/>
      <c r="PS22" s="111" t="n"/>
      <c r="PT22" s="111" t="n"/>
      <c r="PU22" s="111" t="n"/>
      <c r="PV22" s="111" t="n"/>
      <c r="PW22" s="111" t="n"/>
      <c r="PX22" s="111" t="n"/>
      <c r="PY22" s="111" t="n"/>
      <c r="PZ22" s="111" t="n"/>
      <c r="QA22" s="111" t="n"/>
      <c r="QB22" s="111" t="n"/>
      <c r="QC22" s="111" t="n"/>
      <c r="QD22" s="111" t="n"/>
      <c r="QE22" s="111" t="n"/>
      <c r="QF22" s="111" t="n"/>
      <c r="QG22" s="111" t="n"/>
      <c r="QH22" s="111" t="n"/>
      <c r="QI22" s="111" t="n"/>
      <c r="QJ22" s="111" t="n"/>
      <c r="QK22" s="111" t="n"/>
      <c r="QL22" s="111" t="n"/>
      <c r="QM22" s="111" t="n"/>
      <c r="QN22" s="111" t="n"/>
      <c r="QO22" s="111" t="n"/>
      <c r="QP22" s="111" t="n"/>
      <c r="QQ22" s="111" t="n"/>
      <c r="QR22" s="111" t="n"/>
      <c r="QS22" s="111" t="n"/>
      <c r="QT22" s="111" t="n"/>
      <c r="QU22" s="111" t="n"/>
      <c r="QV22" s="111" t="n"/>
      <c r="QW22" s="111" t="n"/>
      <c r="QX22" s="111" t="n"/>
      <c r="QY22" s="111" t="n"/>
      <c r="QZ22" s="111" t="n"/>
      <c r="RA22" s="111" t="n"/>
      <c r="RB22" s="111" t="n"/>
      <c r="RC22" s="111" t="n"/>
      <c r="RD22" s="111" t="n"/>
      <c r="RE22" s="111" t="n"/>
      <c r="RF22" s="111" t="n"/>
      <c r="RG22" s="111" t="n"/>
      <c r="RH22" s="111" t="n"/>
      <c r="RI22" s="111" t="n"/>
      <c r="RJ22" s="111" t="n"/>
      <c r="RK22" s="111" t="n"/>
      <c r="RL22" s="111" t="n"/>
      <c r="RM22" s="111" t="n"/>
      <c r="RN22" s="111" t="n"/>
      <c r="RO22" s="111" t="n"/>
      <c r="RP22" s="111" t="n"/>
      <c r="RQ22" s="111" t="n"/>
      <c r="RR22" s="111" t="n"/>
      <c r="RS22" s="111" t="n"/>
      <c r="RT22" s="111" t="n"/>
      <c r="RU22" s="111" t="n"/>
      <c r="RV22" s="111" t="n"/>
      <c r="RW22" s="111" t="n"/>
      <c r="RX22" s="111" t="n"/>
      <c r="RY22" s="111" t="n"/>
      <c r="RZ22" s="111" t="n"/>
      <c r="SA22" s="111" t="n"/>
      <c r="SB22" s="111" t="n"/>
      <c r="SC22" s="111" t="n"/>
      <c r="SD22" s="111" t="n"/>
      <c r="SE22" s="111" t="n"/>
      <c r="SF22" s="111" t="n"/>
      <c r="SG22" s="111" t="n"/>
      <c r="SH22" s="111" t="n"/>
      <c r="SI22" s="111" t="n"/>
      <c r="SJ22" s="111" t="n"/>
      <c r="SK22" s="111" t="n"/>
    </row>
    <row r="23" ht="15" customFormat="1" customHeight="1" s="137">
      <c r="A23" s="177" t="n">
        <v>10</v>
      </c>
      <c r="B23" s="154" t="inlineStr">
        <is>
          <t xml:space="preserve">Wall Layout &amp; Framing </t>
        </is>
      </c>
      <c r="C23" s="144" t="n"/>
      <c r="D23" s="177" t="n"/>
      <c r="E23" s="177" t="n"/>
      <c r="F23" s="177" t="n"/>
      <c r="G23" s="263" t="n">
        <v>44795</v>
      </c>
      <c r="H23" s="262">
        <f>WORKDAY(G23,I23-1,holidays)</f>
        <v/>
      </c>
      <c r="I23" s="149" t="n">
        <v>2</v>
      </c>
      <c r="J23" s="150" t="n">
        <v>0</v>
      </c>
      <c r="K23" s="151">
        <f>IF(OR(G23=0,H23=0),0,H23-G23+1)</f>
        <v/>
      </c>
      <c r="L23" s="152">
        <f>MIN(K23,WORKDAY(G23,ROUNDDOWN(J23*I23,0),holidays)-G23)</f>
        <v/>
      </c>
      <c r="M23" s="151">
        <f>K23-L23</f>
        <v/>
      </c>
      <c r="N23" s="180"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111" t="n"/>
      <c r="BB23" s="111" t="n"/>
      <c r="BC23" s="111" t="n"/>
      <c r="BD23" s="111" t="n"/>
      <c r="BE23" s="111" t="n"/>
      <c r="BF23" s="111" t="n"/>
      <c r="BG23" s="111" t="n"/>
      <c r="BH23" s="111" t="n"/>
      <c r="BI23" s="111" t="n"/>
      <c r="BJ23" s="111" t="n"/>
      <c r="BK23" s="111" t="n"/>
      <c r="BL23" s="111" t="n"/>
      <c r="BM23" s="111" t="n"/>
      <c r="BN23" s="111" t="n"/>
      <c r="BO23" s="111" t="n"/>
      <c r="BP23" s="111" t="n"/>
      <c r="BQ23" s="111" t="n"/>
      <c r="BR23" s="111" t="n"/>
      <c r="BS23" s="111" t="n"/>
      <c r="BT23" s="111" t="n"/>
      <c r="BU23" s="111" t="n"/>
      <c r="BV23" s="111" t="n"/>
      <c r="BW23" s="111" t="n"/>
      <c r="BX23" s="111" t="n"/>
      <c r="BY23" s="111" t="n"/>
      <c r="BZ23" s="111" t="n"/>
      <c r="CA23" s="111" t="n"/>
      <c r="CB23" s="111" t="n"/>
      <c r="CC23" s="111" t="n"/>
      <c r="CD23" s="111" t="n"/>
      <c r="CE23" s="111" t="n"/>
      <c r="CF23" s="111" t="n"/>
      <c r="CG23" s="111" t="n"/>
      <c r="CH23" s="111" t="n"/>
      <c r="CI23" s="111" t="n"/>
      <c r="CJ23" s="111" t="n"/>
      <c r="CK23" s="111" t="n"/>
      <c r="CL23" s="111" t="n"/>
      <c r="CM23" s="111" t="n"/>
      <c r="CN23" s="111" t="n"/>
      <c r="CO23" s="111" t="n"/>
      <c r="CP23" s="111" t="n"/>
      <c r="CQ23" s="111" t="n"/>
      <c r="CR23" s="111" t="n"/>
      <c r="CS23" s="111" t="n"/>
      <c r="CT23" s="111" t="n"/>
      <c r="CU23" s="111" t="n"/>
      <c r="CV23" s="111" t="n"/>
      <c r="CW23" s="111" t="n"/>
      <c r="CX23" s="111" t="n"/>
      <c r="CY23" s="111" t="n"/>
      <c r="CZ23" s="111" t="n"/>
      <c r="DA23" s="111" t="n"/>
      <c r="DB23" s="111" t="n"/>
      <c r="DC23" s="111" t="n"/>
      <c r="DD23" s="111" t="n"/>
      <c r="DE23" s="111" t="n"/>
      <c r="DF23" s="111" t="n"/>
      <c r="DG23" s="111" t="n"/>
      <c r="DH23" s="111" t="n"/>
      <c r="DI23" s="111" t="n"/>
      <c r="DJ23" s="111" t="n"/>
      <c r="DK23" s="111" t="n"/>
      <c r="DL23" s="111" t="n"/>
      <c r="DM23" s="111" t="n"/>
      <c r="DN23" s="111" t="n"/>
      <c r="DO23" s="111" t="n"/>
      <c r="DP23" s="111" t="n"/>
      <c r="DQ23" s="111" t="n"/>
      <c r="DR23" s="111" t="n"/>
      <c r="DS23" s="111" t="n"/>
      <c r="DT23" s="111" t="n"/>
      <c r="DU23" s="111" t="n"/>
      <c r="DV23" s="111" t="n"/>
      <c r="DW23" s="111" t="n"/>
      <c r="DX23" s="111" t="n"/>
      <c r="DY23" s="111" t="n"/>
      <c r="DZ23" s="111" t="n"/>
      <c r="EA23" s="111" t="n"/>
      <c r="EB23" s="111" t="n"/>
      <c r="EC23" s="111" t="n"/>
      <c r="ED23" s="111" t="n"/>
      <c r="EE23" s="111" t="n"/>
      <c r="EF23" s="111" t="n"/>
      <c r="EG23" s="111" t="n"/>
      <c r="EH23" s="111" t="n"/>
      <c r="EI23" s="111" t="n"/>
      <c r="EJ23" s="111" t="n"/>
      <c r="EK23" s="111" t="n"/>
      <c r="EL23" s="111" t="n"/>
      <c r="EM23" s="111" t="n"/>
      <c r="EN23" s="111" t="n"/>
      <c r="EO23" s="111" t="n"/>
      <c r="EP23" s="111" t="n"/>
      <c r="EQ23" s="111" t="n"/>
      <c r="ER23" s="111" t="n"/>
      <c r="ES23" s="111" t="n"/>
      <c r="ET23" s="111" t="n"/>
      <c r="EU23" s="111" t="n"/>
      <c r="EV23" s="111" t="n"/>
      <c r="EW23" s="111" t="n"/>
      <c r="EX23" s="111" t="n"/>
      <c r="EY23" s="111" t="n"/>
      <c r="EZ23" s="111" t="n"/>
      <c r="FA23" s="111" t="n"/>
      <c r="FB23" s="111" t="n"/>
      <c r="FC23" s="111" t="n"/>
      <c r="FD23" s="111" t="n"/>
      <c r="FE23" s="111" t="n"/>
      <c r="FF23" s="111" t="n"/>
      <c r="FG23" s="111" t="n"/>
      <c r="FH23" s="111" t="n"/>
      <c r="FI23" s="111" t="n"/>
      <c r="FJ23" s="111" t="n"/>
      <c r="FK23" s="111" t="n"/>
      <c r="FL23" s="111" t="n"/>
      <c r="FM23" s="111" t="n"/>
      <c r="FN23" s="111" t="n"/>
      <c r="FO23" s="111" t="n"/>
      <c r="FP23" s="111" t="n"/>
      <c r="FQ23" s="111" t="n"/>
      <c r="FR23" s="111" t="n"/>
      <c r="FS23" s="111" t="n"/>
      <c r="FT23" s="111" t="n"/>
      <c r="FU23" s="111" t="n"/>
      <c r="FV23" s="111" t="n"/>
      <c r="FW23" s="111" t="n"/>
      <c r="FX23" s="111" t="n"/>
      <c r="FY23" s="111" t="n"/>
      <c r="FZ23" s="111" t="n"/>
      <c r="GA23" s="111" t="n"/>
      <c r="GB23" s="111" t="n"/>
      <c r="GC23" s="111" t="n"/>
      <c r="GD23" s="111" t="n"/>
      <c r="GE23" s="111" t="n"/>
      <c r="GF23" s="111" t="n"/>
      <c r="GG23" s="111" t="n"/>
      <c r="GH23" s="111" t="n"/>
      <c r="GI23" s="111" t="n"/>
      <c r="GJ23" s="111" t="n"/>
      <c r="GK23" s="111" t="n"/>
      <c r="GL23" s="111" t="n"/>
      <c r="GM23" s="111" t="n"/>
      <c r="GN23" s="111" t="n"/>
      <c r="GO23" s="111" t="n"/>
      <c r="GP23" s="111" t="n"/>
      <c r="GQ23" s="111" t="n"/>
      <c r="GR23" s="111" t="n"/>
      <c r="GS23" s="111" t="n"/>
      <c r="GT23" s="111" t="n"/>
      <c r="GU23" s="111" t="n"/>
      <c r="GV23" s="111" t="n"/>
      <c r="GW23" s="111" t="n"/>
      <c r="GX23" s="111" t="n"/>
      <c r="GY23" s="111" t="n"/>
      <c r="GZ23" s="111" t="n"/>
      <c r="HA23" s="111" t="n"/>
      <c r="HB23" s="111" t="n"/>
      <c r="HC23" s="111" t="n"/>
      <c r="HD23" s="111" t="n"/>
      <c r="HE23" s="111" t="n"/>
      <c r="HF23" s="111" t="n"/>
      <c r="HG23" s="111" t="n"/>
      <c r="HH23" s="111" t="n"/>
      <c r="HI23" s="111" t="n"/>
      <c r="HJ23" s="111" t="n"/>
      <c r="HK23" s="111" t="n"/>
      <c r="HL23" s="111" t="n"/>
      <c r="HM23" s="111" t="n"/>
      <c r="HN23" s="111" t="n"/>
      <c r="HO23" s="111" t="n"/>
      <c r="HP23" s="111" t="n"/>
      <c r="HQ23" s="111" t="n"/>
      <c r="HR23" s="111" t="n"/>
      <c r="HS23" s="111" t="n"/>
      <c r="HT23" s="111" t="n"/>
      <c r="HU23" s="111" t="n"/>
      <c r="HV23" s="111" t="n"/>
      <c r="HW23" s="111" t="n"/>
      <c r="HX23" s="111" t="n"/>
      <c r="HY23" s="111" t="n"/>
      <c r="HZ23" s="111" t="n"/>
      <c r="IA23" s="111" t="n"/>
      <c r="IB23" s="111" t="n"/>
      <c r="IC23" s="111" t="n"/>
      <c r="ID23" s="111" t="n"/>
      <c r="IE23" s="111" t="n"/>
      <c r="IF23" s="111" t="n"/>
      <c r="IG23" s="111" t="n"/>
      <c r="IH23" s="111" t="n"/>
      <c r="II23" s="111" t="n"/>
      <c r="IJ23" s="111" t="n"/>
      <c r="IK23" s="111" t="n"/>
      <c r="IL23" s="111" t="n"/>
      <c r="IM23" s="111" t="n"/>
      <c r="IN23" s="111" t="n"/>
      <c r="IO23" s="111" t="n"/>
      <c r="IP23" s="111" t="n"/>
      <c r="IQ23" s="111" t="n"/>
      <c r="IR23" s="111" t="n"/>
      <c r="IS23" s="111" t="n"/>
      <c r="IT23" s="111" t="n"/>
      <c r="IU23" s="111" t="n"/>
      <c r="IV23" s="111" t="n"/>
      <c r="IW23" s="111" t="n"/>
      <c r="IX23" s="111" t="n"/>
      <c r="IY23" s="111" t="n"/>
      <c r="IZ23" s="111" t="n"/>
      <c r="JA23" s="111" t="n"/>
      <c r="JB23" s="111" t="n"/>
      <c r="JC23" s="111" t="n"/>
      <c r="JD23" s="111" t="n"/>
      <c r="JE23" s="111" t="n"/>
      <c r="JF23" s="111" t="n"/>
      <c r="JG23" s="111" t="n"/>
      <c r="JH23" s="111" t="n"/>
      <c r="JI23" s="111" t="n"/>
      <c r="JJ23" s="111" t="n"/>
      <c r="JK23" s="111" t="n"/>
      <c r="JL23" s="111" t="n"/>
      <c r="JM23" s="111" t="n"/>
      <c r="JN23" s="111" t="n"/>
      <c r="JO23" s="111" t="n"/>
      <c r="JP23" s="111" t="n"/>
      <c r="JQ23" s="111" t="n"/>
      <c r="JR23" s="111" t="n"/>
      <c r="JS23" s="111" t="n"/>
      <c r="JT23" s="111" t="n"/>
      <c r="JU23" s="111" t="n"/>
      <c r="JV23" s="111" t="n"/>
      <c r="JW23" s="111" t="n"/>
      <c r="JX23" s="111" t="n"/>
      <c r="JY23" s="111" t="n"/>
      <c r="JZ23" s="111" t="n"/>
      <c r="KA23" s="111" t="n"/>
      <c r="KB23" s="111" t="n"/>
      <c r="KC23" s="111" t="n"/>
      <c r="KD23" s="111" t="n"/>
      <c r="KE23" s="111" t="n"/>
      <c r="KF23" s="111" t="n"/>
      <c r="KG23" s="111" t="n"/>
      <c r="KH23" s="111" t="n"/>
      <c r="KI23" s="111" t="n"/>
      <c r="KJ23" s="111" t="n"/>
      <c r="KK23" s="111" t="n"/>
      <c r="KL23" s="111" t="n"/>
      <c r="KM23" s="111" t="n"/>
      <c r="KN23" s="111" t="n"/>
      <c r="KO23" s="111" t="n"/>
      <c r="KP23" s="111" t="n"/>
      <c r="KQ23" s="111" t="n"/>
      <c r="KR23" s="111" t="n"/>
      <c r="KS23" s="111" t="n"/>
      <c r="KT23" s="111" t="n"/>
      <c r="KU23" s="111" t="n"/>
      <c r="KV23" s="111" t="n"/>
      <c r="KW23" s="111" t="n"/>
      <c r="KX23" s="111" t="n"/>
      <c r="KY23" s="111" t="n"/>
      <c r="KZ23" s="111" t="n"/>
      <c r="LA23" s="111" t="n"/>
      <c r="LB23" s="111" t="n"/>
      <c r="LC23" s="111" t="n"/>
      <c r="LD23" s="111" t="n"/>
      <c r="LE23" s="111" t="n"/>
      <c r="LF23" s="111" t="n"/>
      <c r="LG23" s="111" t="n"/>
      <c r="LH23" s="111" t="n"/>
      <c r="LI23" s="111" t="n"/>
      <c r="LJ23" s="111" t="n"/>
      <c r="LK23" s="111" t="n"/>
      <c r="LL23" s="111" t="n"/>
      <c r="LM23" s="111" t="n"/>
      <c r="LN23" s="111" t="n"/>
      <c r="LO23" s="111" t="n"/>
      <c r="LP23" s="111" t="n"/>
      <c r="LQ23" s="111" t="n"/>
      <c r="LR23" s="111" t="n"/>
      <c r="LS23" s="111" t="n"/>
      <c r="LT23" s="111" t="n"/>
      <c r="LU23" s="111" t="n"/>
      <c r="LV23" s="111" t="n"/>
      <c r="LW23" s="111" t="n"/>
      <c r="LX23" s="111" t="n"/>
      <c r="LY23" s="111" t="n"/>
      <c r="LZ23" s="111" t="n"/>
      <c r="MA23" s="111" t="n"/>
      <c r="MB23" s="111" t="n"/>
      <c r="MC23" s="111" t="n"/>
      <c r="MD23" s="111" t="n"/>
      <c r="ME23" s="111" t="n"/>
      <c r="MF23" s="111" t="n"/>
      <c r="MG23" s="111" t="n"/>
      <c r="MH23" s="111" t="n"/>
      <c r="MI23" s="111" t="n"/>
      <c r="MJ23" s="111" t="n"/>
      <c r="MK23" s="111" t="n"/>
      <c r="ML23" s="111" t="n"/>
      <c r="MM23" s="111" t="n"/>
      <c r="MN23" s="111" t="n"/>
      <c r="MO23" s="111" t="n"/>
      <c r="MP23" s="111" t="n"/>
      <c r="MQ23" s="111" t="n"/>
      <c r="MR23" s="111" t="n"/>
      <c r="MS23" s="111" t="n"/>
      <c r="MT23" s="111" t="n"/>
      <c r="MU23" s="111" t="n"/>
      <c r="MV23" s="111" t="n"/>
      <c r="MW23" s="111" t="n"/>
      <c r="MX23" s="111" t="n"/>
      <c r="MY23" s="111" t="n"/>
      <c r="MZ23" s="111" t="n"/>
      <c r="NA23" s="111" t="n"/>
      <c r="NB23" s="111" t="n"/>
      <c r="NC23" s="111" t="n"/>
      <c r="ND23" s="111" t="n"/>
      <c r="NE23" s="111" t="n"/>
      <c r="NF23" s="111" t="n"/>
      <c r="NG23" s="111" t="n"/>
      <c r="NH23" s="111" t="n"/>
      <c r="NI23" s="111" t="n"/>
      <c r="NJ23" s="111" t="n"/>
      <c r="NK23" s="111" t="n"/>
      <c r="NL23" s="111" t="n"/>
      <c r="NM23" s="111" t="n"/>
      <c r="NN23" s="111" t="n"/>
      <c r="NO23" s="111" t="n"/>
      <c r="NP23" s="111" t="n"/>
      <c r="NQ23" s="111" t="n"/>
      <c r="NR23" s="111" t="n"/>
      <c r="NS23" s="111" t="n"/>
      <c r="NT23" s="111" t="n"/>
      <c r="NU23" s="111" t="n"/>
      <c r="NV23" s="111" t="n"/>
      <c r="NW23" s="111" t="n"/>
      <c r="NX23" s="111" t="n"/>
      <c r="NY23" s="111" t="n"/>
      <c r="NZ23" s="111" t="n"/>
      <c r="OA23" s="111" t="n"/>
      <c r="OB23" s="111" t="n"/>
      <c r="OC23" s="111" t="n"/>
      <c r="OD23" s="111" t="n"/>
      <c r="OE23" s="111" t="n"/>
      <c r="OF23" s="111" t="n"/>
      <c r="OG23" s="111" t="n"/>
      <c r="OH23" s="111" t="n"/>
      <c r="OI23" s="111" t="n"/>
      <c r="OJ23" s="111" t="n"/>
      <c r="OK23" s="111" t="n"/>
      <c r="OL23" s="111" t="n"/>
      <c r="OM23" s="111" t="n"/>
      <c r="ON23" s="111" t="n"/>
      <c r="OO23" s="111" t="n"/>
      <c r="OP23" s="111" t="n"/>
      <c r="OQ23" s="111" t="n"/>
      <c r="OR23" s="111" t="n"/>
      <c r="OS23" s="111" t="n"/>
      <c r="OT23" s="111" t="n"/>
      <c r="OU23" s="111" t="n"/>
      <c r="OV23" s="111" t="n"/>
      <c r="OW23" s="111" t="n"/>
      <c r="OX23" s="111" t="n"/>
      <c r="OY23" s="111" t="n"/>
      <c r="OZ23" s="111" t="n"/>
      <c r="PA23" s="111" t="n"/>
      <c r="PB23" s="111" t="n"/>
      <c r="PC23" s="111" t="n"/>
      <c r="PD23" s="111" t="n"/>
      <c r="PE23" s="111" t="n"/>
      <c r="PF23" s="111" t="n"/>
      <c r="PG23" s="111" t="n"/>
      <c r="PH23" s="111" t="n"/>
      <c r="PI23" s="111" t="n"/>
      <c r="PJ23" s="111" t="n"/>
      <c r="PK23" s="111" t="n"/>
      <c r="PL23" s="111" t="n"/>
      <c r="PM23" s="111" t="n"/>
      <c r="PN23" s="111" t="n"/>
      <c r="PO23" s="111" t="n"/>
      <c r="PP23" s="111" t="n"/>
      <c r="PQ23" s="111" t="n"/>
      <c r="PR23" s="111" t="n"/>
      <c r="PS23" s="111" t="n"/>
      <c r="PT23" s="111" t="n"/>
      <c r="PU23" s="111" t="n"/>
      <c r="PV23" s="111" t="n"/>
      <c r="PW23" s="111" t="n"/>
      <c r="PX23" s="111" t="n"/>
      <c r="PY23" s="111" t="n"/>
      <c r="PZ23" s="111" t="n"/>
      <c r="QA23" s="111" t="n"/>
      <c r="QB23" s="111" t="n"/>
      <c r="QC23" s="111" t="n"/>
      <c r="QD23" s="111" t="n"/>
      <c r="QE23" s="111" t="n"/>
      <c r="QF23" s="111" t="n"/>
      <c r="QG23" s="111" t="n"/>
      <c r="QH23" s="111" t="n"/>
      <c r="QI23" s="111" t="n"/>
      <c r="QJ23" s="111" t="n"/>
      <c r="QK23" s="111" t="n"/>
      <c r="QL23" s="111" t="n"/>
      <c r="QM23" s="111" t="n"/>
      <c r="QN23" s="111" t="n"/>
      <c r="QO23" s="111" t="n"/>
      <c r="QP23" s="111" t="n"/>
      <c r="QQ23" s="111" t="n"/>
      <c r="QR23" s="111" t="n"/>
      <c r="QS23" s="111" t="n"/>
      <c r="QT23" s="111" t="n"/>
      <c r="QU23" s="111" t="n"/>
      <c r="QV23" s="111" t="n"/>
      <c r="QW23" s="111" t="n"/>
      <c r="QX23" s="111" t="n"/>
      <c r="QY23" s="111" t="n"/>
      <c r="QZ23" s="111" t="n"/>
      <c r="RA23" s="111" t="n"/>
      <c r="RB23" s="111" t="n"/>
      <c r="RC23" s="111" t="n"/>
      <c r="RD23" s="111" t="n"/>
      <c r="RE23" s="111" t="n"/>
      <c r="RF23" s="111" t="n"/>
      <c r="RG23" s="111" t="n"/>
      <c r="RH23" s="111" t="n"/>
      <c r="RI23" s="111" t="n"/>
      <c r="RJ23" s="111" t="n"/>
      <c r="RK23" s="111" t="n"/>
      <c r="RL23" s="111" t="n"/>
      <c r="RM23" s="111" t="n"/>
      <c r="RN23" s="111" t="n"/>
      <c r="RO23" s="111" t="n"/>
      <c r="RP23" s="111" t="n"/>
      <c r="RQ23" s="111" t="n"/>
      <c r="RR23" s="111" t="n"/>
      <c r="RS23" s="111" t="n"/>
      <c r="RT23" s="111" t="n"/>
      <c r="RU23" s="111" t="n"/>
      <c r="RV23" s="111" t="n"/>
      <c r="RW23" s="111" t="n"/>
      <c r="RX23" s="111" t="n"/>
      <c r="RY23" s="111" t="n"/>
      <c r="RZ23" s="111" t="n"/>
      <c r="SA23" s="111" t="n"/>
      <c r="SB23" s="111" t="n"/>
      <c r="SC23" s="111" t="n"/>
      <c r="SD23" s="111" t="n"/>
      <c r="SE23" s="111" t="n"/>
      <c r="SF23" s="111" t="n"/>
      <c r="SG23" s="111" t="n"/>
      <c r="SH23" s="111" t="n"/>
      <c r="SI23" s="111" t="n"/>
      <c r="SJ23" s="111" t="n"/>
      <c r="SK23" s="111" t="n"/>
    </row>
    <row r="24" ht="15" customFormat="1" customHeight="1" s="137">
      <c r="A24" s="177" t="n">
        <v>11</v>
      </c>
      <c r="B24" s="154" t="inlineStr">
        <is>
          <t xml:space="preserve">Plumbing Rough In </t>
        </is>
      </c>
      <c r="C24" s="144" t="n"/>
      <c r="D24" s="177" t="n"/>
      <c r="E24" s="177" t="n"/>
      <c r="F24" s="177" t="n"/>
      <c r="G24" s="263" t="n">
        <v>44797</v>
      </c>
      <c r="H24" s="262">
        <f>WORKDAY(G24,I24-1,holidays)</f>
        <v/>
      </c>
      <c r="I24" s="149" t="n">
        <v>3</v>
      </c>
      <c r="J24" s="150" t="n">
        <v>0</v>
      </c>
      <c r="K24" s="151">
        <f>IF(OR(G24=0,H24=0),0,H24-G24+1)</f>
        <v/>
      </c>
      <c r="L24" s="152">
        <f>MIN(K24,WORKDAY(G24,ROUNDDOWN(J24*I24,0),holidays)-G24)</f>
        <v/>
      </c>
      <c r="M24" s="151">
        <f>K24-L24</f>
        <v/>
      </c>
      <c r="N24" s="180" t="n"/>
      <c r="P24" s="111" t="n"/>
      <c r="Q24" s="111" t="n"/>
      <c r="R24" s="111" t="n"/>
      <c r="S24" s="111" t="n"/>
      <c r="T24" s="111" t="n"/>
      <c r="U24" s="111" t="n"/>
      <c r="V24" s="111" t="n"/>
      <c r="W24" s="111" t="n"/>
      <c r="X24" s="111" t="n"/>
      <c r="Y24" s="111" t="n"/>
      <c r="Z24" s="111" t="n"/>
      <c r="AA24" s="111" t="n"/>
      <c r="AB24" s="111" t="n"/>
      <c r="AC24" s="111" t="n"/>
      <c r="AD24" s="111" t="n"/>
      <c r="AE24" s="111" t="n"/>
      <c r="AF24" s="111" t="n"/>
      <c r="AG24" s="111" t="n"/>
      <c r="AH24" s="111" t="n"/>
      <c r="AI24" s="111" t="n"/>
      <c r="AJ24" s="111" t="n"/>
      <c r="AK24" s="111" t="n"/>
      <c r="AL24" s="111" t="n"/>
      <c r="AM24" s="111" t="n"/>
      <c r="AN24" s="111" t="n"/>
      <c r="AO24" s="111" t="n"/>
      <c r="AP24" s="111" t="n"/>
      <c r="AQ24" s="111" t="n"/>
      <c r="AR24" s="111" t="n"/>
      <c r="AS24" s="111" t="n"/>
      <c r="AT24" s="111" t="n"/>
      <c r="AU24" s="111" t="n"/>
      <c r="AV24" s="111" t="n"/>
      <c r="AW24" s="111" t="n"/>
      <c r="AX24" s="111" t="n"/>
      <c r="AY24" s="111" t="n"/>
      <c r="AZ24" s="111" t="n"/>
      <c r="BA24" s="111" t="n"/>
      <c r="BB24" s="111" t="n"/>
      <c r="BC24" s="111" t="n"/>
      <c r="BD24" s="111" t="n"/>
      <c r="BE24" s="111" t="n"/>
      <c r="BF24" s="111" t="n"/>
      <c r="BG24" s="111" t="n"/>
      <c r="BH24" s="111" t="n"/>
      <c r="BI24" s="111" t="n"/>
      <c r="BJ24" s="111" t="n"/>
      <c r="BK24" s="111" t="n"/>
      <c r="BL24" s="111" t="n"/>
      <c r="BM24" s="111" t="n"/>
      <c r="BN24" s="111" t="n"/>
      <c r="BO24" s="111" t="n"/>
      <c r="BP24" s="111" t="n"/>
      <c r="BQ24" s="111" t="n"/>
      <c r="BR24" s="111" t="n"/>
      <c r="BS24" s="111" t="n"/>
      <c r="BT24" s="111" t="n"/>
      <c r="BU24" s="111" t="n"/>
      <c r="BV24" s="111" t="n"/>
      <c r="BW24" s="111" t="n"/>
      <c r="BX24" s="111" t="n"/>
      <c r="BY24" s="111" t="n"/>
      <c r="BZ24" s="111" t="n"/>
      <c r="CA24" s="111" t="n"/>
      <c r="CB24" s="111" t="n"/>
      <c r="CC24" s="111" t="n"/>
      <c r="CD24" s="111" t="n"/>
      <c r="CE24" s="111" t="n"/>
      <c r="CF24" s="111" t="n"/>
      <c r="CG24" s="111" t="n"/>
      <c r="CH24" s="111" t="n"/>
      <c r="CI24" s="111" t="n"/>
      <c r="CJ24" s="111" t="n"/>
      <c r="CK24" s="111" t="n"/>
      <c r="CL24" s="111" t="n"/>
      <c r="CM24" s="111" t="n"/>
      <c r="CN24" s="111" t="n"/>
      <c r="CO24" s="111" t="n"/>
      <c r="CP24" s="111" t="n"/>
      <c r="CQ24" s="111" t="n"/>
      <c r="CR24" s="111" t="n"/>
      <c r="CS24" s="111" t="n"/>
      <c r="CT24" s="111" t="n"/>
      <c r="CU24" s="111" t="n"/>
      <c r="CV24" s="111" t="n"/>
      <c r="CW24" s="111" t="n"/>
      <c r="CX24" s="111" t="n"/>
      <c r="CY24" s="111" t="n"/>
      <c r="CZ24" s="111" t="n"/>
      <c r="DA24" s="111" t="n"/>
      <c r="DB24" s="111" t="n"/>
      <c r="DC24" s="111" t="n"/>
      <c r="DD24" s="111" t="n"/>
      <c r="DE24" s="111" t="n"/>
      <c r="DF24" s="111" t="n"/>
      <c r="DG24" s="111" t="n"/>
      <c r="DH24" s="111" t="n"/>
      <c r="DI24" s="111" t="n"/>
      <c r="DJ24" s="111" t="n"/>
      <c r="DK24" s="111" t="n"/>
      <c r="DL24" s="111" t="n"/>
      <c r="DM24" s="111" t="n"/>
      <c r="DN24" s="111" t="n"/>
      <c r="DO24" s="111" t="n"/>
      <c r="DP24" s="111" t="n"/>
      <c r="DQ24" s="111" t="n"/>
      <c r="DR24" s="111" t="n"/>
      <c r="DS24" s="111" t="n"/>
      <c r="DT24" s="111" t="n"/>
      <c r="DU24" s="111" t="n"/>
      <c r="DV24" s="111" t="n"/>
      <c r="DW24" s="111" t="n"/>
      <c r="DX24" s="111" t="n"/>
      <c r="DY24" s="111" t="n"/>
      <c r="DZ24" s="111" t="n"/>
      <c r="EA24" s="111" t="n"/>
      <c r="EB24" s="111" t="n"/>
      <c r="EC24" s="111" t="n"/>
      <c r="ED24" s="111" t="n"/>
      <c r="EE24" s="111" t="n"/>
      <c r="EF24" s="111" t="n"/>
      <c r="EG24" s="111" t="n"/>
      <c r="EH24" s="111" t="n"/>
      <c r="EI24" s="111" t="n"/>
      <c r="EJ24" s="111" t="n"/>
      <c r="EK24" s="111" t="n"/>
      <c r="EL24" s="111" t="n"/>
      <c r="EM24" s="111" t="n"/>
      <c r="EN24" s="111" t="n"/>
      <c r="EO24" s="111" t="n"/>
      <c r="EP24" s="111" t="n"/>
      <c r="EQ24" s="111" t="n"/>
      <c r="ER24" s="111" t="n"/>
      <c r="ES24" s="111" t="n"/>
      <c r="ET24" s="111" t="n"/>
      <c r="EU24" s="111" t="n"/>
      <c r="EV24" s="111" t="n"/>
      <c r="EW24" s="111" t="n"/>
      <c r="EX24" s="111" t="n"/>
      <c r="EY24" s="111" t="n"/>
      <c r="EZ24" s="111" t="n"/>
      <c r="FA24" s="111" t="n"/>
      <c r="FB24" s="111" t="n"/>
      <c r="FC24" s="111" t="n"/>
      <c r="FD24" s="111" t="n"/>
      <c r="FE24" s="111" t="n"/>
      <c r="FF24" s="111" t="n"/>
      <c r="FG24" s="111" t="n"/>
      <c r="FH24" s="111" t="n"/>
      <c r="FI24" s="111" t="n"/>
      <c r="FJ24" s="111" t="n"/>
      <c r="FK24" s="111" t="n"/>
      <c r="FL24" s="111" t="n"/>
      <c r="FM24" s="111" t="n"/>
      <c r="FN24" s="111" t="n"/>
      <c r="FO24" s="111" t="n"/>
      <c r="FP24" s="111" t="n"/>
      <c r="FQ24" s="111" t="n"/>
      <c r="FR24" s="111" t="n"/>
      <c r="FS24" s="111" t="n"/>
      <c r="FT24" s="111" t="n"/>
      <c r="FU24" s="111" t="n"/>
      <c r="FV24" s="111" t="n"/>
      <c r="FW24" s="111" t="n"/>
      <c r="FX24" s="111" t="n"/>
      <c r="FY24" s="111" t="n"/>
      <c r="FZ24" s="111" t="n"/>
      <c r="GA24" s="111" t="n"/>
      <c r="GB24" s="111" t="n"/>
      <c r="GC24" s="111" t="n"/>
      <c r="GD24" s="111" t="n"/>
      <c r="GE24" s="111" t="n"/>
      <c r="GF24" s="111" t="n"/>
      <c r="GG24" s="111" t="n"/>
      <c r="GH24" s="111" t="n"/>
      <c r="GI24" s="111" t="n"/>
      <c r="GJ24" s="111" t="n"/>
      <c r="GK24" s="111" t="n"/>
      <c r="GL24" s="111" t="n"/>
      <c r="GM24" s="111" t="n"/>
      <c r="GN24" s="111" t="n"/>
      <c r="GO24" s="111" t="n"/>
      <c r="GP24" s="111" t="n"/>
      <c r="GQ24" s="111" t="n"/>
      <c r="GR24" s="111" t="n"/>
      <c r="GS24" s="111" t="n"/>
      <c r="GT24" s="111" t="n"/>
      <c r="GU24" s="111" t="n"/>
      <c r="GV24" s="111" t="n"/>
      <c r="GW24" s="111" t="n"/>
      <c r="GX24" s="111" t="n"/>
      <c r="GY24" s="111" t="n"/>
      <c r="GZ24" s="111" t="n"/>
      <c r="HA24" s="111" t="n"/>
      <c r="HB24" s="111" t="n"/>
      <c r="HC24" s="111" t="n"/>
      <c r="HD24" s="111" t="n"/>
      <c r="HE24" s="111" t="n"/>
      <c r="HF24" s="111" t="n"/>
      <c r="HG24" s="111" t="n"/>
      <c r="HH24" s="111" t="n"/>
      <c r="HI24" s="111" t="n"/>
      <c r="HJ24" s="111" t="n"/>
      <c r="HK24" s="111" t="n"/>
      <c r="HL24" s="111" t="n"/>
      <c r="HM24" s="111" t="n"/>
      <c r="HN24" s="111" t="n"/>
      <c r="HO24" s="111" t="n"/>
      <c r="HP24" s="111" t="n"/>
      <c r="HQ24" s="111" t="n"/>
      <c r="HR24" s="111" t="n"/>
      <c r="HS24" s="111" t="n"/>
      <c r="HT24" s="111" t="n"/>
      <c r="HU24" s="111" t="n"/>
      <c r="HV24" s="111" t="n"/>
      <c r="HW24" s="111" t="n"/>
      <c r="HX24" s="111" t="n"/>
      <c r="HY24" s="111" t="n"/>
      <c r="HZ24" s="111" t="n"/>
      <c r="IA24" s="111" t="n"/>
      <c r="IB24" s="111" t="n"/>
      <c r="IC24" s="111" t="n"/>
      <c r="ID24" s="111" t="n"/>
      <c r="IE24" s="111" t="n"/>
      <c r="IF24" s="111" t="n"/>
      <c r="IG24" s="111" t="n"/>
      <c r="IH24" s="111" t="n"/>
      <c r="II24" s="111" t="n"/>
      <c r="IJ24" s="111" t="n"/>
      <c r="IK24" s="111" t="n"/>
      <c r="IL24" s="111" t="n"/>
      <c r="IM24" s="111" t="n"/>
      <c r="IN24" s="111" t="n"/>
      <c r="IO24" s="111" t="n"/>
      <c r="IP24" s="111" t="n"/>
      <c r="IQ24" s="111" t="n"/>
      <c r="IR24" s="111" t="n"/>
      <c r="IS24" s="111" t="n"/>
      <c r="IT24" s="111" t="n"/>
      <c r="IU24" s="111" t="n"/>
      <c r="IV24" s="111" t="n"/>
      <c r="IW24" s="111" t="n"/>
      <c r="IX24" s="111" t="n"/>
      <c r="IY24" s="111" t="n"/>
      <c r="IZ24" s="111" t="n"/>
      <c r="JA24" s="111" t="n"/>
      <c r="JB24" s="111" t="n"/>
      <c r="JC24" s="111" t="n"/>
      <c r="JD24" s="111" t="n"/>
      <c r="JE24" s="111" t="n"/>
      <c r="JF24" s="111" t="n"/>
      <c r="JG24" s="111" t="n"/>
      <c r="JH24" s="111" t="n"/>
      <c r="JI24" s="111" t="n"/>
      <c r="JJ24" s="111" t="n"/>
      <c r="JK24" s="111" t="n"/>
      <c r="JL24" s="111" t="n"/>
      <c r="JM24" s="111" t="n"/>
      <c r="JN24" s="111" t="n"/>
      <c r="JO24" s="111" t="n"/>
      <c r="JP24" s="111" t="n"/>
      <c r="JQ24" s="111" t="n"/>
      <c r="JR24" s="111" t="n"/>
      <c r="JS24" s="111" t="n"/>
      <c r="JT24" s="111" t="n"/>
      <c r="JU24" s="111" t="n"/>
      <c r="JV24" s="111" t="n"/>
      <c r="JW24" s="111" t="n"/>
      <c r="JX24" s="111" t="n"/>
      <c r="JY24" s="111" t="n"/>
      <c r="JZ24" s="111" t="n"/>
      <c r="KA24" s="111" t="n"/>
      <c r="KB24" s="111" t="n"/>
      <c r="KC24" s="111" t="n"/>
      <c r="KD24" s="111" t="n"/>
      <c r="KE24" s="111" t="n"/>
      <c r="KF24" s="111" t="n"/>
      <c r="KG24" s="111" t="n"/>
      <c r="KH24" s="111" t="n"/>
      <c r="KI24" s="111" t="n"/>
      <c r="KJ24" s="111" t="n"/>
      <c r="KK24" s="111" t="n"/>
      <c r="KL24" s="111" t="n"/>
      <c r="KM24" s="111" t="n"/>
      <c r="KN24" s="111" t="n"/>
      <c r="KO24" s="111" t="n"/>
      <c r="KP24" s="111" t="n"/>
      <c r="KQ24" s="111" t="n"/>
      <c r="KR24" s="111" t="n"/>
      <c r="KS24" s="111" t="n"/>
      <c r="KT24" s="111" t="n"/>
      <c r="KU24" s="111" t="n"/>
      <c r="KV24" s="111" t="n"/>
      <c r="KW24" s="111" t="n"/>
      <c r="KX24" s="111" t="n"/>
      <c r="KY24" s="111" t="n"/>
      <c r="KZ24" s="111" t="n"/>
      <c r="LA24" s="111" t="n"/>
      <c r="LB24" s="111" t="n"/>
      <c r="LC24" s="111" t="n"/>
      <c r="LD24" s="111" t="n"/>
      <c r="LE24" s="111" t="n"/>
      <c r="LF24" s="111" t="n"/>
      <c r="LG24" s="111" t="n"/>
      <c r="LH24" s="111" t="n"/>
      <c r="LI24" s="111" t="n"/>
      <c r="LJ24" s="111" t="n"/>
      <c r="LK24" s="111" t="n"/>
      <c r="LL24" s="111" t="n"/>
      <c r="LM24" s="111" t="n"/>
      <c r="LN24" s="111" t="n"/>
      <c r="LO24" s="111" t="n"/>
      <c r="LP24" s="111" t="n"/>
      <c r="LQ24" s="111" t="n"/>
      <c r="LR24" s="111" t="n"/>
      <c r="LS24" s="111" t="n"/>
      <c r="LT24" s="111" t="n"/>
      <c r="LU24" s="111" t="n"/>
      <c r="LV24" s="111" t="n"/>
      <c r="LW24" s="111" t="n"/>
      <c r="LX24" s="111" t="n"/>
      <c r="LY24" s="111" t="n"/>
      <c r="LZ24" s="111" t="n"/>
      <c r="MA24" s="111" t="n"/>
      <c r="MB24" s="111" t="n"/>
      <c r="MC24" s="111" t="n"/>
      <c r="MD24" s="111" t="n"/>
      <c r="ME24" s="111" t="n"/>
      <c r="MF24" s="111" t="n"/>
      <c r="MG24" s="111" t="n"/>
      <c r="MH24" s="111" t="n"/>
      <c r="MI24" s="111" t="n"/>
      <c r="MJ24" s="111" t="n"/>
      <c r="MK24" s="111" t="n"/>
      <c r="ML24" s="111" t="n"/>
      <c r="MM24" s="111" t="n"/>
      <c r="MN24" s="111" t="n"/>
      <c r="MO24" s="111" t="n"/>
      <c r="MP24" s="111" t="n"/>
      <c r="MQ24" s="111" t="n"/>
      <c r="MR24" s="111" t="n"/>
      <c r="MS24" s="111" t="n"/>
      <c r="MT24" s="111" t="n"/>
      <c r="MU24" s="111" t="n"/>
      <c r="MV24" s="111" t="n"/>
      <c r="MW24" s="111" t="n"/>
      <c r="MX24" s="111" t="n"/>
      <c r="MY24" s="111" t="n"/>
      <c r="MZ24" s="111" t="n"/>
      <c r="NA24" s="111" t="n"/>
      <c r="NB24" s="111" t="n"/>
      <c r="NC24" s="111" t="n"/>
      <c r="ND24" s="111" t="n"/>
      <c r="NE24" s="111" t="n"/>
      <c r="NF24" s="111" t="n"/>
      <c r="NG24" s="111" t="n"/>
      <c r="NH24" s="111" t="n"/>
      <c r="NI24" s="111" t="n"/>
      <c r="NJ24" s="111" t="n"/>
      <c r="NK24" s="111" t="n"/>
      <c r="NL24" s="111" t="n"/>
      <c r="NM24" s="111" t="n"/>
      <c r="NN24" s="111" t="n"/>
      <c r="NO24" s="111" t="n"/>
      <c r="NP24" s="111" t="n"/>
      <c r="NQ24" s="111" t="n"/>
      <c r="NR24" s="111" t="n"/>
      <c r="NS24" s="111" t="n"/>
      <c r="NT24" s="111" t="n"/>
      <c r="NU24" s="111" t="n"/>
      <c r="NV24" s="111" t="n"/>
      <c r="NW24" s="111" t="n"/>
      <c r="NX24" s="111" t="n"/>
      <c r="NY24" s="111" t="n"/>
      <c r="NZ24" s="111" t="n"/>
      <c r="OA24" s="111" t="n"/>
      <c r="OB24" s="111" t="n"/>
      <c r="OC24" s="111" t="n"/>
      <c r="OD24" s="111" t="n"/>
      <c r="OE24" s="111" t="n"/>
      <c r="OF24" s="111" t="n"/>
      <c r="OG24" s="111" t="n"/>
      <c r="OH24" s="111" t="n"/>
      <c r="OI24" s="111" t="n"/>
      <c r="OJ24" s="111" t="n"/>
      <c r="OK24" s="111" t="n"/>
      <c r="OL24" s="111" t="n"/>
      <c r="OM24" s="111" t="n"/>
      <c r="ON24" s="111" t="n"/>
      <c r="OO24" s="111" t="n"/>
      <c r="OP24" s="111" t="n"/>
      <c r="OQ24" s="111" t="n"/>
      <c r="OR24" s="111" t="n"/>
      <c r="OS24" s="111" t="n"/>
      <c r="OT24" s="111" t="n"/>
      <c r="OU24" s="111" t="n"/>
      <c r="OV24" s="111" t="n"/>
      <c r="OW24" s="111" t="n"/>
      <c r="OX24" s="111" t="n"/>
      <c r="OY24" s="111" t="n"/>
      <c r="OZ24" s="111" t="n"/>
      <c r="PA24" s="111" t="n"/>
      <c r="PB24" s="111" t="n"/>
      <c r="PC24" s="111" t="n"/>
      <c r="PD24" s="111" t="n"/>
      <c r="PE24" s="111" t="n"/>
      <c r="PF24" s="111" t="n"/>
      <c r="PG24" s="111" t="n"/>
      <c r="PH24" s="111" t="n"/>
      <c r="PI24" s="111" t="n"/>
      <c r="PJ24" s="111" t="n"/>
      <c r="PK24" s="111" t="n"/>
      <c r="PL24" s="111" t="n"/>
      <c r="PM24" s="111" t="n"/>
      <c r="PN24" s="111" t="n"/>
      <c r="PO24" s="111" t="n"/>
      <c r="PP24" s="111" t="n"/>
      <c r="PQ24" s="111" t="n"/>
      <c r="PR24" s="111" t="n"/>
      <c r="PS24" s="111" t="n"/>
      <c r="PT24" s="111" t="n"/>
      <c r="PU24" s="111" t="n"/>
      <c r="PV24" s="111" t="n"/>
      <c r="PW24" s="111" t="n"/>
      <c r="PX24" s="111" t="n"/>
      <c r="PY24" s="111" t="n"/>
      <c r="PZ24" s="111" t="n"/>
      <c r="QA24" s="111" t="n"/>
      <c r="QB24" s="111" t="n"/>
      <c r="QC24" s="111" t="n"/>
      <c r="QD24" s="111" t="n"/>
      <c r="QE24" s="111" t="n"/>
      <c r="QF24" s="111" t="n"/>
      <c r="QG24" s="111" t="n"/>
      <c r="QH24" s="111" t="n"/>
      <c r="QI24" s="111" t="n"/>
      <c r="QJ24" s="111" t="n"/>
      <c r="QK24" s="111" t="n"/>
      <c r="QL24" s="111" t="n"/>
      <c r="QM24" s="111" t="n"/>
      <c r="QN24" s="111" t="n"/>
      <c r="QO24" s="111" t="n"/>
      <c r="QP24" s="111" t="n"/>
      <c r="QQ24" s="111" t="n"/>
      <c r="QR24" s="111" t="n"/>
      <c r="QS24" s="111" t="n"/>
      <c r="QT24" s="111" t="n"/>
      <c r="QU24" s="111" t="n"/>
      <c r="QV24" s="111" t="n"/>
      <c r="QW24" s="111" t="n"/>
      <c r="QX24" s="111" t="n"/>
      <c r="QY24" s="111" t="n"/>
      <c r="QZ24" s="111" t="n"/>
      <c r="RA24" s="111" t="n"/>
      <c r="RB24" s="111" t="n"/>
      <c r="RC24" s="111" t="n"/>
      <c r="RD24" s="111" t="n"/>
      <c r="RE24" s="111" t="n"/>
      <c r="RF24" s="111" t="n"/>
      <c r="RG24" s="111" t="n"/>
      <c r="RH24" s="111" t="n"/>
      <c r="RI24" s="111" t="n"/>
      <c r="RJ24" s="111" t="n"/>
      <c r="RK24" s="111" t="n"/>
      <c r="RL24" s="111" t="n"/>
      <c r="RM24" s="111" t="n"/>
      <c r="RN24" s="111" t="n"/>
      <c r="RO24" s="111" t="n"/>
      <c r="RP24" s="111" t="n"/>
      <c r="RQ24" s="111" t="n"/>
      <c r="RR24" s="111" t="n"/>
      <c r="RS24" s="111" t="n"/>
      <c r="RT24" s="111" t="n"/>
      <c r="RU24" s="111" t="n"/>
      <c r="RV24" s="111" t="n"/>
      <c r="RW24" s="111" t="n"/>
      <c r="RX24" s="111" t="n"/>
      <c r="RY24" s="111" t="n"/>
      <c r="RZ24" s="111" t="n"/>
      <c r="SA24" s="111" t="n"/>
      <c r="SB24" s="111" t="n"/>
      <c r="SC24" s="111" t="n"/>
      <c r="SD24" s="111" t="n"/>
      <c r="SE24" s="111" t="n"/>
      <c r="SF24" s="111" t="n"/>
      <c r="SG24" s="111" t="n"/>
      <c r="SH24" s="111" t="n"/>
      <c r="SI24" s="111" t="n"/>
      <c r="SJ24" s="111" t="n"/>
      <c r="SK24" s="111" t="n"/>
    </row>
    <row r="25" ht="15" customFormat="1" customHeight="1" s="137">
      <c r="A25" s="177" t="n">
        <v>12</v>
      </c>
      <c r="B25" s="154" t="inlineStr">
        <is>
          <t>Electrical rough in</t>
        </is>
      </c>
      <c r="C25" s="144" t="n"/>
      <c r="D25" s="177" t="n"/>
      <c r="E25" s="177" t="n"/>
      <c r="F25" s="177" t="n"/>
      <c r="G25" s="263" t="n">
        <v>44797</v>
      </c>
      <c r="H25" s="262">
        <f>WORKDAY(G25,I25-1,holidays)</f>
        <v/>
      </c>
      <c r="I25" s="149" t="n">
        <v>3</v>
      </c>
      <c r="J25" s="150" t="n">
        <v>0</v>
      </c>
      <c r="K25" s="151">
        <f>IF(OR(G25=0,H25=0),0,H25-G25+1)</f>
        <v/>
      </c>
      <c r="L25" s="152">
        <f>MIN(K25,WORKDAY(G25,ROUNDDOWN(J25*I25,0),holidays)-G25)</f>
        <v/>
      </c>
      <c r="M25" s="151">
        <f>K25-L25</f>
        <v/>
      </c>
      <c r="N25" s="180" t="n"/>
      <c r="P25" s="111" t="n"/>
      <c r="Q25" s="111" t="n"/>
      <c r="R25" s="111" t="n"/>
      <c r="S25" s="111" t="n"/>
      <c r="T25" s="111" t="n"/>
      <c r="U25" s="111" t="n"/>
      <c r="V25" s="111" t="n"/>
      <c r="W25" s="111" t="n"/>
      <c r="X25" s="111" t="n"/>
      <c r="Y25" s="111" t="n"/>
      <c r="Z25" s="111" t="n"/>
      <c r="AA25" s="111" t="n"/>
      <c r="AB25" s="111" t="n"/>
      <c r="AC25" s="111" t="n"/>
      <c r="AD25" s="111" t="n"/>
      <c r="AE25" s="111" t="n"/>
      <c r="AF25" s="111" t="n"/>
      <c r="AG25" s="111" t="n"/>
      <c r="AH25" s="111" t="n"/>
      <c r="AI25" s="111" t="n"/>
      <c r="AJ25" s="111" t="n"/>
      <c r="AK25" s="111" t="n"/>
      <c r="AL25" s="111" t="n"/>
      <c r="AM25" s="111" t="n"/>
      <c r="AN25" s="111" t="n"/>
      <c r="AO25" s="111" t="n"/>
      <c r="AP25" s="111" t="n"/>
      <c r="AQ25" s="111" t="n"/>
      <c r="AR25" s="111" t="n"/>
      <c r="AS25" s="111" t="n"/>
      <c r="AT25" s="111" t="n"/>
      <c r="AU25" s="111" t="n"/>
      <c r="AV25" s="111" t="n"/>
      <c r="AW25" s="111" t="n"/>
      <c r="AX25" s="111" t="n"/>
      <c r="AY25" s="111" t="n"/>
      <c r="AZ25" s="111" t="n"/>
      <c r="BA25" s="111" t="n"/>
      <c r="BB25" s="111" t="n"/>
      <c r="BC25" s="111" t="n"/>
      <c r="BD25" s="111" t="n"/>
      <c r="BE25" s="111" t="n"/>
      <c r="BF25" s="111" t="n"/>
      <c r="BG25" s="111" t="n"/>
      <c r="BH25" s="111" t="n"/>
      <c r="BI25" s="111" t="n"/>
      <c r="BJ25" s="111" t="n"/>
      <c r="BK25" s="111" t="n"/>
      <c r="BL25" s="111" t="n"/>
      <c r="BM25" s="111" t="n"/>
      <c r="BN25" s="111" t="n"/>
      <c r="BO25" s="111" t="n"/>
      <c r="BP25" s="111" t="n"/>
      <c r="BQ25" s="111" t="n"/>
      <c r="BR25" s="111" t="n"/>
      <c r="BS25" s="111" t="n"/>
      <c r="BT25" s="111" t="n"/>
      <c r="BU25" s="111" t="n"/>
      <c r="BV25" s="111" t="n"/>
      <c r="BW25" s="111" t="n"/>
      <c r="BX25" s="111" t="n"/>
      <c r="BY25" s="111" t="n"/>
      <c r="BZ25" s="111" t="n"/>
      <c r="CA25" s="111" t="n"/>
      <c r="CB25" s="111" t="n"/>
      <c r="CC25" s="111" t="n"/>
      <c r="CD25" s="111" t="n"/>
      <c r="CE25" s="111" t="n"/>
      <c r="CF25" s="111" t="n"/>
      <c r="CG25" s="111" t="n"/>
      <c r="CH25" s="111" t="n"/>
      <c r="CI25" s="111" t="n"/>
      <c r="CJ25" s="111" t="n"/>
      <c r="CK25" s="111" t="n"/>
      <c r="CL25" s="111" t="n"/>
      <c r="CM25" s="111" t="n"/>
      <c r="CN25" s="111" t="n"/>
      <c r="CO25" s="111" t="n"/>
      <c r="CP25" s="111" t="n"/>
      <c r="CQ25" s="111" t="n"/>
      <c r="CR25" s="111" t="n"/>
      <c r="CS25" s="111" t="n"/>
      <c r="CT25" s="111" t="n"/>
      <c r="CU25" s="111" t="n"/>
      <c r="CV25" s="111" t="n"/>
      <c r="CW25" s="111" t="n"/>
      <c r="CX25" s="111" t="n"/>
      <c r="CY25" s="111" t="n"/>
      <c r="CZ25" s="111" t="n"/>
      <c r="DA25" s="111" t="n"/>
      <c r="DB25" s="111" t="n"/>
      <c r="DC25" s="111" t="n"/>
      <c r="DD25" s="111" t="n"/>
      <c r="DE25" s="111" t="n"/>
      <c r="DF25" s="111" t="n"/>
      <c r="DG25" s="111" t="n"/>
      <c r="DH25" s="111" t="n"/>
      <c r="DI25" s="111" t="n"/>
      <c r="DJ25" s="111" t="n"/>
      <c r="DK25" s="111" t="n"/>
      <c r="DL25" s="111" t="n"/>
      <c r="DM25" s="111" t="n"/>
      <c r="DN25" s="111" t="n"/>
      <c r="DO25" s="111" t="n"/>
      <c r="DP25" s="111" t="n"/>
      <c r="DQ25" s="111" t="n"/>
      <c r="DR25" s="111" t="n"/>
      <c r="DS25" s="111" t="n"/>
      <c r="DT25" s="111" t="n"/>
      <c r="DU25" s="111" t="n"/>
      <c r="DV25" s="111" t="n"/>
      <c r="DW25" s="111" t="n"/>
      <c r="DX25" s="111" t="n"/>
      <c r="DY25" s="111" t="n"/>
      <c r="DZ25" s="111" t="n"/>
      <c r="EA25" s="111" t="n"/>
      <c r="EB25" s="111" t="n"/>
      <c r="EC25" s="111" t="n"/>
      <c r="ED25" s="111" t="n"/>
      <c r="EE25" s="111" t="n"/>
      <c r="EF25" s="111" t="n"/>
      <c r="EG25" s="111" t="n"/>
      <c r="EH25" s="111" t="n"/>
      <c r="EI25" s="111" t="n"/>
      <c r="EJ25" s="111" t="n"/>
      <c r="EK25" s="111" t="n"/>
      <c r="EL25" s="111" t="n"/>
      <c r="EM25" s="111" t="n"/>
      <c r="EN25" s="111" t="n"/>
      <c r="EO25" s="111" t="n"/>
      <c r="EP25" s="111" t="n"/>
      <c r="EQ25" s="111" t="n"/>
      <c r="ER25" s="111" t="n"/>
      <c r="ES25" s="111" t="n"/>
      <c r="ET25" s="111" t="n"/>
      <c r="EU25" s="111" t="n"/>
      <c r="EV25" s="111" t="n"/>
      <c r="EW25" s="111" t="n"/>
      <c r="EX25" s="111" t="n"/>
      <c r="EY25" s="111" t="n"/>
      <c r="EZ25" s="111" t="n"/>
      <c r="FA25" s="111" t="n"/>
      <c r="FB25" s="111" t="n"/>
      <c r="FC25" s="111" t="n"/>
      <c r="FD25" s="111" t="n"/>
      <c r="FE25" s="111" t="n"/>
      <c r="FF25" s="111" t="n"/>
      <c r="FG25" s="111" t="n"/>
      <c r="FH25" s="111" t="n"/>
      <c r="FI25" s="111" t="n"/>
      <c r="FJ25" s="111" t="n"/>
      <c r="FK25" s="111" t="n"/>
      <c r="FL25" s="111" t="n"/>
      <c r="FM25" s="111" t="n"/>
      <c r="FN25" s="111" t="n"/>
      <c r="FO25" s="111" t="n"/>
      <c r="FP25" s="111" t="n"/>
      <c r="FQ25" s="111" t="n"/>
      <c r="FR25" s="111" t="n"/>
      <c r="FS25" s="111" t="n"/>
      <c r="FT25" s="111" t="n"/>
      <c r="FU25" s="111" t="n"/>
      <c r="FV25" s="111" t="n"/>
      <c r="FW25" s="111" t="n"/>
      <c r="FX25" s="111" t="n"/>
      <c r="FY25" s="111" t="n"/>
      <c r="FZ25" s="111" t="n"/>
      <c r="GA25" s="111" t="n"/>
      <c r="GB25" s="111" t="n"/>
      <c r="GC25" s="111" t="n"/>
      <c r="GD25" s="111" t="n"/>
      <c r="GE25" s="111" t="n"/>
      <c r="GF25" s="111" t="n"/>
      <c r="GG25" s="111" t="n"/>
      <c r="GH25" s="111" t="n"/>
      <c r="GI25" s="111" t="n"/>
      <c r="GJ25" s="111" t="n"/>
      <c r="GK25" s="111" t="n"/>
      <c r="GL25" s="111" t="n"/>
      <c r="GM25" s="111" t="n"/>
      <c r="GN25" s="111" t="n"/>
      <c r="GO25" s="111" t="n"/>
      <c r="GP25" s="111" t="n"/>
      <c r="GQ25" s="111" t="n"/>
      <c r="GR25" s="111" t="n"/>
      <c r="GS25" s="111" t="n"/>
      <c r="GT25" s="111" t="n"/>
      <c r="GU25" s="111" t="n"/>
      <c r="GV25" s="111" t="n"/>
      <c r="GW25" s="111" t="n"/>
      <c r="GX25" s="111" t="n"/>
      <c r="GY25" s="111" t="n"/>
      <c r="GZ25" s="111" t="n"/>
      <c r="HA25" s="111" t="n"/>
      <c r="HB25" s="111" t="n"/>
      <c r="HC25" s="111" t="n"/>
      <c r="HD25" s="111" t="n"/>
      <c r="HE25" s="111" t="n"/>
      <c r="HF25" s="111" t="n"/>
      <c r="HG25" s="111" t="n"/>
      <c r="HH25" s="111" t="n"/>
      <c r="HI25" s="111" t="n"/>
      <c r="HJ25" s="111" t="n"/>
      <c r="HK25" s="111" t="n"/>
      <c r="HL25" s="111" t="n"/>
      <c r="HM25" s="111" t="n"/>
      <c r="HN25" s="111" t="n"/>
      <c r="HO25" s="111" t="n"/>
      <c r="HP25" s="111" t="n"/>
      <c r="HQ25" s="111" t="n"/>
      <c r="HR25" s="111" t="n"/>
      <c r="HS25" s="111" t="n"/>
      <c r="HT25" s="111" t="n"/>
      <c r="HU25" s="111" t="n"/>
      <c r="HV25" s="111" t="n"/>
      <c r="HW25" s="111" t="n"/>
      <c r="HX25" s="111" t="n"/>
      <c r="HY25" s="111" t="n"/>
      <c r="HZ25" s="111" t="n"/>
      <c r="IA25" s="111" t="n"/>
      <c r="IB25" s="111" t="n"/>
      <c r="IC25" s="111" t="n"/>
      <c r="ID25" s="111" t="n"/>
      <c r="IE25" s="111" t="n"/>
      <c r="IF25" s="111" t="n"/>
      <c r="IG25" s="111" t="n"/>
      <c r="IH25" s="111" t="n"/>
      <c r="II25" s="111" t="n"/>
      <c r="IJ25" s="111" t="n"/>
      <c r="IK25" s="111" t="n"/>
      <c r="IL25" s="111" t="n"/>
      <c r="IM25" s="111" t="n"/>
      <c r="IN25" s="111" t="n"/>
      <c r="IO25" s="111" t="n"/>
      <c r="IP25" s="111" t="n"/>
      <c r="IQ25" s="111" t="n"/>
      <c r="IR25" s="111" t="n"/>
      <c r="IS25" s="111" t="n"/>
      <c r="IT25" s="111" t="n"/>
      <c r="IU25" s="111" t="n"/>
      <c r="IV25" s="111" t="n"/>
      <c r="IW25" s="111" t="n"/>
      <c r="IX25" s="111" t="n"/>
      <c r="IY25" s="111" t="n"/>
      <c r="IZ25" s="111" t="n"/>
      <c r="JA25" s="111" t="n"/>
      <c r="JB25" s="111" t="n"/>
      <c r="JC25" s="111" t="n"/>
      <c r="JD25" s="111" t="n"/>
      <c r="JE25" s="111" t="n"/>
      <c r="JF25" s="111" t="n"/>
      <c r="JG25" s="111" t="n"/>
      <c r="JH25" s="111" t="n"/>
      <c r="JI25" s="111" t="n"/>
      <c r="JJ25" s="111" t="n"/>
      <c r="JK25" s="111" t="n"/>
      <c r="JL25" s="111" t="n"/>
      <c r="JM25" s="111" t="n"/>
      <c r="JN25" s="111" t="n"/>
      <c r="JO25" s="111" t="n"/>
      <c r="JP25" s="111" t="n"/>
      <c r="JQ25" s="111" t="n"/>
      <c r="JR25" s="111" t="n"/>
      <c r="JS25" s="111" t="n"/>
      <c r="JT25" s="111" t="n"/>
      <c r="JU25" s="111" t="n"/>
      <c r="JV25" s="111" t="n"/>
      <c r="JW25" s="111" t="n"/>
      <c r="JX25" s="111" t="n"/>
      <c r="JY25" s="111" t="n"/>
      <c r="JZ25" s="111" t="n"/>
      <c r="KA25" s="111" t="n"/>
      <c r="KB25" s="111" t="n"/>
      <c r="KC25" s="111" t="n"/>
      <c r="KD25" s="111" t="n"/>
      <c r="KE25" s="111" t="n"/>
      <c r="KF25" s="111" t="n"/>
      <c r="KG25" s="111" t="n"/>
      <c r="KH25" s="111" t="n"/>
      <c r="KI25" s="111" t="n"/>
      <c r="KJ25" s="111" t="n"/>
      <c r="KK25" s="111" t="n"/>
      <c r="KL25" s="111" t="n"/>
      <c r="KM25" s="111" t="n"/>
      <c r="KN25" s="111" t="n"/>
      <c r="KO25" s="111" t="n"/>
      <c r="KP25" s="111" t="n"/>
      <c r="KQ25" s="111" t="n"/>
      <c r="KR25" s="111" t="n"/>
      <c r="KS25" s="111" t="n"/>
      <c r="KT25" s="111" t="n"/>
      <c r="KU25" s="111" t="n"/>
      <c r="KV25" s="111" t="n"/>
      <c r="KW25" s="111" t="n"/>
      <c r="KX25" s="111" t="n"/>
      <c r="KY25" s="111" t="n"/>
      <c r="KZ25" s="111" t="n"/>
      <c r="LA25" s="111" t="n"/>
      <c r="LB25" s="111" t="n"/>
      <c r="LC25" s="111" t="n"/>
      <c r="LD25" s="111" t="n"/>
      <c r="LE25" s="111" t="n"/>
      <c r="LF25" s="111" t="n"/>
      <c r="LG25" s="111" t="n"/>
      <c r="LH25" s="111" t="n"/>
      <c r="LI25" s="111" t="n"/>
      <c r="LJ25" s="111" t="n"/>
      <c r="LK25" s="111" t="n"/>
      <c r="LL25" s="111" t="n"/>
      <c r="LM25" s="111" t="n"/>
      <c r="LN25" s="111" t="n"/>
      <c r="LO25" s="111" t="n"/>
      <c r="LP25" s="111" t="n"/>
      <c r="LQ25" s="111" t="n"/>
      <c r="LR25" s="111" t="n"/>
      <c r="LS25" s="111" t="n"/>
      <c r="LT25" s="111" t="n"/>
      <c r="LU25" s="111" t="n"/>
      <c r="LV25" s="111" t="n"/>
      <c r="LW25" s="111" t="n"/>
      <c r="LX25" s="111" t="n"/>
      <c r="LY25" s="111" t="n"/>
      <c r="LZ25" s="111" t="n"/>
      <c r="MA25" s="111" t="n"/>
      <c r="MB25" s="111" t="n"/>
      <c r="MC25" s="111" t="n"/>
      <c r="MD25" s="111" t="n"/>
      <c r="ME25" s="111" t="n"/>
      <c r="MF25" s="111" t="n"/>
      <c r="MG25" s="111" t="n"/>
      <c r="MH25" s="111" t="n"/>
      <c r="MI25" s="111" t="n"/>
      <c r="MJ25" s="111" t="n"/>
      <c r="MK25" s="111" t="n"/>
      <c r="ML25" s="111" t="n"/>
      <c r="MM25" s="111" t="n"/>
      <c r="MN25" s="111" t="n"/>
      <c r="MO25" s="111" t="n"/>
      <c r="MP25" s="111" t="n"/>
      <c r="MQ25" s="111" t="n"/>
      <c r="MR25" s="111" t="n"/>
      <c r="MS25" s="111" t="n"/>
      <c r="MT25" s="111" t="n"/>
      <c r="MU25" s="111" t="n"/>
      <c r="MV25" s="111" t="n"/>
      <c r="MW25" s="111" t="n"/>
      <c r="MX25" s="111" t="n"/>
      <c r="MY25" s="111" t="n"/>
      <c r="MZ25" s="111" t="n"/>
      <c r="NA25" s="111" t="n"/>
      <c r="NB25" s="111" t="n"/>
      <c r="NC25" s="111" t="n"/>
      <c r="ND25" s="111" t="n"/>
      <c r="NE25" s="111" t="n"/>
      <c r="NF25" s="111" t="n"/>
      <c r="NG25" s="111" t="n"/>
      <c r="NH25" s="111" t="n"/>
      <c r="NI25" s="111" t="n"/>
      <c r="NJ25" s="111" t="n"/>
      <c r="NK25" s="111" t="n"/>
      <c r="NL25" s="111" t="n"/>
      <c r="NM25" s="111" t="n"/>
      <c r="NN25" s="111" t="n"/>
      <c r="NO25" s="111" t="n"/>
      <c r="NP25" s="111" t="n"/>
      <c r="NQ25" s="111" t="n"/>
      <c r="NR25" s="111" t="n"/>
      <c r="NS25" s="111" t="n"/>
      <c r="NT25" s="111" t="n"/>
      <c r="NU25" s="111" t="n"/>
      <c r="NV25" s="111" t="n"/>
      <c r="NW25" s="111" t="n"/>
      <c r="NX25" s="111" t="n"/>
      <c r="NY25" s="111" t="n"/>
      <c r="NZ25" s="111" t="n"/>
      <c r="OA25" s="111" t="n"/>
      <c r="OB25" s="111" t="n"/>
      <c r="OC25" s="111" t="n"/>
      <c r="OD25" s="111" t="n"/>
      <c r="OE25" s="111" t="n"/>
      <c r="OF25" s="111" t="n"/>
      <c r="OG25" s="111" t="n"/>
      <c r="OH25" s="111" t="n"/>
      <c r="OI25" s="111" t="n"/>
      <c r="OJ25" s="111" t="n"/>
      <c r="OK25" s="111" t="n"/>
      <c r="OL25" s="111" t="n"/>
      <c r="OM25" s="111" t="n"/>
      <c r="ON25" s="111" t="n"/>
      <c r="OO25" s="111" t="n"/>
      <c r="OP25" s="111" t="n"/>
      <c r="OQ25" s="111" t="n"/>
      <c r="OR25" s="111" t="n"/>
      <c r="OS25" s="111" t="n"/>
      <c r="OT25" s="111" t="n"/>
      <c r="OU25" s="111" t="n"/>
      <c r="OV25" s="111" t="n"/>
      <c r="OW25" s="111" t="n"/>
      <c r="OX25" s="111" t="n"/>
      <c r="OY25" s="111" t="n"/>
      <c r="OZ25" s="111" t="n"/>
      <c r="PA25" s="111" t="n"/>
      <c r="PB25" s="111" t="n"/>
      <c r="PC25" s="111" t="n"/>
      <c r="PD25" s="111" t="n"/>
      <c r="PE25" s="111" t="n"/>
      <c r="PF25" s="111" t="n"/>
      <c r="PG25" s="111" t="n"/>
      <c r="PH25" s="111" t="n"/>
      <c r="PI25" s="111" t="n"/>
      <c r="PJ25" s="111" t="n"/>
      <c r="PK25" s="111" t="n"/>
      <c r="PL25" s="111" t="n"/>
      <c r="PM25" s="111" t="n"/>
      <c r="PN25" s="111" t="n"/>
      <c r="PO25" s="111" t="n"/>
      <c r="PP25" s="111" t="n"/>
      <c r="PQ25" s="111" t="n"/>
      <c r="PR25" s="111" t="n"/>
      <c r="PS25" s="111" t="n"/>
      <c r="PT25" s="111" t="n"/>
      <c r="PU25" s="111" t="n"/>
      <c r="PV25" s="111" t="n"/>
      <c r="PW25" s="111" t="n"/>
      <c r="PX25" s="111" t="n"/>
      <c r="PY25" s="111" t="n"/>
      <c r="PZ25" s="111" t="n"/>
      <c r="QA25" s="111" t="n"/>
      <c r="QB25" s="111" t="n"/>
      <c r="QC25" s="111" t="n"/>
      <c r="QD25" s="111" t="n"/>
      <c r="QE25" s="111" t="n"/>
      <c r="QF25" s="111" t="n"/>
      <c r="QG25" s="111" t="n"/>
      <c r="QH25" s="111" t="n"/>
      <c r="QI25" s="111" t="n"/>
      <c r="QJ25" s="111" t="n"/>
      <c r="QK25" s="111" t="n"/>
      <c r="QL25" s="111" t="n"/>
      <c r="QM25" s="111" t="n"/>
      <c r="QN25" s="111" t="n"/>
      <c r="QO25" s="111" t="n"/>
      <c r="QP25" s="111" t="n"/>
      <c r="QQ25" s="111" t="n"/>
      <c r="QR25" s="111" t="n"/>
      <c r="QS25" s="111" t="n"/>
      <c r="QT25" s="111" t="n"/>
      <c r="QU25" s="111" t="n"/>
      <c r="QV25" s="111" t="n"/>
      <c r="QW25" s="111" t="n"/>
      <c r="QX25" s="111" t="n"/>
      <c r="QY25" s="111" t="n"/>
      <c r="QZ25" s="111" t="n"/>
      <c r="RA25" s="111" t="n"/>
      <c r="RB25" s="111" t="n"/>
      <c r="RC25" s="111" t="n"/>
      <c r="RD25" s="111" t="n"/>
      <c r="RE25" s="111" t="n"/>
      <c r="RF25" s="111" t="n"/>
      <c r="RG25" s="111" t="n"/>
      <c r="RH25" s="111" t="n"/>
      <c r="RI25" s="111" t="n"/>
      <c r="RJ25" s="111" t="n"/>
      <c r="RK25" s="111" t="n"/>
      <c r="RL25" s="111" t="n"/>
      <c r="RM25" s="111" t="n"/>
      <c r="RN25" s="111" t="n"/>
      <c r="RO25" s="111" t="n"/>
      <c r="RP25" s="111" t="n"/>
      <c r="RQ25" s="111" t="n"/>
      <c r="RR25" s="111" t="n"/>
      <c r="RS25" s="111" t="n"/>
      <c r="RT25" s="111" t="n"/>
      <c r="RU25" s="111" t="n"/>
      <c r="RV25" s="111" t="n"/>
      <c r="RW25" s="111" t="n"/>
      <c r="RX25" s="111" t="n"/>
      <c r="RY25" s="111" t="n"/>
      <c r="RZ25" s="111" t="n"/>
      <c r="SA25" s="111" t="n"/>
      <c r="SB25" s="111" t="n"/>
      <c r="SC25" s="111" t="n"/>
      <c r="SD25" s="111" t="n"/>
      <c r="SE25" s="111" t="n"/>
      <c r="SF25" s="111" t="n"/>
      <c r="SG25" s="111" t="n"/>
      <c r="SH25" s="111" t="n"/>
      <c r="SI25" s="111" t="n"/>
      <c r="SJ25" s="111" t="n"/>
      <c r="SK25" s="111" t="n"/>
    </row>
    <row r="26" ht="12.75" customFormat="1" customHeight="1" s="137">
      <c r="A26" s="177" t="n">
        <v>13</v>
      </c>
      <c r="B26" s="154" t="inlineStr">
        <is>
          <t>Drywall Installation</t>
        </is>
      </c>
      <c r="C26" s="144" t="n"/>
      <c r="D26" s="177" t="n"/>
      <c r="E26" s="177" t="n"/>
      <c r="F26" s="177" t="n"/>
      <c r="G26" s="263" t="n">
        <v>44802</v>
      </c>
      <c r="H26" s="262">
        <f>WORKDAY(G26,I26-1,holidays)</f>
        <v/>
      </c>
      <c r="I26" s="149" t="n">
        <v>3</v>
      </c>
      <c r="J26" s="150" t="n">
        <v>0</v>
      </c>
      <c r="K26" s="151">
        <f>IF(OR(G26=0,H26=0),0,H26-G26+1)</f>
        <v/>
      </c>
      <c r="L26" s="152">
        <f>MIN(K26,WORKDAY(G26,ROUNDDOWN(J26*I26,0),holidays)-G26)</f>
        <v/>
      </c>
      <c r="M26" s="151">
        <f>K26-L26</f>
        <v/>
      </c>
      <c r="N26" s="180" t="n"/>
      <c r="P26" s="111" t="n"/>
      <c r="Q26" s="111" t="n"/>
      <c r="R26" s="111" t="n"/>
      <c r="S26" s="111" t="n"/>
      <c r="T26" s="111" t="n"/>
      <c r="U26" s="111" t="n"/>
      <c r="V26" s="111" t="n"/>
      <c r="W26" s="111" t="n"/>
      <c r="X26" s="111" t="n"/>
      <c r="Y26" s="111" t="n"/>
      <c r="Z26" s="111" t="n"/>
      <c r="AA26" s="111" t="n"/>
      <c r="AB26" s="111" t="n"/>
      <c r="AC26" s="111" t="n"/>
      <c r="AD26" s="111" t="n"/>
      <c r="AE26" s="111" t="n"/>
      <c r="AF26" s="111" t="n"/>
      <c r="AG26" s="111" t="n"/>
      <c r="AH26" s="111" t="n"/>
      <c r="AI26" s="111" t="n"/>
      <c r="AJ26" s="111" t="n"/>
      <c r="AK26" s="111" t="n"/>
      <c r="AL26" s="111" t="n"/>
      <c r="AM26" s="111" t="n"/>
      <c r="AN26" s="111" t="n"/>
      <c r="AO26" s="111" t="n"/>
      <c r="AP26" s="111" t="n"/>
      <c r="AQ26" s="111" t="n"/>
      <c r="AR26" s="111" t="n"/>
      <c r="AS26" s="111" t="n"/>
      <c r="AT26" s="111" t="n"/>
      <c r="AU26" s="111" t="n"/>
      <c r="AV26" s="111" t="n"/>
      <c r="AW26" s="111" t="n"/>
      <c r="AX26" s="111" t="n"/>
      <c r="AY26" s="111" t="n"/>
      <c r="AZ26" s="111" t="n"/>
      <c r="BA26" s="111" t="n"/>
      <c r="BB26" s="111" t="n"/>
      <c r="BC26" s="111" t="n"/>
      <c r="BD26" s="111" t="n"/>
      <c r="BE26" s="111" t="n"/>
      <c r="BF26" s="111" t="n"/>
      <c r="BG26" s="111" t="n"/>
      <c r="BH26" s="111" t="n"/>
      <c r="BI26" s="111" t="n"/>
      <c r="BJ26" s="111" t="n"/>
      <c r="BK26" s="111" t="n"/>
      <c r="BL26" s="111" t="n"/>
      <c r="BM26" s="111" t="n"/>
      <c r="BN26" s="111" t="n"/>
      <c r="BO26" s="111" t="n"/>
      <c r="BP26" s="111" t="n"/>
      <c r="BQ26" s="111" t="n"/>
      <c r="BR26" s="111" t="n"/>
      <c r="BS26" s="111" t="n"/>
      <c r="BT26" s="111" t="n"/>
      <c r="BU26" s="111" t="n"/>
      <c r="BV26" s="111" t="n"/>
      <c r="BW26" s="111" t="n"/>
      <c r="BX26" s="111" t="n"/>
      <c r="BY26" s="111" t="n"/>
      <c r="BZ26" s="111" t="n"/>
      <c r="CA26" s="111" t="n"/>
      <c r="CB26" s="111" t="n"/>
      <c r="CC26" s="111" t="n"/>
      <c r="CD26" s="111" t="n"/>
      <c r="CE26" s="111" t="n"/>
      <c r="CF26" s="111" t="n"/>
      <c r="CG26" s="111" t="n"/>
      <c r="CH26" s="111" t="n"/>
      <c r="CI26" s="111" t="n"/>
      <c r="CJ26" s="111" t="n"/>
      <c r="CK26" s="111" t="n"/>
      <c r="CL26" s="111" t="n"/>
      <c r="CM26" s="111" t="n"/>
      <c r="CN26" s="111" t="n"/>
      <c r="CO26" s="111" t="n"/>
      <c r="CP26" s="111" t="n"/>
      <c r="CQ26" s="111" t="n"/>
      <c r="CR26" s="111" t="n"/>
      <c r="CS26" s="111" t="n"/>
      <c r="CT26" s="111" t="n"/>
      <c r="CU26" s="111" t="n"/>
      <c r="CV26" s="111" t="n"/>
      <c r="CW26" s="111" t="n"/>
      <c r="CX26" s="111" t="n"/>
      <c r="CY26" s="111" t="n"/>
      <c r="CZ26" s="111" t="n"/>
      <c r="DA26" s="111" t="n"/>
      <c r="DB26" s="111" t="n"/>
      <c r="DC26" s="111" t="n"/>
      <c r="DD26" s="111" t="n"/>
      <c r="DE26" s="111" t="n"/>
      <c r="DF26" s="111" t="n"/>
      <c r="DG26" s="111" t="n"/>
      <c r="DH26" s="111" t="n"/>
      <c r="DI26" s="111" t="n"/>
      <c r="DJ26" s="111" t="n"/>
      <c r="DK26" s="111" t="n"/>
      <c r="DL26" s="111" t="n"/>
      <c r="DM26" s="111" t="n"/>
      <c r="DN26" s="111" t="n"/>
      <c r="DO26" s="111" t="n"/>
      <c r="DP26" s="111" t="n"/>
      <c r="DQ26" s="111" t="n"/>
      <c r="DR26" s="111" t="n"/>
      <c r="DS26" s="111" t="n"/>
      <c r="DT26" s="111" t="n"/>
      <c r="DU26" s="111" t="n"/>
      <c r="DV26" s="111" t="n"/>
      <c r="DW26" s="111" t="n"/>
      <c r="DX26" s="111" t="n"/>
      <c r="DY26" s="111" t="n"/>
      <c r="DZ26" s="111" t="n"/>
      <c r="EA26" s="111" t="n"/>
      <c r="EB26" s="111" t="n"/>
      <c r="EC26" s="111" t="n"/>
      <c r="ED26" s="111" t="n"/>
      <c r="EE26" s="111" t="n"/>
      <c r="EF26" s="111" t="n"/>
      <c r="EG26" s="111" t="n"/>
      <c r="EH26" s="111" t="n"/>
      <c r="EI26" s="111" t="n"/>
      <c r="EJ26" s="111" t="n"/>
      <c r="EK26" s="111" t="n"/>
      <c r="EL26" s="111" t="n"/>
      <c r="EM26" s="111" t="n"/>
      <c r="EN26" s="111" t="n"/>
      <c r="EO26" s="111" t="n"/>
      <c r="EP26" s="111" t="n"/>
      <c r="EQ26" s="111" t="n"/>
      <c r="ER26" s="111" t="n"/>
      <c r="ES26" s="111" t="n"/>
      <c r="ET26" s="111" t="n"/>
      <c r="EU26" s="111" t="n"/>
      <c r="EV26" s="111" t="n"/>
      <c r="EW26" s="111" t="n"/>
      <c r="EX26" s="111" t="n"/>
      <c r="EY26" s="111" t="n"/>
      <c r="EZ26" s="111" t="n"/>
      <c r="FA26" s="111" t="n"/>
      <c r="FB26" s="111" t="n"/>
      <c r="FC26" s="111" t="n"/>
      <c r="FD26" s="111" t="n"/>
      <c r="FE26" s="111" t="n"/>
      <c r="FF26" s="111" t="n"/>
      <c r="FG26" s="111" t="n"/>
      <c r="FH26" s="111" t="n"/>
      <c r="FI26" s="111" t="n"/>
      <c r="FJ26" s="111" t="n"/>
      <c r="FK26" s="111" t="n"/>
      <c r="FL26" s="111" t="n"/>
      <c r="FM26" s="111" t="n"/>
      <c r="FN26" s="111" t="n"/>
      <c r="FO26" s="111" t="n"/>
      <c r="FP26" s="111" t="n"/>
      <c r="FQ26" s="111" t="n"/>
      <c r="FR26" s="111" t="n"/>
      <c r="FS26" s="111" t="n"/>
      <c r="FT26" s="111" t="n"/>
      <c r="FU26" s="111" t="n"/>
      <c r="FV26" s="111" t="n"/>
      <c r="FW26" s="111" t="n"/>
      <c r="FX26" s="111" t="n"/>
      <c r="FY26" s="111" t="n"/>
      <c r="FZ26" s="111" t="n"/>
      <c r="GA26" s="111" t="n"/>
      <c r="GB26" s="111" t="n"/>
      <c r="GC26" s="111" t="n"/>
      <c r="GD26" s="111" t="n"/>
      <c r="GE26" s="111" t="n"/>
      <c r="GF26" s="111" t="n"/>
      <c r="GG26" s="111" t="n"/>
      <c r="GH26" s="111" t="n"/>
      <c r="GI26" s="111" t="n"/>
      <c r="GJ26" s="111" t="n"/>
      <c r="GK26" s="111" t="n"/>
      <c r="GL26" s="111" t="n"/>
      <c r="GM26" s="111" t="n"/>
      <c r="GN26" s="111" t="n"/>
      <c r="GO26" s="111" t="n"/>
      <c r="GP26" s="111" t="n"/>
      <c r="GQ26" s="111" t="n"/>
      <c r="GR26" s="111" t="n"/>
      <c r="GS26" s="111" t="n"/>
      <c r="GT26" s="111" t="n"/>
      <c r="GU26" s="111" t="n"/>
      <c r="GV26" s="111" t="n"/>
      <c r="GW26" s="111" t="n"/>
      <c r="GX26" s="111" t="n"/>
      <c r="GY26" s="111" t="n"/>
      <c r="GZ26" s="111" t="n"/>
      <c r="HA26" s="111" t="n"/>
      <c r="HB26" s="111" t="n"/>
      <c r="HC26" s="111" t="n"/>
      <c r="HD26" s="111" t="n"/>
      <c r="HE26" s="111" t="n"/>
      <c r="HF26" s="111" t="n"/>
      <c r="HG26" s="111" t="n"/>
      <c r="HH26" s="111" t="n"/>
      <c r="HI26" s="111" t="n"/>
      <c r="HJ26" s="111" t="n"/>
      <c r="HK26" s="111" t="n"/>
      <c r="HL26" s="111" t="n"/>
      <c r="HM26" s="111" t="n"/>
      <c r="HN26" s="111" t="n"/>
      <c r="HO26" s="111" t="n"/>
      <c r="HP26" s="111" t="n"/>
      <c r="HQ26" s="111" t="n"/>
      <c r="HR26" s="111" t="n"/>
      <c r="HS26" s="111" t="n"/>
      <c r="HT26" s="111" t="n"/>
      <c r="HU26" s="111" t="n"/>
      <c r="HV26" s="111" t="n"/>
      <c r="HW26" s="111" t="n"/>
      <c r="HX26" s="111" t="n"/>
      <c r="HY26" s="111" t="n"/>
      <c r="HZ26" s="111" t="n"/>
      <c r="IA26" s="111" t="n"/>
      <c r="IB26" s="111" t="n"/>
      <c r="IC26" s="111" t="n"/>
      <c r="ID26" s="111" t="n"/>
      <c r="IE26" s="111" t="n"/>
      <c r="IF26" s="111" t="n"/>
      <c r="IG26" s="111" t="n"/>
      <c r="IH26" s="111" t="n"/>
      <c r="II26" s="111" t="n"/>
      <c r="IJ26" s="111" t="n"/>
      <c r="IK26" s="111" t="n"/>
      <c r="IL26" s="111" t="n"/>
      <c r="IM26" s="111" t="n"/>
      <c r="IN26" s="111" t="n"/>
      <c r="IO26" s="111" t="n"/>
      <c r="IP26" s="111" t="n"/>
      <c r="IQ26" s="111" t="n"/>
      <c r="IR26" s="111" t="n"/>
      <c r="IS26" s="111" t="n"/>
      <c r="IT26" s="111" t="n"/>
      <c r="IU26" s="111" t="n"/>
      <c r="IV26" s="111" t="n"/>
      <c r="IW26" s="111" t="n"/>
      <c r="IX26" s="111" t="n"/>
      <c r="IY26" s="111" t="n"/>
      <c r="IZ26" s="111" t="n"/>
      <c r="JA26" s="111" t="n"/>
      <c r="JB26" s="111" t="n"/>
      <c r="JC26" s="111" t="n"/>
      <c r="JD26" s="111" t="n"/>
      <c r="JE26" s="111" t="n"/>
      <c r="JF26" s="111" t="n"/>
      <c r="JG26" s="111" t="n"/>
      <c r="JH26" s="111" t="n"/>
      <c r="JI26" s="111" t="n"/>
      <c r="JJ26" s="111" t="n"/>
      <c r="JK26" s="111" t="n"/>
      <c r="JL26" s="111" t="n"/>
      <c r="JM26" s="111" t="n"/>
      <c r="JN26" s="111" t="n"/>
      <c r="JO26" s="111" t="n"/>
      <c r="JP26" s="111" t="n"/>
      <c r="JQ26" s="111" t="n"/>
      <c r="JR26" s="111" t="n"/>
      <c r="JS26" s="111" t="n"/>
      <c r="JT26" s="111" t="n"/>
      <c r="JU26" s="111" t="n"/>
      <c r="JV26" s="111" t="n"/>
      <c r="JW26" s="111" t="n"/>
      <c r="JX26" s="111" t="n"/>
      <c r="JY26" s="111" t="n"/>
      <c r="JZ26" s="111" t="n"/>
      <c r="KA26" s="111" t="n"/>
      <c r="KB26" s="111" t="n"/>
      <c r="KC26" s="111" t="n"/>
      <c r="KD26" s="111" t="n"/>
      <c r="KE26" s="111" t="n"/>
      <c r="KF26" s="111" t="n"/>
      <c r="KG26" s="111" t="n"/>
      <c r="KH26" s="111" t="n"/>
      <c r="KI26" s="111" t="n"/>
      <c r="KJ26" s="111" t="n"/>
      <c r="KK26" s="111" t="n"/>
      <c r="KL26" s="111" t="n"/>
      <c r="KM26" s="111" t="n"/>
      <c r="KN26" s="111" t="n"/>
      <c r="KO26" s="111" t="n"/>
      <c r="KP26" s="111" t="n"/>
      <c r="KQ26" s="111" t="n"/>
      <c r="KR26" s="111" t="n"/>
      <c r="KS26" s="111" t="n"/>
      <c r="KT26" s="111" t="n"/>
      <c r="KU26" s="111" t="n"/>
      <c r="KV26" s="111" t="n"/>
      <c r="KW26" s="111" t="n"/>
      <c r="KX26" s="111" t="n"/>
      <c r="KY26" s="111" t="n"/>
      <c r="KZ26" s="111" t="n"/>
      <c r="LA26" s="111" t="n"/>
      <c r="LB26" s="111" t="n"/>
      <c r="LC26" s="111" t="n"/>
      <c r="LD26" s="111" t="n"/>
      <c r="LE26" s="111" t="n"/>
      <c r="LF26" s="111" t="n"/>
      <c r="LG26" s="111" t="n"/>
      <c r="LH26" s="111" t="n"/>
      <c r="LI26" s="111" t="n"/>
      <c r="LJ26" s="111" t="n"/>
      <c r="LK26" s="111" t="n"/>
      <c r="LL26" s="111" t="n"/>
      <c r="LM26" s="111" t="n"/>
      <c r="LN26" s="111" t="n"/>
      <c r="LO26" s="111" t="n"/>
      <c r="LP26" s="111" t="n"/>
      <c r="LQ26" s="111" t="n"/>
      <c r="LR26" s="111" t="n"/>
      <c r="LS26" s="111" t="n"/>
      <c r="LT26" s="111" t="n"/>
      <c r="LU26" s="111" t="n"/>
      <c r="LV26" s="111" t="n"/>
      <c r="LW26" s="111" t="n"/>
      <c r="LX26" s="111" t="n"/>
      <c r="LY26" s="111" t="n"/>
      <c r="LZ26" s="111" t="n"/>
      <c r="MA26" s="111" t="n"/>
      <c r="MB26" s="111" t="n"/>
      <c r="MC26" s="111" t="n"/>
      <c r="MD26" s="111" t="n"/>
      <c r="ME26" s="111" t="n"/>
      <c r="MF26" s="111" t="n"/>
      <c r="MG26" s="111" t="n"/>
      <c r="MH26" s="111" t="n"/>
      <c r="MI26" s="111" t="n"/>
      <c r="MJ26" s="111" t="n"/>
      <c r="MK26" s="111" t="n"/>
      <c r="ML26" s="111" t="n"/>
      <c r="MM26" s="111" t="n"/>
      <c r="MN26" s="111" t="n"/>
      <c r="MO26" s="111" t="n"/>
      <c r="MP26" s="111" t="n"/>
      <c r="MQ26" s="111" t="n"/>
      <c r="MR26" s="111" t="n"/>
      <c r="MS26" s="111" t="n"/>
      <c r="MT26" s="111" t="n"/>
      <c r="MU26" s="111" t="n"/>
      <c r="MV26" s="111" t="n"/>
      <c r="MW26" s="111" t="n"/>
      <c r="MX26" s="111" t="n"/>
      <c r="MY26" s="111" t="n"/>
      <c r="MZ26" s="111" t="n"/>
      <c r="NA26" s="111" t="n"/>
      <c r="NB26" s="111" t="n"/>
      <c r="NC26" s="111" t="n"/>
      <c r="ND26" s="111" t="n"/>
      <c r="NE26" s="111" t="n"/>
      <c r="NF26" s="111" t="n"/>
      <c r="NG26" s="111" t="n"/>
      <c r="NH26" s="111" t="n"/>
      <c r="NI26" s="111" t="n"/>
      <c r="NJ26" s="111" t="n"/>
      <c r="NK26" s="111" t="n"/>
      <c r="NL26" s="111" t="n"/>
      <c r="NM26" s="111" t="n"/>
      <c r="NN26" s="111" t="n"/>
      <c r="NO26" s="111" t="n"/>
      <c r="NP26" s="111" t="n"/>
      <c r="NQ26" s="111" t="n"/>
      <c r="NR26" s="111" t="n"/>
      <c r="NS26" s="111" t="n"/>
      <c r="NT26" s="111" t="n"/>
      <c r="NU26" s="111" t="n"/>
      <c r="NV26" s="111" t="n"/>
      <c r="NW26" s="111" t="n"/>
      <c r="NX26" s="111" t="n"/>
      <c r="NY26" s="111" t="n"/>
      <c r="NZ26" s="111" t="n"/>
      <c r="OA26" s="111" t="n"/>
      <c r="OB26" s="111" t="n"/>
      <c r="OC26" s="111" t="n"/>
      <c r="OD26" s="111" t="n"/>
      <c r="OE26" s="111" t="n"/>
      <c r="OF26" s="111" t="n"/>
      <c r="OG26" s="111" t="n"/>
      <c r="OH26" s="111" t="n"/>
      <c r="OI26" s="111" t="n"/>
      <c r="OJ26" s="111" t="n"/>
      <c r="OK26" s="111" t="n"/>
      <c r="OL26" s="111" t="n"/>
      <c r="OM26" s="111" t="n"/>
      <c r="ON26" s="111" t="n"/>
      <c r="OO26" s="111" t="n"/>
      <c r="OP26" s="111" t="n"/>
      <c r="OQ26" s="111" t="n"/>
      <c r="OR26" s="111" t="n"/>
      <c r="OS26" s="111" t="n"/>
      <c r="OT26" s="111" t="n"/>
      <c r="OU26" s="111" t="n"/>
      <c r="OV26" s="111" t="n"/>
      <c r="OW26" s="111" t="n"/>
      <c r="OX26" s="111" t="n"/>
      <c r="OY26" s="111" t="n"/>
      <c r="OZ26" s="111" t="n"/>
      <c r="PA26" s="111" t="n"/>
      <c r="PB26" s="111" t="n"/>
      <c r="PC26" s="111" t="n"/>
      <c r="PD26" s="111" t="n"/>
      <c r="PE26" s="111" t="n"/>
      <c r="PF26" s="111" t="n"/>
      <c r="PG26" s="111" t="n"/>
      <c r="PH26" s="111" t="n"/>
      <c r="PI26" s="111" t="n"/>
      <c r="PJ26" s="111" t="n"/>
      <c r="PK26" s="111" t="n"/>
      <c r="PL26" s="111" t="n"/>
      <c r="PM26" s="111" t="n"/>
      <c r="PN26" s="111" t="n"/>
      <c r="PO26" s="111" t="n"/>
      <c r="PP26" s="111" t="n"/>
      <c r="PQ26" s="111" t="n"/>
      <c r="PR26" s="111" t="n"/>
      <c r="PS26" s="111" t="n"/>
      <c r="PT26" s="111" t="n"/>
      <c r="PU26" s="111" t="n"/>
      <c r="PV26" s="111" t="n"/>
      <c r="PW26" s="111" t="n"/>
      <c r="PX26" s="111" t="n"/>
      <c r="PY26" s="111" t="n"/>
      <c r="PZ26" s="111" t="n"/>
      <c r="QA26" s="111" t="n"/>
      <c r="QB26" s="111" t="n"/>
      <c r="QC26" s="111" t="n"/>
      <c r="QD26" s="111" t="n"/>
      <c r="QE26" s="111" t="n"/>
      <c r="QF26" s="111" t="n"/>
      <c r="QG26" s="111" t="n"/>
      <c r="QH26" s="111" t="n"/>
      <c r="QI26" s="111" t="n"/>
      <c r="QJ26" s="111" t="n"/>
      <c r="QK26" s="111" t="n"/>
      <c r="QL26" s="111" t="n"/>
      <c r="QM26" s="111" t="n"/>
      <c r="QN26" s="111" t="n"/>
      <c r="QO26" s="111" t="n"/>
      <c r="QP26" s="111" t="n"/>
      <c r="QQ26" s="111" t="n"/>
      <c r="QR26" s="111" t="n"/>
      <c r="QS26" s="111" t="n"/>
      <c r="QT26" s="111" t="n"/>
      <c r="QU26" s="111" t="n"/>
      <c r="QV26" s="111" t="n"/>
      <c r="QW26" s="111" t="n"/>
      <c r="QX26" s="111" t="n"/>
      <c r="QY26" s="111" t="n"/>
      <c r="QZ26" s="111" t="n"/>
      <c r="RA26" s="111" t="n"/>
      <c r="RB26" s="111" t="n"/>
      <c r="RC26" s="111" t="n"/>
      <c r="RD26" s="111" t="n"/>
      <c r="RE26" s="111" t="n"/>
      <c r="RF26" s="111" t="n"/>
      <c r="RG26" s="111" t="n"/>
      <c r="RH26" s="111" t="n"/>
      <c r="RI26" s="111" t="n"/>
      <c r="RJ26" s="111" t="n"/>
      <c r="RK26" s="111" t="n"/>
      <c r="RL26" s="111" t="n"/>
      <c r="RM26" s="111" t="n"/>
      <c r="RN26" s="111" t="n"/>
      <c r="RO26" s="111" t="n"/>
      <c r="RP26" s="111" t="n"/>
      <c r="RQ26" s="111" t="n"/>
      <c r="RR26" s="111" t="n"/>
      <c r="RS26" s="111" t="n"/>
      <c r="RT26" s="111" t="n"/>
      <c r="RU26" s="111" t="n"/>
      <c r="RV26" s="111" t="n"/>
      <c r="RW26" s="111" t="n"/>
      <c r="RX26" s="111" t="n"/>
      <c r="RY26" s="111" t="n"/>
      <c r="RZ26" s="111" t="n"/>
      <c r="SA26" s="111" t="n"/>
      <c r="SB26" s="111" t="n"/>
      <c r="SC26" s="111" t="n"/>
      <c r="SD26" s="111" t="n"/>
      <c r="SE26" s="111" t="n"/>
      <c r="SF26" s="111" t="n"/>
      <c r="SG26" s="111" t="n"/>
      <c r="SH26" s="111" t="n"/>
      <c r="SI26" s="111" t="n"/>
      <c r="SJ26" s="111" t="n"/>
      <c r="SK26" s="111" t="n"/>
    </row>
    <row r="27" ht="13.15" customFormat="1" customHeight="1" s="137">
      <c r="A27" s="177" t="n">
        <v>14</v>
      </c>
      <c r="B27" s="154" t="inlineStr">
        <is>
          <t xml:space="preserve">Wall close in inspection </t>
        </is>
      </c>
      <c r="C27" s="144" t="n"/>
      <c r="D27" s="177" t="n"/>
      <c r="E27" s="177" t="n"/>
      <c r="F27" s="177" t="n"/>
      <c r="G27" s="263" t="n">
        <v>44805</v>
      </c>
      <c r="H27" s="262">
        <f>WORKDAY(G27,I27-1,holidays)</f>
        <v/>
      </c>
      <c r="I27" s="149" t="n">
        <v>1</v>
      </c>
      <c r="J27" s="150" t="n">
        <v>0</v>
      </c>
      <c r="K27" s="151">
        <f>IF(OR(G27=0,H27=0),0,H27-G27+1)</f>
        <v/>
      </c>
      <c r="L27" s="152">
        <f>MIN(K27,WORKDAY(G27,ROUNDDOWN(J27*I27,0),holidays)-G27)</f>
        <v/>
      </c>
      <c r="M27" s="151">
        <f>K27-L27</f>
        <v/>
      </c>
      <c r="N27" s="180"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c r="GU27" s="111" t="n"/>
      <c r="GV27" s="111" t="n"/>
      <c r="GW27" s="111" t="n"/>
      <c r="GX27" s="111" t="n"/>
      <c r="GY27" s="111" t="n"/>
      <c r="GZ27" s="111" t="n"/>
      <c r="HA27" s="111" t="n"/>
      <c r="HB27" s="111" t="n"/>
      <c r="HC27" s="111" t="n"/>
      <c r="HD27" s="111" t="n"/>
      <c r="HE27" s="111" t="n"/>
      <c r="HF27" s="111" t="n"/>
      <c r="HG27" s="111" t="n"/>
      <c r="HH27" s="111" t="n"/>
      <c r="HI27" s="111" t="n"/>
      <c r="HJ27" s="111" t="n"/>
      <c r="HK27" s="111" t="n"/>
      <c r="HL27" s="111" t="n"/>
      <c r="HM27" s="111" t="n"/>
      <c r="HN27" s="111" t="n"/>
      <c r="HO27" s="111" t="n"/>
      <c r="HP27" s="111" t="n"/>
      <c r="HQ27" s="111" t="n"/>
      <c r="HR27" s="111" t="n"/>
      <c r="HS27" s="111" t="n"/>
      <c r="HT27" s="111" t="n"/>
      <c r="HU27" s="111" t="n"/>
      <c r="HV27" s="111" t="n"/>
      <c r="HW27" s="111" t="n"/>
      <c r="HX27" s="111" t="n"/>
      <c r="HY27" s="111" t="n"/>
      <c r="HZ27" s="111" t="n"/>
      <c r="IA27" s="111" t="n"/>
      <c r="IB27" s="111" t="n"/>
      <c r="IC27" s="111" t="n"/>
      <c r="ID27" s="111" t="n"/>
      <c r="IE27" s="111" t="n"/>
      <c r="IF27" s="111" t="n"/>
      <c r="IG27" s="111" t="n"/>
      <c r="IH27" s="111" t="n"/>
      <c r="II27" s="111" t="n"/>
      <c r="IJ27" s="111" t="n"/>
      <c r="IK27" s="111" t="n"/>
      <c r="IL27" s="111" t="n"/>
      <c r="IM27" s="111" t="n"/>
      <c r="IN27" s="111" t="n"/>
      <c r="IO27" s="111" t="n"/>
      <c r="IP27" s="111" t="n"/>
      <c r="IQ27" s="111" t="n"/>
      <c r="IR27" s="111" t="n"/>
      <c r="IS27" s="111" t="n"/>
      <c r="IT27" s="111" t="n"/>
      <c r="IU27" s="111" t="n"/>
      <c r="IV27" s="111" t="n"/>
      <c r="IW27" s="111" t="n"/>
      <c r="IX27" s="111" t="n"/>
      <c r="IY27" s="111" t="n"/>
      <c r="IZ27" s="111" t="n"/>
      <c r="JA27" s="111" t="n"/>
      <c r="JB27" s="111" t="n"/>
      <c r="JC27" s="111" t="n"/>
      <c r="JD27" s="111" t="n"/>
      <c r="JE27" s="111" t="n"/>
      <c r="JF27" s="111" t="n"/>
      <c r="JG27" s="111" t="n"/>
      <c r="JH27" s="111" t="n"/>
      <c r="JI27" s="111" t="n"/>
      <c r="JJ27" s="111" t="n"/>
      <c r="JK27" s="111" t="n"/>
      <c r="JL27" s="111" t="n"/>
      <c r="JM27" s="111" t="n"/>
      <c r="JN27" s="111" t="n"/>
      <c r="JO27" s="111" t="n"/>
      <c r="JP27" s="111" t="n"/>
      <c r="JQ27" s="111" t="n"/>
      <c r="JR27" s="111" t="n"/>
      <c r="JS27" s="111" t="n"/>
      <c r="JT27" s="111" t="n"/>
      <c r="JU27" s="111" t="n"/>
      <c r="JV27" s="111" t="n"/>
      <c r="JW27" s="111" t="n"/>
      <c r="JX27" s="111" t="n"/>
      <c r="JY27" s="111" t="n"/>
      <c r="JZ27" s="111" t="n"/>
      <c r="KA27" s="111" t="n"/>
      <c r="KB27" s="111" t="n"/>
      <c r="KC27" s="111" t="n"/>
      <c r="KD27" s="111" t="n"/>
      <c r="KE27" s="111" t="n"/>
      <c r="KF27" s="111" t="n"/>
      <c r="KG27" s="111" t="n"/>
      <c r="KH27" s="111" t="n"/>
      <c r="KI27" s="111" t="n"/>
      <c r="KJ27" s="111" t="n"/>
      <c r="KK27" s="111" t="n"/>
      <c r="KL27" s="111" t="n"/>
      <c r="KM27" s="111" t="n"/>
      <c r="KN27" s="111" t="n"/>
      <c r="KO27" s="111" t="n"/>
      <c r="KP27" s="111" t="n"/>
      <c r="KQ27" s="111" t="n"/>
      <c r="KR27" s="111" t="n"/>
      <c r="KS27" s="111" t="n"/>
      <c r="KT27" s="111" t="n"/>
      <c r="KU27" s="111" t="n"/>
      <c r="KV27" s="111" t="n"/>
      <c r="KW27" s="111" t="n"/>
      <c r="KX27" s="111" t="n"/>
      <c r="KY27" s="111" t="n"/>
      <c r="KZ27" s="111" t="n"/>
      <c r="LA27" s="111" t="n"/>
      <c r="LB27" s="111" t="n"/>
      <c r="LC27" s="111" t="n"/>
      <c r="LD27" s="111" t="n"/>
      <c r="LE27" s="111" t="n"/>
      <c r="LF27" s="111" t="n"/>
      <c r="LG27" s="111" t="n"/>
      <c r="LH27" s="111" t="n"/>
      <c r="LI27" s="111" t="n"/>
      <c r="LJ27" s="111" t="n"/>
      <c r="LK27" s="111" t="n"/>
      <c r="LL27" s="111" t="n"/>
      <c r="LM27" s="111" t="n"/>
      <c r="LN27" s="111" t="n"/>
      <c r="LO27" s="111" t="n"/>
      <c r="LP27" s="111" t="n"/>
      <c r="LQ27" s="111" t="n"/>
      <c r="LR27" s="111" t="n"/>
      <c r="LS27" s="111" t="n"/>
      <c r="LT27" s="111" t="n"/>
      <c r="LU27" s="111" t="n"/>
      <c r="LV27" s="111" t="n"/>
      <c r="LW27" s="111" t="n"/>
      <c r="LX27" s="111" t="n"/>
      <c r="LY27" s="111" t="n"/>
      <c r="LZ27" s="111" t="n"/>
      <c r="MA27" s="111" t="n"/>
      <c r="MB27" s="111" t="n"/>
      <c r="MC27" s="111" t="n"/>
      <c r="MD27" s="111" t="n"/>
      <c r="ME27" s="111" t="n"/>
      <c r="MF27" s="111" t="n"/>
      <c r="MG27" s="111" t="n"/>
      <c r="MH27" s="111" t="n"/>
      <c r="MI27" s="111" t="n"/>
      <c r="MJ27" s="111" t="n"/>
      <c r="MK27" s="111" t="n"/>
      <c r="ML27" s="111" t="n"/>
      <c r="MM27" s="111" t="n"/>
      <c r="MN27" s="111" t="n"/>
      <c r="MO27" s="111" t="n"/>
      <c r="MP27" s="111" t="n"/>
      <c r="MQ27" s="111" t="n"/>
      <c r="MR27" s="111" t="n"/>
      <c r="MS27" s="111" t="n"/>
      <c r="MT27" s="111" t="n"/>
      <c r="MU27" s="111" t="n"/>
      <c r="MV27" s="111" t="n"/>
      <c r="MW27" s="111" t="n"/>
      <c r="MX27" s="111" t="n"/>
      <c r="MY27" s="111" t="n"/>
      <c r="MZ27" s="111" t="n"/>
      <c r="NA27" s="111" t="n"/>
      <c r="NB27" s="111" t="n"/>
      <c r="NC27" s="111" t="n"/>
      <c r="ND27" s="111" t="n"/>
      <c r="NE27" s="111" t="n"/>
      <c r="NF27" s="111" t="n"/>
      <c r="NG27" s="111" t="n"/>
      <c r="NH27" s="111" t="n"/>
      <c r="NI27" s="111" t="n"/>
      <c r="NJ27" s="111" t="n"/>
      <c r="NK27" s="111" t="n"/>
      <c r="NL27" s="111" t="n"/>
      <c r="NM27" s="111" t="n"/>
      <c r="NN27" s="111" t="n"/>
      <c r="NO27" s="111" t="n"/>
      <c r="NP27" s="111" t="n"/>
      <c r="NQ27" s="111" t="n"/>
      <c r="NR27" s="111" t="n"/>
      <c r="NS27" s="111" t="n"/>
      <c r="NT27" s="111" t="n"/>
      <c r="NU27" s="111" t="n"/>
      <c r="NV27" s="111" t="n"/>
      <c r="NW27" s="111" t="n"/>
      <c r="NX27" s="111" t="n"/>
      <c r="NY27" s="111" t="n"/>
      <c r="NZ27" s="111" t="n"/>
      <c r="OA27" s="111" t="n"/>
      <c r="OB27" s="111" t="n"/>
      <c r="OC27" s="111" t="n"/>
      <c r="OD27" s="111" t="n"/>
      <c r="OE27" s="111" t="n"/>
      <c r="OF27" s="111" t="n"/>
      <c r="OG27" s="111" t="n"/>
      <c r="OH27" s="111" t="n"/>
      <c r="OI27" s="111" t="n"/>
      <c r="OJ27" s="111" t="n"/>
      <c r="OK27" s="111" t="n"/>
      <c r="OL27" s="111" t="n"/>
      <c r="OM27" s="111" t="n"/>
      <c r="ON27" s="111" t="n"/>
      <c r="OO27" s="111" t="n"/>
      <c r="OP27" s="111" t="n"/>
      <c r="OQ27" s="111" t="n"/>
      <c r="OR27" s="111" t="n"/>
      <c r="OS27" s="111" t="n"/>
      <c r="OT27" s="111" t="n"/>
      <c r="OU27" s="111" t="n"/>
      <c r="OV27" s="111" t="n"/>
      <c r="OW27" s="111" t="n"/>
      <c r="OX27" s="111" t="n"/>
      <c r="OY27" s="111" t="n"/>
      <c r="OZ27" s="111" t="n"/>
      <c r="PA27" s="111" t="n"/>
      <c r="PB27" s="111" t="n"/>
      <c r="PC27" s="111" t="n"/>
      <c r="PD27" s="111" t="n"/>
      <c r="PE27" s="111" t="n"/>
      <c r="PF27" s="111" t="n"/>
      <c r="PG27" s="111" t="n"/>
      <c r="PH27" s="111" t="n"/>
      <c r="PI27" s="111" t="n"/>
      <c r="PJ27" s="111" t="n"/>
      <c r="PK27" s="111" t="n"/>
      <c r="PL27" s="111" t="n"/>
      <c r="PM27" s="111" t="n"/>
      <c r="PN27" s="111" t="n"/>
      <c r="PO27" s="111" t="n"/>
      <c r="PP27" s="111" t="n"/>
      <c r="PQ27" s="111" t="n"/>
      <c r="PR27" s="111" t="n"/>
      <c r="PS27" s="111" t="n"/>
      <c r="PT27" s="111" t="n"/>
      <c r="PU27" s="111" t="n"/>
      <c r="PV27" s="111" t="n"/>
      <c r="PW27" s="111" t="n"/>
      <c r="PX27" s="111" t="n"/>
      <c r="PY27" s="111" t="n"/>
      <c r="PZ27" s="111" t="n"/>
      <c r="QA27" s="111" t="n"/>
      <c r="QB27" s="111" t="n"/>
      <c r="QC27" s="111" t="n"/>
      <c r="QD27" s="111" t="n"/>
      <c r="QE27" s="111" t="n"/>
      <c r="QF27" s="111" t="n"/>
      <c r="QG27" s="111" t="n"/>
      <c r="QH27" s="111" t="n"/>
      <c r="QI27" s="111" t="n"/>
      <c r="QJ27" s="111" t="n"/>
      <c r="QK27" s="111" t="n"/>
      <c r="QL27" s="111" t="n"/>
      <c r="QM27" s="111" t="n"/>
      <c r="QN27" s="111" t="n"/>
      <c r="QO27" s="111" t="n"/>
      <c r="QP27" s="111" t="n"/>
      <c r="QQ27" s="111" t="n"/>
      <c r="QR27" s="111" t="n"/>
      <c r="QS27" s="111" t="n"/>
      <c r="QT27" s="111" t="n"/>
      <c r="QU27" s="111" t="n"/>
      <c r="QV27" s="111" t="n"/>
      <c r="QW27" s="111" t="n"/>
      <c r="QX27" s="111" t="n"/>
      <c r="QY27" s="111" t="n"/>
      <c r="QZ27" s="111" t="n"/>
      <c r="RA27" s="111" t="n"/>
      <c r="RB27" s="111" t="n"/>
      <c r="RC27" s="111" t="n"/>
      <c r="RD27" s="111" t="n"/>
      <c r="RE27" s="111" t="n"/>
      <c r="RF27" s="111" t="n"/>
      <c r="RG27" s="111" t="n"/>
      <c r="RH27" s="111" t="n"/>
      <c r="RI27" s="111" t="n"/>
      <c r="RJ27" s="111" t="n"/>
      <c r="RK27" s="111" t="n"/>
      <c r="RL27" s="111" t="n"/>
      <c r="RM27" s="111" t="n"/>
      <c r="RN27" s="111" t="n"/>
      <c r="RO27" s="111" t="n"/>
      <c r="RP27" s="111" t="n"/>
      <c r="RQ27" s="111" t="n"/>
      <c r="RR27" s="111" t="n"/>
      <c r="RS27" s="111" t="n"/>
      <c r="RT27" s="111" t="n"/>
      <c r="RU27" s="111" t="n"/>
      <c r="RV27" s="111" t="n"/>
      <c r="RW27" s="111" t="n"/>
      <c r="RX27" s="111" t="n"/>
      <c r="RY27" s="111" t="n"/>
      <c r="RZ27" s="111" t="n"/>
      <c r="SA27" s="111" t="n"/>
      <c r="SB27" s="111" t="n"/>
      <c r="SC27" s="111" t="n"/>
      <c r="SD27" s="111" t="n"/>
      <c r="SE27" s="111" t="n"/>
      <c r="SF27" s="111" t="n"/>
      <c r="SG27" s="111" t="n"/>
      <c r="SH27" s="111" t="n"/>
      <c r="SI27" s="111" t="n"/>
      <c r="SJ27" s="111" t="n"/>
      <c r="SK27" s="111" t="n"/>
    </row>
    <row r="28" ht="12.75" customFormat="1" customHeight="1" s="137">
      <c r="A28" s="177" t="n">
        <v>15</v>
      </c>
      <c r="B28" s="154" t="inlineStr">
        <is>
          <t xml:space="preserve">Drywall Close in </t>
        </is>
      </c>
      <c r="C28" s="144" t="n"/>
      <c r="D28" s="177" t="n"/>
      <c r="E28" s="177" t="n"/>
      <c r="F28" s="177" t="n"/>
      <c r="G28" s="263" t="n">
        <v>44805</v>
      </c>
      <c r="H28" s="262">
        <f>WORKDAY(G28,I28-1,holidays)</f>
        <v/>
      </c>
      <c r="I28" s="149" t="n">
        <v>5</v>
      </c>
      <c r="J28" s="150" t="n">
        <v>0</v>
      </c>
      <c r="K28" s="151">
        <f>IF(OR(G28=0,H28=0),0,H28-G28+1)</f>
        <v/>
      </c>
      <c r="L28" s="179" t="n">
        <v>0</v>
      </c>
      <c r="M28" s="151">
        <f>K28-L28</f>
        <v/>
      </c>
      <c r="N28" s="180"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c r="GU28" s="111" t="n"/>
      <c r="GV28" s="111" t="n"/>
      <c r="GW28" s="111" t="n"/>
      <c r="GX28" s="111" t="n"/>
      <c r="GY28" s="111" t="n"/>
      <c r="GZ28" s="111" t="n"/>
      <c r="HA28" s="111" t="n"/>
      <c r="HB28" s="111" t="n"/>
      <c r="HC28" s="111" t="n"/>
      <c r="HD28" s="111" t="n"/>
      <c r="HE28" s="111" t="n"/>
      <c r="HF28" s="111" t="n"/>
      <c r="HG28" s="111" t="n"/>
      <c r="HH28" s="111" t="n"/>
      <c r="HI28" s="111" t="n"/>
      <c r="HJ28" s="111" t="n"/>
      <c r="HK28" s="111" t="n"/>
      <c r="HL28" s="111" t="n"/>
      <c r="HM28" s="111" t="n"/>
      <c r="HN28" s="111" t="n"/>
      <c r="HO28" s="111" t="n"/>
      <c r="HP28" s="111" t="n"/>
      <c r="HQ28" s="111" t="n"/>
      <c r="HR28" s="111" t="n"/>
      <c r="HS28" s="111" t="n"/>
      <c r="HT28" s="111" t="n"/>
      <c r="HU28" s="111" t="n"/>
      <c r="HV28" s="111" t="n"/>
      <c r="HW28" s="111" t="n"/>
      <c r="HX28" s="111" t="n"/>
      <c r="HY28" s="111" t="n"/>
      <c r="HZ28" s="111" t="n"/>
      <c r="IA28" s="111" t="n"/>
      <c r="IB28" s="111" t="n"/>
      <c r="IC28" s="111" t="n"/>
      <c r="ID28" s="111" t="n"/>
      <c r="IE28" s="111" t="n"/>
      <c r="IF28" s="111" t="n"/>
      <c r="IG28" s="111" t="n"/>
      <c r="IH28" s="111" t="n"/>
      <c r="II28" s="111" t="n"/>
      <c r="IJ28" s="111" t="n"/>
      <c r="IK28" s="111" t="n"/>
      <c r="IL28" s="111" t="n"/>
      <c r="IM28" s="111" t="n"/>
      <c r="IN28" s="111" t="n"/>
      <c r="IO28" s="111" t="n"/>
      <c r="IP28" s="111" t="n"/>
      <c r="IQ28" s="111" t="n"/>
      <c r="IR28" s="111" t="n"/>
      <c r="IS28" s="111" t="n"/>
      <c r="IT28" s="111" t="n"/>
      <c r="IU28" s="111" t="n"/>
      <c r="IV28" s="111" t="n"/>
      <c r="IW28" s="111" t="n"/>
      <c r="IX28" s="111" t="n"/>
      <c r="IY28" s="111" t="n"/>
      <c r="IZ28" s="111" t="n"/>
      <c r="JA28" s="111" t="n"/>
      <c r="JB28" s="111" t="n"/>
      <c r="JC28" s="111" t="n"/>
      <c r="JD28" s="111" t="n"/>
      <c r="JE28" s="111" t="n"/>
      <c r="JF28" s="111" t="n"/>
      <c r="JG28" s="111" t="n"/>
      <c r="JH28" s="111" t="n"/>
      <c r="JI28" s="111" t="n"/>
      <c r="JJ28" s="111" t="n"/>
      <c r="JK28" s="111" t="n"/>
      <c r="JL28" s="111" t="n"/>
      <c r="JM28" s="111" t="n"/>
      <c r="JN28" s="111" t="n"/>
      <c r="JO28" s="111" t="n"/>
      <c r="JP28" s="111" t="n"/>
      <c r="JQ28" s="111" t="n"/>
      <c r="JR28" s="111" t="n"/>
      <c r="JS28" s="111" t="n"/>
      <c r="JT28" s="111" t="n"/>
      <c r="JU28" s="111" t="n"/>
      <c r="JV28" s="111" t="n"/>
      <c r="JW28" s="111" t="n"/>
      <c r="JX28" s="111" t="n"/>
      <c r="JY28" s="111" t="n"/>
      <c r="JZ28" s="111" t="n"/>
      <c r="KA28" s="111" t="n"/>
      <c r="KB28" s="111" t="n"/>
      <c r="KC28" s="111" t="n"/>
      <c r="KD28" s="111" t="n"/>
      <c r="KE28" s="111" t="n"/>
      <c r="KF28" s="111" t="n"/>
      <c r="KG28" s="111" t="n"/>
      <c r="KH28" s="111" t="n"/>
      <c r="KI28" s="111" t="n"/>
      <c r="KJ28" s="111" t="n"/>
      <c r="KK28" s="111" t="n"/>
      <c r="KL28" s="111" t="n"/>
      <c r="KM28" s="111" t="n"/>
      <c r="KN28" s="111" t="n"/>
      <c r="KO28" s="111" t="n"/>
      <c r="KP28" s="111" t="n"/>
      <c r="KQ28" s="111" t="n"/>
      <c r="KR28" s="111" t="n"/>
      <c r="KS28" s="111" t="n"/>
      <c r="KT28" s="111" t="n"/>
      <c r="KU28" s="111" t="n"/>
      <c r="KV28" s="111" t="n"/>
      <c r="KW28" s="111" t="n"/>
      <c r="KX28" s="111" t="n"/>
      <c r="KY28" s="111" t="n"/>
      <c r="KZ28" s="111" t="n"/>
      <c r="LA28" s="111" t="n"/>
      <c r="LB28" s="111" t="n"/>
      <c r="LC28" s="111" t="n"/>
      <c r="LD28" s="111" t="n"/>
      <c r="LE28" s="111" t="n"/>
      <c r="LF28" s="111" t="n"/>
      <c r="LG28" s="111" t="n"/>
      <c r="LH28" s="111" t="n"/>
      <c r="LI28" s="111" t="n"/>
      <c r="LJ28" s="111" t="n"/>
      <c r="LK28" s="111" t="n"/>
      <c r="LL28" s="111" t="n"/>
      <c r="LM28" s="111" t="n"/>
      <c r="LN28" s="111" t="n"/>
      <c r="LO28" s="111" t="n"/>
      <c r="LP28" s="111" t="n"/>
      <c r="LQ28" s="111" t="n"/>
      <c r="LR28" s="111" t="n"/>
      <c r="LS28" s="111" t="n"/>
      <c r="LT28" s="111" t="n"/>
      <c r="LU28" s="111" t="n"/>
      <c r="LV28" s="111" t="n"/>
      <c r="LW28" s="111" t="n"/>
      <c r="LX28" s="111" t="n"/>
      <c r="LY28" s="111" t="n"/>
      <c r="LZ28" s="111" t="n"/>
      <c r="MA28" s="111" t="n"/>
      <c r="MB28" s="111" t="n"/>
      <c r="MC28" s="111" t="n"/>
      <c r="MD28" s="111" t="n"/>
      <c r="ME28" s="111" t="n"/>
      <c r="MF28" s="111" t="n"/>
      <c r="MG28" s="111" t="n"/>
      <c r="MH28" s="111" t="n"/>
      <c r="MI28" s="111" t="n"/>
      <c r="MJ28" s="111" t="n"/>
      <c r="MK28" s="111" t="n"/>
      <c r="ML28" s="111" t="n"/>
      <c r="MM28" s="111" t="n"/>
      <c r="MN28" s="111" t="n"/>
      <c r="MO28" s="111" t="n"/>
      <c r="MP28" s="111" t="n"/>
      <c r="MQ28" s="111" t="n"/>
      <c r="MR28" s="111" t="n"/>
      <c r="MS28" s="111" t="n"/>
      <c r="MT28" s="111" t="n"/>
      <c r="MU28" s="111" t="n"/>
      <c r="MV28" s="111" t="n"/>
      <c r="MW28" s="111" t="n"/>
      <c r="MX28" s="111" t="n"/>
      <c r="MY28" s="111" t="n"/>
      <c r="MZ28" s="111" t="n"/>
      <c r="NA28" s="111" t="n"/>
      <c r="NB28" s="111" t="n"/>
      <c r="NC28" s="111" t="n"/>
      <c r="ND28" s="111" t="n"/>
      <c r="NE28" s="111" t="n"/>
      <c r="NF28" s="111" t="n"/>
      <c r="NG28" s="111" t="n"/>
      <c r="NH28" s="111" t="n"/>
      <c r="NI28" s="111" t="n"/>
      <c r="NJ28" s="111" t="n"/>
      <c r="NK28" s="111" t="n"/>
      <c r="NL28" s="111" t="n"/>
      <c r="NM28" s="111" t="n"/>
      <c r="NN28" s="111" t="n"/>
      <c r="NO28" s="111" t="n"/>
      <c r="NP28" s="111" t="n"/>
      <c r="NQ28" s="111" t="n"/>
      <c r="NR28" s="111" t="n"/>
      <c r="NS28" s="111" t="n"/>
      <c r="NT28" s="111" t="n"/>
      <c r="NU28" s="111" t="n"/>
      <c r="NV28" s="111" t="n"/>
      <c r="NW28" s="111" t="n"/>
      <c r="NX28" s="111" t="n"/>
      <c r="NY28" s="111" t="n"/>
      <c r="NZ28" s="111" t="n"/>
      <c r="OA28" s="111" t="n"/>
      <c r="OB28" s="111" t="n"/>
      <c r="OC28" s="111" t="n"/>
      <c r="OD28" s="111" t="n"/>
      <c r="OE28" s="111" t="n"/>
      <c r="OF28" s="111" t="n"/>
      <c r="OG28" s="111" t="n"/>
      <c r="OH28" s="111" t="n"/>
      <c r="OI28" s="111" t="n"/>
      <c r="OJ28" s="111" t="n"/>
      <c r="OK28" s="111" t="n"/>
      <c r="OL28" s="111" t="n"/>
      <c r="OM28" s="111" t="n"/>
      <c r="ON28" s="111" t="n"/>
      <c r="OO28" s="111" t="n"/>
      <c r="OP28" s="111" t="n"/>
      <c r="OQ28" s="111" t="n"/>
      <c r="OR28" s="111" t="n"/>
      <c r="OS28" s="111" t="n"/>
      <c r="OT28" s="111" t="n"/>
      <c r="OU28" s="111" t="n"/>
      <c r="OV28" s="111" t="n"/>
      <c r="OW28" s="111" t="n"/>
      <c r="OX28" s="111" t="n"/>
      <c r="OY28" s="111" t="n"/>
      <c r="OZ28" s="111" t="n"/>
      <c r="PA28" s="111" t="n"/>
      <c r="PB28" s="111" t="n"/>
      <c r="PC28" s="111" t="n"/>
      <c r="PD28" s="111" t="n"/>
      <c r="PE28" s="111" t="n"/>
      <c r="PF28" s="111" t="n"/>
      <c r="PG28" s="111" t="n"/>
      <c r="PH28" s="111" t="n"/>
      <c r="PI28" s="111" t="n"/>
      <c r="PJ28" s="111" t="n"/>
      <c r="PK28" s="111" t="n"/>
      <c r="PL28" s="111" t="n"/>
      <c r="PM28" s="111" t="n"/>
      <c r="PN28" s="111" t="n"/>
      <c r="PO28" s="111" t="n"/>
      <c r="PP28" s="111" t="n"/>
      <c r="PQ28" s="111" t="n"/>
      <c r="PR28" s="111" t="n"/>
      <c r="PS28" s="111" t="n"/>
      <c r="PT28" s="111" t="n"/>
      <c r="PU28" s="111" t="n"/>
      <c r="PV28" s="111" t="n"/>
      <c r="PW28" s="111" t="n"/>
      <c r="PX28" s="111" t="n"/>
      <c r="PY28" s="111" t="n"/>
      <c r="PZ28" s="111" t="n"/>
      <c r="QA28" s="111" t="n"/>
      <c r="QB28" s="111" t="n"/>
      <c r="QC28" s="111" t="n"/>
      <c r="QD28" s="111" t="n"/>
      <c r="QE28" s="111" t="n"/>
      <c r="QF28" s="111" t="n"/>
      <c r="QG28" s="111" t="n"/>
      <c r="QH28" s="111" t="n"/>
      <c r="QI28" s="111" t="n"/>
      <c r="QJ28" s="111" t="n"/>
      <c r="QK28" s="111" t="n"/>
      <c r="QL28" s="111" t="n"/>
      <c r="QM28" s="111" t="n"/>
      <c r="QN28" s="111" t="n"/>
      <c r="QO28" s="111" t="n"/>
      <c r="QP28" s="111" t="n"/>
      <c r="QQ28" s="111" t="n"/>
      <c r="QR28" s="111" t="n"/>
      <c r="QS28" s="111" t="n"/>
      <c r="QT28" s="111" t="n"/>
      <c r="QU28" s="111" t="n"/>
      <c r="QV28" s="111" t="n"/>
      <c r="QW28" s="111" t="n"/>
      <c r="QX28" s="111" t="n"/>
      <c r="QY28" s="111" t="n"/>
      <c r="QZ28" s="111" t="n"/>
      <c r="RA28" s="111" t="n"/>
      <c r="RB28" s="111" t="n"/>
      <c r="RC28" s="111" t="n"/>
      <c r="RD28" s="111" t="n"/>
      <c r="RE28" s="111" t="n"/>
      <c r="RF28" s="111" t="n"/>
      <c r="RG28" s="111" t="n"/>
      <c r="RH28" s="111" t="n"/>
      <c r="RI28" s="111" t="n"/>
      <c r="RJ28" s="111" t="n"/>
      <c r="RK28" s="111" t="n"/>
      <c r="RL28" s="111" t="n"/>
      <c r="RM28" s="111" t="n"/>
      <c r="RN28" s="111" t="n"/>
      <c r="RO28" s="111" t="n"/>
      <c r="RP28" s="111" t="n"/>
      <c r="RQ28" s="111" t="n"/>
      <c r="RR28" s="111" t="n"/>
      <c r="RS28" s="111" t="n"/>
      <c r="RT28" s="111" t="n"/>
      <c r="RU28" s="111" t="n"/>
      <c r="RV28" s="111" t="n"/>
      <c r="RW28" s="111" t="n"/>
      <c r="RX28" s="111" t="n"/>
      <c r="RY28" s="111" t="n"/>
      <c r="RZ28" s="111" t="n"/>
      <c r="SA28" s="111" t="n"/>
      <c r="SB28" s="111" t="n"/>
      <c r="SC28" s="111" t="n"/>
      <c r="SD28" s="111" t="n"/>
      <c r="SE28" s="111" t="n"/>
      <c r="SF28" s="111" t="n"/>
      <c r="SG28" s="111" t="n"/>
      <c r="SH28" s="111" t="n"/>
      <c r="SI28" s="111" t="n"/>
      <c r="SJ28" s="111" t="n"/>
      <c r="SK28" s="111" t="n"/>
    </row>
    <row r="29" ht="15.75" customFormat="1" customHeight="1" s="137">
      <c r="A29" s="177" t="n">
        <v>16</v>
      </c>
      <c r="B29" s="154" t="inlineStr">
        <is>
          <t>Polish floors</t>
        </is>
      </c>
      <c r="C29" s="144" t="n"/>
      <c r="D29" s="177" t="n"/>
      <c r="E29" s="177" t="n"/>
      <c r="F29" s="177" t="n"/>
      <c r="G29" s="263" t="n">
        <v>44819</v>
      </c>
      <c r="H29" s="262">
        <f>WORKDAY(G29,I29-1,holidays)</f>
        <v/>
      </c>
      <c r="I29" s="149" t="n">
        <v>2</v>
      </c>
      <c r="J29" s="150" t="n">
        <v>0</v>
      </c>
      <c r="K29" s="151">
        <f>IF(OR(G29=0,H29=0),0,H29-G29+1)</f>
        <v/>
      </c>
      <c r="L29" s="152">
        <f>MIN(K29,WORKDAY(G29,ROUNDDOWN(J29*I29,0),holidays)-G29)</f>
        <v/>
      </c>
      <c r="M29" s="151">
        <f>K29-L29</f>
        <v/>
      </c>
      <c r="N29" s="180" t="n"/>
      <c r="P29" s="111" t="n"/>
      <c r="Q29" s="111"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c r="AJ29" s="111" t="n"/>
      <c r="AK29" s="111" t="n"/>
      <c r="AL29" s="111" t="n"/>
      <c r="AM29" s="111" t="n"/>
      <c r="AN29" s="111" t="n"/>
      <c r="AO29" s="111" t="n"/>
      <c r="AP29" s="111" t="n"/>
      <c r="AQ29" s="111" t="n"/>
      <c r="AR29" s="111" t="n"/>
      <c r="AS29" s="111" t="n"/>
      <c r="AT29" s="111" t="n"/>
      <c r="AU29" s="111" t="n"/>
      <c r="AV29" s="111" t="n"/>
      <c r="AW29" s="111" t="n"/>
      <c r="AX29" s="111" t="n"/>
      <c r="AY29" s="111" t="n"/>
      <c r="AZ29" s="111" t="n"/>
      <c r="BA29" s="111" t="n"/>
      <c r="BB29" s="111" t="n"/>
      <c r="BC29" s="111" t="n"/>
      <c r="BD29" s="111" t="n"/>
      <c r="BE29" s="111" t="n"/>
      <c r="BF29" s="111" t="n"/>
      <c r="BG29" s="111" t="n"/>
      <c r="BH29" s="111" t="n"/>
      <c r="BI29" s="111" t="n"/>
      <c r="BJ29" s="111" t="n"/>
      <c r="BK29" s="111" t="n"/>
      <c r="BL29" s="111" t="n"/>
      <c r="BM29" s="111" t="n"/>
      <c r="BN29" s="111" t="n"/>
      <c r="BO29" s="111" t="n"/>
      <c r="BP29" s="111" t="n"/>
      <c r="BQ29" s="111" t="n"/>
      <c r="BR29" s="111" t="n"/>
      <c r="BS29" s="111" t="n"/>
      <c r="BT29" s="111" t="n"/>
      <c r="BU29" s="111" t="n"/>
      <c r="BV29" s="111" t="n"/>
      <c r="BW29" s="111" t="n"/>
      <c r="BX29" s="111" t="n"/>
      <c r="BY29" s="111" t="n"/>
      <c r="BZ29" s="111" t="n"/>
      <c r="CA29" s="111" t="n"/>
      <c r="CB29" s="111" t="n"/>
      <c r="CC29" s="111" t="n"/>
      <c r="CD29" s="111" t="n"/>
      <c r="CE29" s="111" t="n"/>
      <c r="CF29" s="111" t="n"/>
      <c r="CG29" s="111" t="n"/>
      <c r="CH29" s="111" t="n"/>
      <c r="CI29" s="111" t="n"/>
      <c r="CJ29" s="111" t="n"/>
      <c r="CK29" s="111" t="n"/>
      <c r="CL29" s="111" t="n"/>
      <c r="CM29" s="111" t="n"/>
      <c r="CN29" s="111" t="n"/>
      <c r="CO29" s="111" t="n"/>
      <c r="CP29" s="111" t="n"/>
      <c r="CQ29" s="111" t="n"/>
      <c r="CR29" s="111" t="n"/>
      <c r="CS29" s="111" t="n"/>
      <c r="CT29" s="111" t="n"/>
      <c r="CU29" s="111" t="n"/>
      <c r="CV29" s="111" t="n"/>
      <c r="CW29" s="111" t="n"/>
      <c r="CX29" s="111" t="n"/>
      <c r="CY29" s="111" t="n"/>
      <c r="CZ29" s="111" t="n"/>
      <c r="DA29" s="111" t="n"/>
      <c r="DB29" s="111" t="n"/>
      <c r="DC29" s="111" t="n"/>
      <c r="DD29" s="111" t="n"/>
      <c r="DE29" s="111" t="n"/>
      <c r="DF29" s="111" t="n"/>
      <c r="DG29" s="111" t="n"/>
      <c r="DH29" s="111" t="n"/>
      <c r="DI29" s="111" t="n"/>
      <c r="DJ29" s="111" t="n"/>
      <c r="DK29" s="111" t="n"/>
      <c r="DL29" s="111" t="n"/>
      <c r="DM29" s="111" t="n"/>
      <c r="DN29" s="111" t="n"/>
      <c r="DO29" s="111" t="n"/>
      <c r="DP29" s="111" t="n"/>
      <c r="DQ29" s="111" t="n"/>
      <c r="DR29" s="111" t="n"/>
      <c r="DS29" s="111" t="n"/>
      <c r="DT29" s="111" t="n"/>
      <c r="DU29" s="111" t="n"/>
      <c r="DV29" s="111" t="n"/>
      <c r="DW29" s="111" t="n"/>
      <c r="DX29" s="111" t="n"/>
      <c r="DY29" s="111" t="n"/>
      <c r="DZ29" s="111" t="n"/>
      <c r="EA29" s="111" t="n"/>
      <c r="EB29" s="111" t="n"/>
      <c r="EC29" s="111" t="n"/>
      <c r="ED29" s="111" t="n"/>
      <c r="EE29" s="111" t="n"/>
      <c r="EF29" s="111" t="n"/>
      <c r="EG29" s="111" t="n"/>
      <c r="EH29" s="111" t="n"/>
      <c r="EI29" s="111" t="n"/>
      <c r="EJ29" s="111" t="n"/>
      <c r="EK29" s="111" t="n"/>
      <c r="EL29" s="111" t="n"/>
      <c r="EM29" s="111" t="n"/>
      <c r="EN29" s="111" t="n"/>
      <c r="EO29" s="111" t="n"/>
      <c r="EP29" s="111" t="n"/>
      <c r="EQ29" s="111" t="n"/>
      <c r="ER29" s="111" t="n"/>
      <c r="ES29" s="111" t="n"/>
      <c r="ET29" s="111" t="n"/>
      <c r="EU29" s="111" t="n"/>
      <c r="EV29" s="111" t="n"/>
      <c r="EW29" s="111" t="n"/>
      <c r="EX29" s="111" t="n"/>
      <c r="EY29" s="111" t="n"/>
      <c r="EZ29" s="111" t="n"/>
      <c r="FA29" s="111" t="n"/>
      <c r="FB29" s="111" t="n"/>
      <c r="FC29" s="111" t="n"/>
      <c r="FD29" s="111" t="n"/>
      <c r="FE29" s="111" t="n"/>
      <c r="FF29" s="111" t="n"/>
      <c r="FG29" s="111" t="n"/>
      <c r="FH29" s="111" t="n"/>
      <c r="FI29" s="111" t="n"/>
      <c r="FJ29" s="111" t="n"/>
      <c r="FK29" s="111" t="n"/>
      <c r="FL29" s="111" t="n"/>
      <c r="FM29" s="111" t="n"/>
      <c r="FN29" s="111" t="n"/>
      <c r="FO29" s="111" t="n"/>
      <c r="FP29" s="111" t="n"/>
      <c r="FQ29" s="111" t="n"/>
      <c r="FR29" s="111" t="n"/>
      <c r="FS29" s="111" t="n"/>
      <c r="FT29" s="111" t="n"/>
      <c r="FU29" s="111" t="n"/>
      <c r="FV29" s="111" t="n"/>
      <c r="FW29" s="111" t="n"/>
      <c r="FX29" s="111" t="n"/>
      <c r="FY29" s="111" t="n"/>
      <c r="FZ29" s="111" t="n"/>
      <c r="GA29" s="111" t="n"/>
      <c r="GB29" s="111" t="n"/>
      <c r="GC29" s="111" t="n"/>
      <c r="GD29" s="111" t="n"/>
      <c r="GE29" s="111" t="n"/>
      <c r="GF29" s="111" t="n"/>
      <c r="GG29" s="111" t="n"/>
      <c r="GH29" s="111" t="n"/>
      <c r="GI29" s="111" t="n"/>
      <c r="GJ29" s="111" t="n"/>
      <c r="GK29" s="111" t="n"/>
      <c r="GL29" s="111" t="n"/>
      <c r="GM29" s="111" t="n"/>
      <c r="GN29" s="111" t="n"/>
      <c r="GO29" s="111" t="n"/>
      <c r="GP29" s="111" t="n"/>
      <c r="GQ29" s="111" t="n"/>
      <c r="GR29" s="111" t="n"/>
      <c r="GS29" s="111" t="n"/>
      <c r="GT29" s="111" t="n"/>
      <c r="GU29" s="111" t="n"/>
      <c r="GV29" s="111" t="n"/>
      <c r="GW29" s="111" t="n"/>
      <c r="GX29" s="111" t="n"/>
      <c r="GY29" s="111" t="n"/>
      <c r="GZ29" s="111" t="n"/>
      <c r="HA29" s="111" t="n"/>
      <c r="HB29" s="111" t="n"/>
      <c r="HC29" s="111" t="n"/>
      <c r="HD29" s="111" t="n"/>
      <c r="HE29" s="111" t="n"/>
      <c r="HF29" s="111" t="n"/>
      <c r="HG29" s="111" t="n"/>
      <c r="HH29" s="111" t="n"/>
      <c r="HI29" s="111" t="n"/>
      <c r="HJ29" s="111" t="n"/>
      <c r="HK29" s="111" t="n"/>
      <c r="HL29" s="111" t="n"/>
      <c r="HM29" s="111" t="n"/>
      <c r="HN29" s="111" t="n"/>
      <c r="HO29" s="111" t="n"/>
      <c r="HP29" s="111" t="n"/>
      <c r="HQ29" s="111" t="n"/>
      <c r="HR29" s="111" t="n"/>
      <c r="HS29" s="111" t="n"/>
      <c r="HT29" s="111" t="n"/>
      <c r="HU29" s="111" t="n"/>
      <c r="HV29" s="111" t="n"/>
      <c r="HW29" s="111" t="n"/>
      <c r="HX29" s="111" t="n"/>
      <c r="HY29" s="111" t="n"/>
      <c r="HZ29" s="111" t="n"/>
      <c r="IA29" s="111" t="n"/>
      <c r="IB29" s="111" t="n"/>
      <c r="IC29" s="111" t="n"/>
      <c r="ID29" s="111" t="n"/>
      <c r="IE29" s="111" t="n"/>
      <c r="IF29" s="111" t="n"/>
      <c r="IG29" s="111" t="n"/>
      <c r="IH29" s="111" t="n"/>
      <c r="II29" s="111" t="n"/>
      <c r="IJ29" s="111" t="n"/>
      <c r="IK29" s="111" t="n"/>
      <c r="IL29" s="111" t="n"/>
      <c r="IM29" s="111" t="n"/>
      <c r="IN29" s="111" t="n"/>
      <c r="IO29" s="111" t="n"/>
      <c r="IP29" s="111" t="n"/>
      <c r="IQ29" s="111" t="n"/>
      <c r="IR29" s="111" t="n"/>
      <c r="IS29" s="111" t="n"/>
      <c r="IT29" s="111" t="n"/>
      <c r="IU29" s="111" t="n"/>
      <c r="IV29" s="111" t="n"/>
      <c r="IW29" s="111" t="n"/>
      <c r="IX29" s="111" t="n"/>
      <c r="IY29" s="111" t="n"/>
      <c r="IZ29" s="111" t="n"/>
      <c r="JA29" s="111" t="n"/>
      <c r="JB29" s="111" t="n"/>
      <c r="JC29" s="111" t="n"/>
      <c r="JD29" s="111" t="n"/>
      <c r="JE29" s="111" t="n"/>
      <c r="JF29" s="111" t="n"/>
      <c r="JG29" s="111" t="n"/>
      <c r="JH29" s="111" t="n"/>
      <c r="JI29" s="111" t="n"/>
      <c r="JJ29" s="111" t="n"/>
      <c r="JK29" s="111" t="n"/>
      <c r="JL29" s="111" t="n"/>
      <c r="JM29" s="111" t="n"/>
      <c r="JN29" s="111" t="n"/>
      <c r="JO29" s="111" t="n"/>
      <c r="JP29" s="111" t="n"/>
      <c r="JQ29" s="111" t="n"/>
      <c r="JR29" s="111" t="n"/>
      <c r="JS29" s="111" t="n"/>
      <c r="JT29" s="111" t="n"/>
      <c r="JU29" s="111" t="n"/>
      <c r="JV29" s="111" t="n"/>
      <c r="JW29" s="111" t="n"/>
      <c r="JX29" s="111" t="n"/>
      <c r="JY29" s="111" t="n"/>
      <c r="JZ29" s="111" t="n"/>
      <c r="KA29" s="111" t="n"/>
      <c r="KB29" s="111" t="n"/>
      <c r="KC29" s="111" t="n"/>
      <c r="KD29" s="111" t="n"/>
      <c r="KE29" s="111" t="n"/>
      <c r="KF29" s="111" t="n"/>
      <c r="KG29" s="111" t="n"/>
      <c r="KH29" s="111" t="n"/>
      <c r="KI29" s="111" t="n"/>
      <c r="KJ29" s="111" t="n"/>
      <c r="KK29" s="111" t="n"/>
      <c r="KL29" s="111" t="n"/>
      <c r="KM29" s="111" t="n"/>
      <c r="KN29" s="111" t="n"/>
      <c r="KO29" s="111" t="n"/>
      <c r="KP29" s="111" t="n"/>
      <c r="KQ29" s="111" t="n"/>
      <c r="KR29" s="111" t="n"/>
      <c r="KS29" s="111" t="n"/>
      <c r="KT29" s="111" t="n"/>
      <c r="KU29" s="111" t="n"/>
      <c r="KV29" s="111" t="n"/>
      <c r="KW29" s="111" t="n"/>
      <c r="KX29" s="111" t="n"/>
      <c r="KY29" s="111" t="n"/>
      <c r="KZ29" s="111" t="n"/>
      <c r="LA29" s="111" t="n"/>
      <c r="LB29" s="111" t="n"/>
      <c r="LC29" s="111" t="n"/>
      <c r="LD29" s="111" t="n"/>
      <c r="LE29" s="111" t="n"/>
      <c r="LF29" s="111" t="n"/>
      <c r="LG29" s="111" t="n"/>
      <c r="LH29" s="111" t="n"/>
      <c r="LI29" s="111" t="n"/>
      <c r="LJ29" s="111" t="n"/>
      <c r="LK29" s="111" t="n"/>
      <c r="LL29" s="111" t="n"/>
      <c r="LM29" s="111" t="n"/>
      <c r="LN29" s="111" t="n"/>
      <c r="LO29" s="111" t="n"/>
      <c r="LP29" s="111" t="n"/>
      <c r="LQ29" s="111" t="n"/>
      <c r="LR29" s="111" t="n"/>
      <c r="LS29" s="111" t="n"/>
      <c r="LT29" s="111" t="n"/>
      <c r="LU29" s="111" t="n"/>
      <c r="LV29" s="111" t="n"/>
      <c r="LW29" s="111" t="n"/>
      <c r="LX29" s="111" t="n"/>
      <c r="LY29" s="111" t="n"/>
      <c r="LZ29" s="111" t="n"/>
      <c r="MA29" s="111" t="n"/>
      <c r="MB29" s="111" t="n"/>
      <c r="MC29" s="111" t="n"/>
      <c r="MD29" s="111" t="n"/>
      <c r="ME29" s="111" t="n"/>
      <c r="MF29" s="111" t="n"/>
      <c r="MG29" s="111" t="n"/>
      <c r="MH29" s="111" t="n"/>
      <c r="MI29" s="111" t="n"/>
      <c r="MJ29" s="111" t="n"/>
      <c r="MK29" s="111" t="n"/>
      <c r="ML29" s="111" t="n"/>
      <c r="MM29" s="111" t="n"/>
      <c r="MN29" s="111" t="n"/>
      <c r="MO29" s="111" t="n"/>
      <c r="MP29" s="111" t="n"/>
      <c r="MQ29" s="111" t="n"/>
      <c r="MR29" s="111" t="n"/>
      <c r="MS29" s="111" t="n"/>
      <c r="MT29" s="111" t="n"/>
      <c r="MU29" s="111" t="n"/>
      <c r="MV29" s="111" t="n"/>
      <c r="MW29" s="111" t="n"/>
      <c r="MX29" s="111" t="n"/>
      <c r="MY29" s="111" t="n"/>
      <c r="MZ29" s="111" t="n"/>
      <c r="NA29" s="111" t="n"/>
      <c r="NB29" s="111" t="n"/>
      <c r="NC29" s="111" t="n"/>
      <c r="ND29" s="111" t="n"/>
      <c r="NE29" s="111" t="n"/>
      <c r="NF29" s="111" t="n"/>
      <c r="NG29" s="111" t="n"/>
      <c r="NH29" s="111" t="n"/>
      <c r="NI29" s="111" t="n"/>
      <c r="NJ29" s="111" t="n"/>
      <c r="NK29" s="111" t="n"/>
      <c r="NL29" s="111" t="n"/>
      <c r="NM29" s="111" t="n"/>
      <c r="NN29" s="111" t="n"/>
      <c r="NO29" s="111" t="n"/>
      <c r="NP29" s="111" t="n"/>
      <c r="NQ29" s="111" t="n"/>
      <c r="NR29" s="111" t="n"/>
      <c r="NS29" s="111" t="n"/>
      <c r="NT29" s="111" t="n"/>
      <c r="NU29" s="111" t="n"/>
      <c r="NV29" s="111" t="n"/>
      <c r="NW29" s="111" t="n"/>
      <c r="NX29" s="111" t="n"/>
      <c r="NY29" s="111" t="n"/>
      <c r="NZ29" s="111" t="n"/>
      <c r="OA29" s="111" t="n"/>
      <c r="OB29" s="111" t="n"/>
      <c r="OC29" s="111" t="n"/>
      <c r="OD29" s="111" t="n"/>
      <c r="OE29" s="111" t="n"/>
      <c r="OF29" s="111" t="n"/>
      <c r="OG29" s="111" t="n"/>
      <c r="OH29" s="111" t="n"/>
      <c r="OI29" s="111" t="n"/>
      <c r="OJ29" s="111" t="n"/>
      <c r="OK29" s="111" t="n"/>
      <c r="OL29" s="111" t="n"/>
      <c r="OM29" s="111" t="n"/>
      <c r="ON29" s="111" t="n"/>
      <c r="OO29" s="111" t="n"/>
      <c r="OP29" s="111" t="n"/>
      <c r="OQ29" s="111" t="n"/>
      <c r="OR29" s="111" t="n"/>
      <c r="OS29" s="111" t="n"/>
      <c r="OT29" s="111" t="n"/>
      <c r="OU29" s="111" t="n"/>
      <c r="OV29" s="111" t="n"/>
      <c r="OW29" s="111" t="n"/>
      <c r="OX29" s="111" t="n"/>
      <c r="OY29" s="111" t="n"/>
      <c r="OZ29" s="111" t="n"/>
      <c r="PA29" s="111" t="n"/>
      <c r="PB29" s="111" t="n"/>
      <c r="PC29" s="111" t="n"/>
      <c r="PD29" s="111" t="n"/>
      <c r="PE29" s="111" t="n"/>
      <c r="PF29" s="111" t="n"/>
      <c r="PG29" s="111" t="n"/>
      <c r="PH29" s="111" t="n"/>
      <c r="PI29" s="111" t="n"/>
      <c r="PJ29" s="111" t="n"/>
      <c r="PK29" s="111" t="n"/>
      <c r="PL29" s="111" t="n"/>
      <c r="PM29" s="111" t="n"/>
      <c r="PN29" s="111" t="n"/>
      <c r="PO29" s="111" t="n"/>
      <c r="PP29" s="111" t="n"/>
      <c r="PQ29" s="111" t="n"/>
      <c r="PR29" s="111" t="n"/>
      <c r="PS29" s="111" t="n"/>
      <c r="PT29" s="111" t="n"/>
      <c r="PU29" s="111" t="n"/>
      <c r="PV29" s="111" t="n"/>
      <c r="PW29" s="111" t="n"/>
      <c r="PX29" s="111" t="n"/>
      <c r="PY29" s="111" t="n"/>
      <c r="PZ29" s="111" t="n"/>
      <c r="QA29" s="111" t="n"/>
      <c r="QB29" s="111" t="n"/>
      <c r="QC29" s="111" t="n"/>
      <c r="QD29" s="111" t="n"/>
      <c r="QE29" s="111" t="n"/>
      <c r="QF29" s="111" t="n"/>
      <c r="QG29" s="111" t="n"/>
      <c r="QH29" s="111" t="n"/>
      <c r="QI29" s="111" t="n"/>
      <c r="QJ29" s="111" t="n"/>
      <c r="QK29" s="111" t="n"/>
      <c r="QL29" s="111" t="n"/>
      <c r="QM29" s="111" t="n"/>
      <c r="QN29" s="111" t="n"/>
      <c r="QO29" s="111" t="n"/>
      <c r="QP29" s="111" t="n"/>
      <c r="QQ29" s="111" t="n"/>
      <c r="QR29" s="111" t="n"/>
      <c r="QS29" s="111" t="n"/>
      <c r="QT29" s="111" t="n"/>
      <c r="QU29" s="111" t="n"/>
      <c r="QV29" s="111" t="n"/>
      <c r="QW29" s="111" t="n"/>
      <c r="QX29" s="111" t="n"/>
      <c r="QY29" s="111" t="n"/>
      <c r="QZ29" s="111" t="n"/>
      <c r="RA29" s="111" t="n"/>
      <c r="RB29" s="111" t="n"/>
      <c r="RC29" s="111" t="n"/>
      <c r="RD29" s="111" t="n"/>
      <c r="RE29" s="111" t="n"/>
      <c r="RF29" s="111" t="n"/>
      <c r="RG29" s="111" t="n"/>
      <c r="RH29" s="111" t="n"/>
      <c r="RI29" s="111" t="n"/>
      <c r="RJ29" s="111" t="n"/>
      <c r="RK29" s="111" t="n"/>
      <c r="RL29" s="111" t="n"/>
      <c r="RM29" s="111" t="n"/>
      <c r="RN29" s="111" t="n"/>
      <c r="RO29" s="111" t="n"/>
      <c r="RP29" s="111" t="n"/>
      <c r="RQ29" s="111" t="n"/>
      <c r="RR29" s="111" t="n"/>
      <c r="RS29" s="111" t="n"/>
      <c r="RT29" s="111" t="n"/>
      <c r="RU29" s="111" t="n"/>
      <c r="RV29" s="111" t="n"/>
      <c r="RW29" s="111" t="n"/>
      <c r="RX29" s="111" t="n"/>
      <c r="RY29" s="111" t="n"/>
      <c r="RZ29" s="111" t="n"/>
      <c r="SA29" s="111" t="n"/>
      <c r="SB29" s="111" t="n"/>
      <c r="SC29" s="111" t="n"/>
      <c r="SD29" s="111" t="n"/>
      <c r="SE29" s="111" t="n"/>
      <c r="SF29" s="111" t="n"/>
      <c r="SG29" s="111" t="n"/>
      <c r="SH29" s="111" t="n"/>
      <c r="SI29" s="111" t="n"/>
      <c r="SJ29" s="111" t="n"/>
      <c r="SK29" s="111" t="n"/>
    </row>
    <row r="30" ht="15.75" customFormat="1" customHeight="1" s="137">
      <c r="A30" s="177" t="n">
        <v>17</v>
      </c>
      <c r="B30" s="154" t="inlineStr">
        <is>
          <t>Ceiling Layout  &amp; Tile Install</t>
        </is>
      </c>
      <c r="C30" s="144" t="n"/>
      <c r="D30" s="177" t="n"/>
      <c r="E30" s="177" t="n"/>
      <c r="F30" s="177" t="n"/>
      <c r="G30" s="263" t="n">
        <v>44825</v>
      </c>
      <c r="H30" s="262">
        <f>WORKDAY(G30,I30-1,holidays)</f>
        <v/>
      </c>
      <c r="I30" s="149" t="n">
        <v>1</v>
      </c>
      <c r="J30" s="150" t="n">
        <v>0</v>
      </c>
      <c r="K30" s="151">
        <f>IF(OR(G30=0,H30=0),0,H30-G30+1)</f>
        <v/>
      </c>
      <c r="L30" s="152">
        <f>MIN(K30,WORKDAY(G30,ROUNDDOWN(J30*I30,0),holidays)-G30)</f>
        <v/>
      </c>
      <c r="M30" s="151">
        <f>K30-L30</f>
        <v/>
      </c>
      <c r="N30" s="180" t="n"/>
      <c r="P30" s="111" t="n"/>
      <c r="Q30" s="111" t="n"/>
      <c r="R30" s="111" t="n"/>
      <c r="S30" s="111" t="n"/>
      <c r="T30" s="111" t="n"/>
      <c r="U30" s="111" t="n"/>
      <c r="V30" s="111" t="n"/>
      <c r="W30" s="111" t="n"/>
      <c r="X30" s="111" t="n"/>
      <c r="Y30" s="111" t="n"/>
      <c r="Z30" s="111" t="n"/>
      <c r="AA30" s="111" t="n"/>
      <c r="AB30" s="111" t="n"/>
      <c r="AC30" s="111" t="n"/>
      <c r="AD30" s="111" t="n"/>
      <c r="AE30" s="111" t="n"/>
      <c r="AF30" s="111" t="n"/>
      <c r="AG30" s="111" t="n"/>
      <c r="AH30" s="111" t="n"/>
      <c r="AI30" s="111" t="n"/>
      <c r="AJ30" s="111" t="n"/>
      <c r="AK30" s="111" t="n"/>
      <c r="AL30" s="111" t="n"/>
      <c r="AM30" s="111" t="n"/>
      <c r="AN30" s="111" t="n"/>
      <c r="AO30" s="111" t="n"/>
      <c r="AP30" s="111" t="n"/>
      <c r="AQ30" s="111" t="n"/>
      <c r="AR30" s="111" t="n"/>
      <c r="AS30" s="111" t="n"/>
      <c r="AT30" s="111" t="n"/>
      <c r="AU30" s="111" t="n"/>
      <c r="AV30" s="111" t="n"/>
      <c r="AW30" s="111" t="n"/>
      <c r="AX30" s="111" t="n"/>
      <c r="AY30" s="111" t="n"/>
      <c r="AZ30" s="111" t="n"/>
      <c r="BA30" s="111" t="n"/>
      <c r="BB30" s="111" t="n"/>
      <c r="BC30" s="111" t="n"/>
      <c r="BD30" s="111" t="n"/>
      <c r="BE30" s="111" t="n"/>
      <c r="BF30" s="111" t="n"/>
      <c r="BG30" s="111" t="n"/>
      <c r="BH30" s="111" t="n"/>
      <c r="BI30" s="111" t="n"/>
      <c r="BJ30" s="111" t="n"/>
      <c r="BK30" s="111" t="n"/>
      <c r="BL30" s="111" t="n"/>
      <c r="BM30" s="111" t="n"/>
      <c r="BN30" s="111" t="n"/>
      <c r="BO30" s="111" t="n"/>
      <c r="BP30" s="111" t="n"/>
      <c r="BQ30" s="111" t="n"/>
      <c r="BR30" s="111" t="n"/>
      <c r="BS30" s="111" t="n"/>
      <c r="BT30" s="111" t="n"/>
      <c r="BU30" s="111" t="n"/>
      <c r="BV30" s="111" t="n"/>
      <c r="BW30" s="111" t="n"/>
      <c r="BX30" s="111" t="n"/>
      <c r="BY30" s="111" t="n"/>
      <c r="BZ30" s="111" t="n"/>
      <c r="CA30" s="111" t="n"/>
      <c r="CB30" s="111" t="n"/>
      <c r="CC30" s="111" t="n"/>
      <c r="CD30" s="111" t="n"/>
      <c r="CE30" s="111" t="n"/>
      <c r="CF30" s="111" t="n"/>
      <c r="CG30" s="111" t="n"/>
      <c r="CH30" s="111" t="n"/>
      <c r="CI30" s="111" t="n"/>
      <c r="CJ30" s="111" t="n"/>
      <c r="CK30" s="111" t="n"/>
      <c r="CL30" s="111" t="n"/>
      <c r="CM30" s="111" t="n"/>
      <c r="CN30" s="111" t="n"/>
      <c r="CO30" s="111" t="n"/>
      <c r="CP30" s="111" t="n"/>
      <c r="CQ30" s="111" t="n"/>
      <c r="CR30" s="111" t="n"/>
      <c r="CS30" s="111" t="n"/>
      <c r="CT30" s="111" t="n"/>
      <c r="CU30" s="111" t="n"/>
      <c r="CV30" s="111" t="n"/>
      <c r="CW30" s="111" t="n"/>
      <c r="CX30" s="111" t="n"/>
      <c r="CY30" s="111" t="n"/>
      <c r="CZ30" s="111" t="n"/>
      <c r="DA30" s="111" t="n"/>
      <c r="DB30" s="111" t="n"/>
      <c r="DC30" s="111" t="n"/>
      <c r="DD30" s="111" t="n"/>
      <c r="DE30" s="111" t="n"/>
      <c r="DF30" s="111" t="n"/>
      <c r="DG30" s="111" t="n"/>
      <c r="DH30" s="111" t="n"/>
      <c r="DI30" s="111" t="n"/>
      <c r="DJ30" s="111" t="n"/>
      <c r="DK30" s="111" t="n"/>
      <c r="DL30" s="111" t="n"/>
      <c r="DM30" s="111" t="n"/>
      <c r="DN30" s="111" t="n"/>
      <c r="DO30" s="111" t="n"/>
      <c r="DP30" s="111" t="n"/>
      <c r="DQ30" s="111" t="n"/>
      <c r="DR30" s="111" t="n"/>
      <c r="DS30" s="111" t="n"/>
      <c r="DT30" s="111" t="n"/>
      <c r="DU30" s="111" t="n"/>
      <c r="DV30" s="111" t="n"/>
      <c r="DW30" s="111" t="n"/>
      <c r="DX30" s="111" t="n"/>
      <c r="DY30" s="111" t="n"/>
      <c r="DZ30" s="111" t="n"/>
      <c r="EA30" s="111" t="n"/>
      <c r="EB30" s="111" t="n"/>
      <c r="EC30" s="111" t="n"/>
      <c r="ED30" s="111" t="n"/>
      <c r="EE30" s="111" t="n"/>
      <c r="EF30" s="111" t="n"/>
      <c r="EG30" s="111" t="n"/>
      <c r="EH30" s="111" t="n"/>
      <c r="EI30" s="111" t="n"/>
      <c r="EJ30" s="111" t="n"/>
      <c r="EK30" s="111" t="n"/>
      <c r="EL30" s="111" t="n"/>
      <c r="EM30" s="111" t="n"/>
      <c r="EN30" s="111" t="n"/>
      <c r="EO30" s="111" t="n"/>
      <c r="EP30" s="111" t="n"/>
      <c r="EQ30" s="111" t="n"/>
      <c r="ER30" s="111" t="n"/>
      <c r="ES30" s="111" t="n"/>
      <c r="ET30" s="111" t="n"/>
      <c r="EU30" s="111" t="n"/>
      <c r="EV30" s="111" t="n"/>
      <c r="EW30" s="111" t="n"/>
      <c r="EX30" s="111" t="n"/>
      <c r="EY30" s="111" t="n"/>
      <c r="EZ30" s="111" t="n"/>
      <c r="FA30" s="111" t="n"/>
      <c r="FB30" s="111" t="n"/>
      <c r="FC30" s="111" t="n"/>
      <c r="FD30" s="111" t="n"/>
      <c r="FE30" s="111" t="n"/>
      <c r="FF30" s="111" t="n"/>
      <c r="FG30" s="111" t="n"/>
      <c r="FH30" s="111" t="n"/>
      <c r="FI30" s="111" t="n"/>
      <c r="FJ30" s="111" t="n"/>
      <c r="FK30" s="111" t="n"/>
      <c r="FL30" s="111" t="n"/>
      <c r="FM30" s="111" t="n"/>
      <c r="FN30" s="111" t="n"/>
      <c r="FO30" s="111" t="n"/>
      <c r="FP30" s="111" t="n"/>
      <c r="FQ30" s="111" t="n"/>
      <c r="FR30" s="111" t="n"/>
      <c r="FS30" s="111" t="n"/>
      <c r="FT30" s="111" t="n"/>
      <c r="FU30" s="111" t="n"/>
      <c r="FV30" s="111" t="n"/>
      <c r="FW30" s="111" t="n"/>
      <c r="FX30" s="111" t="n"/>
      <c r="FY30" s="111" t="n"/>
      <c r="FZ30" s="111" t="n"/>
      <c r="GA30" s="111" t="n"/>
      <c r="GB30" s="111" t="n"/>
      <c r="GC30" s="111" t="n"/>
      <c r="GD30" s="111" t="n"/>
      <c r="GE30" s="111" t="n"/>
      <c r="GF30" s="111" t="n"/>
      <c r="GG30" s="111" t="n"/>
      <c r="GH30" s="111" t="n"/>
      <c r="GI30" s="111" t="n"/>
      <c r="GJ30" s="111" t="n"/>
      <c r="GK30" s="111" t="n"/>
      <c r="GL30" s="111" t="n"/>
      <c r="GM30" s="111" t="n"/>
      <c r="GN30" s="111" t="n"/>
      <c r="GO30" s="111" t="n"/>
      <c r="GP30" s="111" t="n"/>
      <c r="GQ30" s="111" t="n"/>
      <c r="GR30" s="111" t="n"/>
      <c r="GS30" s="111" t="n"/>
      <c r="GT30" s="111" t="n"/>
      <c r="GU30" s="111" t="n"/>
      <c r="GV30" s="111" t="n"/>
      <c r="GW30" s="111" t="n"/>
      <c r="GX30" s="111" t="n"/>
      <c r="GY30" s="111" t="n"/>
      <c r="GZ30" s="111" t="n"/>
      <c r="HA30" s="111" t="n"/>
      <c r="HB30" s="111" t="n"/>
      <c r="HC30" s="111" t="n"/>
      <c r="HD30" s="111" t="n"/>
      <c r="HE30" s="111" t="n"/>
      <c r="HF30" s="111" t="n"/>
      <c r="HG30" s="111" t="n"/>
      <c r="HH30" s="111" t="n"/>
      <c r="HI30" s="111" t="n"/>
      <c r="HJ30" s="111" t="n"/>
      <c r="HK30" s="111" t="n"/>
      <c r="HL30" s="111" t="n"/>
      <c r="HM30" s="111" t="n"/>
      <c r="HN30" s="111" t="n"/>
      <c r="HO30" s="111" t="n"/>
      <c r="HP30" s="111" t="n"/>
      <c r="HQ30" s="111" t="n"/>
      <c r="HR30" s="111" t="n"/>
      <c r="HS30" s="111" t="n"/>
      <c r="HT30" s="111" t="n"/>
      <c r="HU30" s="111" t="n"/>
      <c r="HV30" s="111" t="n"/>
      <c r="HW30" s="111" t="n"/>
      <c r="HX30" s="111" t="n"/>
      <c r="HY30" s="111" t="n"/>
      <c r="HZ30" s="111" t="n"/>
      <c r="IA30" s="111" t="n"/>
      <c r="IB30" s="111" t="n"/>
      <c r="IC30" s="111" t="n"/>
      <c r="ID30" s="111" t="n"/>
      <c r="IE30" s="111" t="n"/>
      <c r="IF30" s="111" t="n"/>
      <c r="IG30" s="111" t="n"/>
      <c r="IH30" s="111" t="n"/>
      <c r="II30" s="111" t="n"/>
      <c r="IJ30" s="111" t="n"/>
      <c r="IK30" s="111" t="n"/>
      <c r="IL30" s="111" t="n"/>
      <c r="IM30" s="111" t="n"/>
      <c r="IN30" s="111" t="n"/>
      <c r="IO30" s="111" t="n"/>
      <c r="IP30" s="111" t="n"/>
      <c r="IQ30" s="111" t="n"/>
      <c r="IR30" s="111" t="n"/>
      <c r="IS30" s="111" t="n"/>
      <c r="IT30" s="111" t="n"/>
      <c r="IU30" s="111" t="n"/>
      <c r="IV30" s="111" t="n"/>
      <c r="IW30" s="111" t="n"/>
      <c r="IX30" s="111" t="n"/>
      <c r="IY30" s="111" t="n"/>
      <c r="IZ30" s="111" t="n"/>
      <c r="JA30" s="111" t="n"/>
      <c r="JB30" s="111" t="n"/>
      <c r="JC30" s="111" t="n"/>
      <c r="JD30" s="111" t="n"/>
      <c r="JE30" s="111" t="n"/>
      <c r="JF30" s="111" t="n"/>
      <c r="JG30" s="111" t="n"/>
      <c r="JH30" s="111" t="n"/>
      <c r="JI30" s="111" t="n"/>
      <c r="JJ30" s="111" t="n"/>
      <c r="JK30" s="111" t="n"/>
      <c r="JL30" s="111" t="n"/>
      <c r="JM30" s="111" t="n"/>
      <c r="JN30" s="111" t="n"/>
      <c r="JO30" s="111" t="n"/>
      <c r="JP30" s="111" t="n"/>
      <c r="JQ30" s="111" t="n"/>
      <c r="JR30" s="111" t="n"/>
      <c r="JS30" s="111" t="n"/>
      <c r="JT30" s="111" t="n"/>
      <c r="JU30" s="111" t="n"/>
      <c r="JV30" s="111" t="n"/>
      <c r="JW30" s="111" t="n"/>
      <c r="JX30" s="111" t="n"/>
      <c r="JY30" s="111" t="n"/>
      <c r="JZ30" s="111" t="n"/>
      <c r="KA30" s="111" t="n"/>
      <c r="KB30" s="111" t="n"/>
      <c r="KC30" s="111" t="n"/>
      <c r="KD30" s="111" t="n"/>
      <c r="KE30" s="111" t="n"/>
      <c r="KF30" s="111" t="n"/>
      <c r="KG30" s="111" t="n"/>
      <c r="KH30" s="111" t="n"/>
      <c r="KI30" s="111" t="n"/>
      <c r="KJ30" s="111" t="n"/>
      <c r="KK30" s="111" t="n"/>
      <c r="KL30" s="111" t="n"/>
      <c r="KM30" s="111" t="n"/>
      <c r="KN30" s="111" t="n"/>
      <c r="KO30" s="111" t="n"/>
      <c r="KP30" s="111" t="n"/>
      <c r="KQ30" s="111" t="n"/>
      <c r="KR30" s="111" t="n"/>
      <c r="KS30" s="111" t="n"/>
      <c r="KT30" s="111" t="n"/>
      <c r="KU30" s="111" t="n"/>
      <c r="KV30" s="111" t="n"/>
      <c r="KW30" s="111" t="n"/>
      <c r="KX30" s="111" t="n"/>
      <c r="KY30" s="111" t="n"/>
      <c r="KZ30" s="111" t="n"/>
      <c r="LA30" s="111" t="n"/>
      <c r="LB30" s="111" t="n"/>
      <c r="LC30" s="111" t="n"/>
      <c r="LD30" s="111" t="n"/>
      <c r="LE30" s="111" t="n"/>
      <c r="LF30" s="111" t="n"/>
      <c r="LG30" s="111" t="n"/>
      <c r="LH30" s="111" t="n"/>
      <c r="LI30" s="111" t="n"/>
      <c r="LJ30" s="111" t="n"/>
      <c r="LK30" s="111" t="n"/>
      <c r="LL30" s="111" t="n"/>
      <c r="LM30" s="111" t="n"/>
      <c r="LN30" s="111" t="n"/>
      <c r="LO30" s="111" t="n"/>
      <c r="LP30" s="111" t="n"/>
      <c r="LQ30" s="111" t="n"/>
      <c r="LR30" s="111" t="n"/>
      <c r="LS30" s="111" t="n"/>
      <c r="LT30" s="111" t="n"/>
      <c r="LU30" s="111" t="n"/>
      <c r="LV30" s="111" t="n"/>
      <c r="LW30" s="111" t="n"/>
      <c r="LX30" s="111" t="n"/>
      <c r="LY30" s="111" t="n"/>
      <c r="LZ30" s="111" t="n"/>
      <c r="MA30" s="111" t="n"/>
      <c r="MB30" s="111" t="n"/>
      <c r="MC30" s="111" t="n"/>
      <c r="MD30" s="111" t="n"/>
      <c r="ME30" s="111" t="n"/>
      <c r="MF30" s="111" t="n"/>
      <c r="MG30" s="111" t="n"/>
      <c r="MH30" s="111" t="n"/>
      <c r="MI30" s="111" t="n"/>
      <c r="MJ30" s="111" t="n"/>
      <c r="MK30" s="111" t="n"/>
      <c r="ML30" s="111" t="n"/>
      <c r="MM30" s="111" t="n"/>
      <c r="MN30" s="111" t="n"/>
      <c r="MO30" s="111" t="n"/>
      <c r="MP30" s="111" t="n"/>
      <c r="MQ30" s="111" t="n"/>
      <c r="MR30" s="111" t="n"/>
      <c r="MS30" s="111" t="n"/>
      <c r="MT30" s="111" t="n"/>
      <c r="MU30" s="111" t="n"/>
      <c r="MV30" s="111" t="n"/>
      <c r="MW30" s="111" t="n"/>
      <c r="MX30" s="111" t="n"/>
      <c r="MY30" s="111" t="n"/>
      <c r="MZ30" s="111" t="n"/>
      <c r="NA30" s="111" t="n"/>
      <c r="NB30" s="111" t="n"/>
      <c r="NC30" s="111" t="n"/>
      <c r="ND30" s="111" t="n"/>
      <c r="NE30" s="111" t="n"/>
      <c r="NF30" s="111" t="n"/>
      <c r="NG30" s="111" t="n"/>
      <c r="NH30" s="111" t="n"/>
      <c r="NI30" s="111" t="n"/>
      <c r="NJ30" s="111" t="n"/>
      <c r="NK30" s="111" t="n"/>
      <c r="NL30" s="111" t="n"/>
      <c r="NM30" s="111" t="n"/>
      <c r="NN30" s="111" t="n"/>
      <c r="NO30" s="111" t="n"/>
      <c r="NP30" s="111" t="n"/>
      <c r="NQ30" s="111" t="n"/>
      <c r="NR30" s="111" t="n"/>
      <c r="NS30" s="111" t="n"/>
      <c r="NT30" s="111" t="n"/>
      <c r="NU30" s="111" t="n"/>
      <c r="NV30" s="111" t="n"/>
      <c r="NW30" s="111" t="n"/>
      <c r="NX30" s="111" t="n"/>
      <c r="NY30" s="111" t="n"/>
      <c r="NZ30" s="111" t="n"/>
      <c r="OA30" s="111" t="n"/>
      <c r="OB30" s="111" t="n"/>
      <c r="OC30" s="111" t="n"/>
      <c r="OD30" s="111" t="n"/>
      <c r="OE30" s="111" t="n"/>
      <c r="OF30" s="111" t="n"/>
      <c r="OG30" s="111" t="n"/>
      <c r="OH30" s="111" t="n"/>
      <c r="OI30" s="111" t="n"/>
      <c r="OJ30" s="111" t="n"/>
      <c r="OK30" s="111" t="n"/>
      <c r="OL30" s="111" t="n"/>
      <c r="OM30" s="111" t="n"/>
      <c r="ON30" s="111" t="n"/>
      <c r="OO30" s="111" t="n"/>
      <c r="OP30" s="111" t="n"/>
      <c r="OQ30" s="111" t="n"/>
      <c r="OR30" s="111" t="n"/>
      <c r="OS30" s="111" t="n"/>
      <c r="OT30" s="111" t="n"/>
      <c r="OU30" s="111" t="n"/>
      <c r="OV30" s="111" t="n"/>
      <c r="OW30" s="111" t="n"/>
      <c r="OX30" s="111" t="n"/>
      <c r="OY30" s="111" t="n"/>
      <c r="OZ30" s="111" t="n"/>
      <c r="PA30" s="111" t="n"/>
      <c r="PB30" s="111" t="n"/>
      <c r="PC30" s="111" t="n"/>
      <c r="PD30" s="111" t="n"/>
      <c r="PE30" s="111" t="n"/>
      <c r="PF30" s="111" t="n"/>
      <c r="PG30" s="111" t="n"/>
      <c r="PH30" s="111" t="n"/>
      <c r="PI30" s="111" t="n"/>
      <c r="PJ30" s="111" t="n"/>
      <c r="PK30" s="111" t="n"/>
      <c r="PL30" s="111" t="n"/>
      <c r="PM30" s="111" t="n"/>
      <c r="PN30" s="111" t="n"/>
      <c r="PO30" s="111" t="n"/>
      <c r="PP30" s="111" t="n"/>
      <c r="PQ30" s="111" t="n"/>
      <c r="PR30" s="111" t="n"/>
      <c r="PS30" s="111" t="n"/>
      <c r="PT30" s="111" t="n"/>
      <c r="PU30" s="111" t="n"/>
      <c r="PV30" s="111" t="n"/>
      <c r="PW30" s="111" t="n"/>
      <c r="PX30" s="111" t="n"/>
      <c r="PY30" s="111" t="n"/>
      <c r="PZ30" s="111" t="n"/>
      <c r="QA30" s="111" t="n"/>
      <c r="QB30" s="111" t="n"/>
      <c r="QC30" s="111" t="n"/>
      <c r="QD30" s="111" t="n"/>
      <c r="QE30" s="111" t="n"/>
      <c r="QF30" s="111" t="n"/>
      <c r="QG30" s="111" t="n"/>
      <c r="QH30" s="111" t="n"/>
      <c r="QI30" s="111" t="n"/>
      <c r="QJ30" s="111" t="n"/>
      <c r="QK30" s="111" t="n"/>
      <c r="QL30" s="111" t="n"/>
      <c r="QM30" s="111" t="n"/>
      <c r="QN30" s="111" t="n"/>
      <c r="QO30" s="111" t="n"/>
      <c r="QP30" s="111" t="n"/>
      <c r="QQ30" s="111" t="n"/>
      <c r="QR30" s="111" t="n"/>
      <c r="QS30" s="111" t="n"/>
      <c r="QT30" s="111" t="n"/>
      <c r="QU30" s="111" t="n"/>
      <c r="QV30" s="111" t="n"/>
      <c r="QW30" s="111" t="n"/>
      <c r="QX30" s="111" t="n"/>
      <c r="QY30" s="111" t="n"/>
      <c r="QZ30" s="111" t="n"/>
      <c r="RA30" s="111" t="n"/>
      <c r="RB30" s="111" t="n"/>
      <c r="RC30" s="111" t="n"/>
      <c r="RD30" s="111" t="n"/>
      <c r="RE30" s="111" t="n"/>
      <c r="RF30" s="111" t="n"/>
      <c r="RG30" s="111" t="n"/>
      <c r="RH30" s="111" t="n"/>
      <c r="RI30" s="111" t="n"/>
      <c r="RJ30" s="111" t="n"/>
      <c r="RK30" s="111" t="n"/>
      <c r="RL30" s="111" t="n"/>
      <c r="RM30" s="111" t="n"/>
      <c r="RN30" s="111" t="n"/>
      <c r="RO30" s="111" t="n"/>
      <c r="RP30" s="111" t="n"/>
      <c r="RQ30" s="111" t="n"/>
      <c r="RR30" s="111" t="n"/>
      <c r="RS30" s="111" t="n"/>
      <c r="RT30" s="111" t="n"/>
      <c r="RU30" s="111" t="n"/>
      <c r="RV30" s="111" t="n"/>
      <c r="RW30" s="111" t="n"/>
      <c r="RX30" s="111" t="n"/>
      <c r="RY30" s="111" t="n"/>
      <c r="RZ30" s="111" t="n"/>
      <c r="SA30" s="111" t="n"/>
      <c r="SB30" s="111" t="n"/>
      <c r="SC30" s="111" t="n"/>
      <c r="SD30" s="111" t="n"/>
      <c r="SE30" s="111" t="n"/>
      <c r="SF30" s="111" t="n"/>
      <c r="SG30" s="111" t="n"/>
      <c r="SH30" s="111" t="n"/>
      <c r="SI30" s="111" t="n"/>
      <c r="SJ30" s="111" t="n"/>
      <c r="SK30" s="111" t="n"/>
    </row>
    <row r="31" ht="13.15" customFormat="1" customHeight="1" s="137">
      <c r="A31" s="177" t="n">
        <v>18</v>
      </c>
      <c r="B31" s="154" t="inlineStr">
        <is>
          <t>Paint</t>
        </is>
      </c>
      <c r="C31" s="144" t="n"/>
      <c r="D31" s="177" t="n"/>
      <c r="E31" s="177" t="n"/>
      <c r="F31" s="177" t="n"/>
      <c r="G31" s="263" t="n">
        <v>44825</v>
      </c>
      <c r="H31" s="262">
        <f>WORKDAY(G31,I31-1,holidays)</f>
        <v/>
      </c>
      <c r="I31" s="149" t="n">
        <v>2</v>
      </c>
      <c r="J31" s="150" t="n">
        <v>0</v>
      </c>
      <c r="K31" s="151">
        <f>IF(OR(G31=0,H31=0),0,H31-G31+1)</f>
        <v/>
      </c>
      <c r="L31" s="152">
        <f>MIN(K31,WORKDAY(G31,ROUNDDOWN(J31*I31,0),holidays)-G31)</f>
        <v/>
      </c>
      <c r="M31" s="151">
        <f>K31-L31</f>
        <v/>
      </c>
      <c r="N31" s="180" t="n"/>
      <c r="P31" s="111" t="n"/>
      <c r="Q31" s="111"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c r="AJ31" s="111" t="n"/>
      <c r="AK31" s="111" t="n"/>
      <c r="AL31" s="111" t="n"/>
      <c r="AM31" s="111" t="n"/>
      <c r="AN31" s="111" t="n"/>
      <c r="AO31" s="111" t="n"/>
      <c r="AP31" s="111" t="n"/>
      <c r="AQ31" s="111" t="n"/>
      <c r="AR31" s="111" t="n"/>
      <c r="AS31" s="111" t="n"/>
      <c r="AT31" s="111" t="n"/>
      <c r="AU31" s="111" t="n"/>
      <c r="AV31" s="111" t="n"/>
      <c r="AW31" s="111" t="n"/>
      <c r="AX31" s="111" t="n"/>
      <c r="AY31" s="111" t="n"/>
      <c r="AZ31" s="111" t="n"/>
      <c r="BA31" s="111" t="n"/>
      <c r="BB31" s="111" t="n"/>
      <c r="BC31" s="111" t="n"/>
      <c r="BD31" s="111" t="n"/>
      <c r="BE31" s="111" t="n"/>
      <c r="BF31" s="111" t="n"/>
      <c r="BG31" s="111" t="n"/>
      <c r="BH31" s="111" t="n"/>
      <c r="BI31" s="111" t="n"/>
      <c r="BJ31" s="111" t="n"/>
      <c r="BK31" s="111" t="n"/>
      <c r="BL31" s="111" t="n"/>
      <c r="BM31" s="111" t="n"/>
      <c r="BN31" s="111" t="n"/>
      <c r="BO31" s="111" t="n"/>
      <c r="BP31" s="111" t="n"/>
      <c r="BQ31" s="111" t="n"/>
      <c r="BR31" s="111" t="n"/>
      <c r="BS31" s="111" t="n"/>
      <c r="BT31" s="111" t="n"/>
      <c r="BU31" s="111" t="n"/>
      <c r="BV31" s="111" t="n"/>
      <c r="BW31" s="111" t="n"/>
      <c r="BX31" s="111" t="n"/>
      <c r="BY31" s="111" t="n"/>
      <c r="BZ31" s="111" t="n"/>
      <c r="CA31" s="111" t="n"/>
      <c r="CB31" s="111" t="n"/>
      <c r="CC31" s="111" t="n"/>
      <c r="CD31" s="111" t="n"/>
      <c r="CE31" s="111" t="n"/>
      <c r="CF31" s="111" t="n"/>
      <c r="CG31" s="111" t="n"/>
      <c r="CH31" s="111" t="n"/>
      <c r="CI31" s="111" t="n"/>
      <c r="CJ31" s="111" t="n"/>
      <c r="CK31" s="111" t="n"/>
      <c r="CL31" s="111" t="n"/>
      <c r="CM31" s="111" t="n"/>
      <c r="CN31" s="111" t="n"/>
      <c r="CO31" s="111" t="n"/>
      <c r="CP31" s="111" t="n"/>
      <c r="CQ31" s="111" t="n"/>
      <c r="CR31" s="111" t="n"/>
      <c r="CS31" s="111" t="n"/>
      <c r="CT31" s="111" t="n"/>
      <c r="CU31" s="111" t="n"/>
      <c r="CV31" s="111" t="n"/>
      <c r="CW31" s="111" t="n"/>
      <c r="CX31" s="111" t="n"/>
      <c r="CY31" s="111" t="n"/>
      <c r="CZ31" s="111" t="n"/>
      <c r="DA31" s="111" t="n"/>
      <c r="DB31" s="111" t="n"/>
      <c r="DC31" s="111" t="n"/>
      <c r="DD31" s="111" t="n"/>
      <c r="DE31" s="111" t="n"/>
      <c r="DF31" s="111" t="n"/>
      <c r="DG31" s="111" t="n"/>
      <c r="DH31" s="111" t="n"/>
      <c r="DI31" s="111" t="n"/>
      <c r="DJ31" s="111" t="n"/>
      <c r="DK31" s="111" t="n"/>
      <c r="DL31" s="111" t="n"/>
      <c r="DM31" s="111" t="n"/>
      <c r="DN31" s="111" t="n"/>
      <c r="DO31" s="111" t="n"/>
      <c r="DP31" s="111" t="n"/>
      <c r="DQ31" s="111" t="n"/>
      <c r="DR31" s="111" t="n"/>
      <c r="DS31" s="111" t="n"/>
      <c r="DT31" s="111" t="n"/>
      <c r="DU31" s="111" t="n"/>
      <c r="DV31" s="111" t="n"/>
      <c r="DW31" s="111" t="n"/>
      <c r="DX31" s="111" t="n"/>
      <c r="DY31" s="111" t="n"/>
      <c r="DZ31" s="111" t="n"/>
      <c r="EA31" s="111" t="n"/>
      <c r="EB31" s="111" t="n"/>
      <c r="EC31" s="111" t="n"/>
      <c r="ED31" s="111" t="n"/>
      <c r="EE31" s="111" t="n"/>
      <c r="EF31" s="111" t="n"/>
      <c r="EG31" s="111" t="n"/>
      <c r="EH31" s="111" t="n"/>
      <c r="EI31" s="111" t="n"/>
      <c r="EJ31" s="111" t="n"/>
      <c r="EK31" s="111" t="n"/>
      <c r="EL31" s="111" t="n"/>
      <c r="EM31" s="111" t="n"/>
      <c r="EN31" s="111" t="n"/>
      <c r="EO31" s="111" t="n"/>
      <c r="EP31" s="111" t="n"/>
      <c r="EQ31" s="111" t="n"/>
      <c r="ER31" s="111" t="n"/>
      <c r="ES31" s="111" t="n"/>
      <c r="ET31" s="111" t="n"/>
      <c r="EU31" s="111" t="n"/>
      <c r="EV31" s="111" t="n"/>
      <c r="EW31" s="111" t="n"/>
      <c r="EX31" s="111" t="n"/>
      <c r="EY31" s="111" t="n"/>
      <c r="EZ31" s="111" t="n"/>
      <c r="FA31" s="111" t="n"/>
      <c r="FB31" s="111" t="n"/>
      <c r="FC31" s="111" t="n"/>
      <c r="FD31" s="111" t="n"/>
      <c r="FE31" s="111" t="n"/>
      <c r="FF31" s="111" t="n"/>
      <c r="FG31" s="111" t="n"/>
      <c r="FH31" s="111" t="n"/>
      <c r="FI31" s="111" t="n"/>
      <c r="FJ31" s="111" t="n"/>
      <c r="FK31" s="111" t="n"/>
      <c r="FL31" s="111" t="n"/>
      <c r="FM31" s="111" t="n"/>
      <c r="FN31" s="111" t="n"/>
      <c r="FO31" s="111" t="n"/>
      <c r="FP31" s="111" t="n"/>
      <c r="FQ31" s="111" t="n"/>
      <c r="FR31" s="111" t="n"/>
      <c r="FS31" s="111" t="n"/>
      <c r="FT31" s="111" t="n"/>
      <c r="FU31" s="111" t="n"/>
      <c r="FV31" s="111" t="n"/>
      <c r="FW31" s="111" t="n"/>
      <c r="FX31" s="111" t="n"/>
      <c r="FY31" s="111" t="n"/>
      <c r="FZ31" s="111" t="n"/>
      <c r="GA31" s="111" t="n"/>
      <c r="GB31" s="111" t="n"/>
      <c r="GC31" s="111" t="n"/>
      <c r="GD31" s="111" t="n"/>
      <c r="GE31" s="111" t="n"/>
      <c r="GF31" s="111" t="n"/>
      <c r="GG31" s="111" t="n"/>
      <c r="GH31" s="111" t="n"/>
      <c r="GI31" s="111" t="n"/>
      <c r="GJ31" s="111" t="n"/>
      <c r="GK31" s="111" t="n"/>
      <c r="GL31" s="111" t="n"/>
      <c r="GM31" s="111" t="n"/>
      <c r="GN31" s="111" t="n"/>
      <c r="GO31" s="111" t="n"/>
      <c r="GP31" s="111" t="n"/>
      <c r="GQ31" s="111" t="n"/>
      <c r="GR31" s="111" t="n"/>
      <c r="GS31" s="111" t="n"/>
      <c r="GT31" s="111" t="n"/>
      <c r="GU31" s="111" t="n"/>
      <c r="GV31" s="111" t="n"/>
      <c r="GW31" s="111" t="n"/>
      <c r="GX31" s="111" t="n"/>
      <c r="GY31" s="111" t="n"/>
      <c r="GZ31" s="111" t="n"/>
      <c r="HA31" s="111" t="n"/>
      <c r="HB31" s="111" t="n"/>
      <c r="HC31" s="111" t="n"/>
      <c r="HD31" s="111" t="n"/>
      <c r="HE31" s="111" t="n"/>
      <c r="HF31" s="111" t="n"/>
      <c r="HG31" s="111" t="n"/>
      <c r="HH31" s="111" t="n"/>
      <c r="HI31" s="111" t="n"/>
      <c r="HJ31" s="111" t="n"/>
      <c r="HK31" s="111" t="n"/>
      <c r="HL31" s="111" t="n"/>
      <c r="HM31" s="111" t="n"/>
      <c r="HN31" s="111" t="n"/>
      <c r="HO31" s="111" t="n"/>
      <c r="HP31" s="111" t="n"/>
      <c r="HQ31" s="111" t="n"/>
      <c r="HR31" s="111" t="n"/>
      <c r="HS31" s="111" t="n"/>
      <c r="HT31" s="111" t="n"/>
      <c r="HU31" s="111" t="n"/>
      <c r="HV31" s="111" t="n"/>
      <c r="HW31" s="111" t="n"/>
      <c r="HX31" s="111" t="n"/>
      <c r="HY31" s="111" t="n"/>
      <c r="HZ31" s="111" t="n"/>
      <c r="IA31" s="111" t="n"/>
      <c r="IB31" s="111" t="n"/>
      <c r="IC31" s="111" t="n"/>
      <c r="ID31" s="111" t="n"/>
      <c r="IE31" s="111" t="n"/>
      <c r="IF31" s="111" t="n"/>
      <c r="IG31" s="111" t="n"/>
      <c r="IH31" s="111" t="n"/>
      <c r="II31" s="111" t="n"/>
      <c r="IJ31" s="111" t="n"/>
      <c r="IK31" s="111" t="n"/>
      <c r="IL31" s="111" t="n"/>
      <c r="IM31" s="111" t="n"/>
      <c r="IN31" s="111" t="n"/>
      <c r="IO31" s="111" t="n"/>
      <c r="IP31" s="111" t="n"/>
      <c r="IQ31" s="111" t="n"/>
      <c r="IR31" s="111" t="n"/>
      <c r="IS31" s="111" t="n"/>
      <c r="IT31" s="111" t="n"/>
      <c r="IU31" s="111" t="n"/>
      <c r="IV31" s="111" t="n"/>
      <c r="IW31" s="111" t="n"/>
      <c r="IX31" s="111" t="n"/>
      <c r="IY31" s="111" t="n"/>
      <c r="IZ31" s="111" t="n"/>
      <c r="JA31" s="111" t="n"/>
      <c r="JB31" s="111" t="n"/>
      <c r="JC31" s="111" t="n"/>
      <c r="JD31" s="111" t="n"/>
      <c r="JE31" s="111" t="n"/>
      <c r="JF31" s="111" t="n"/>
      <c r="JG31" s="111" t="n"/>
      <c r="JH31" s="111" t="n"/>
      <c r="JI31" s="111" t="n"/>
      <c r="JJ31" s="111" t="n"/>
      <c r="JK31" s="111" t="n"/>
      <c r="JL31" s="111" t="n"/>
      <c r="JM31" s="111" t="n"/>
      <c r="JN31" s="111" t="n"/>
      <c r="JO31" s="111" t="n"/>
      <c r="JP31" s="111" t="n"/>
      <c r="JQ31" s="111" t="n"/>
      <c r="JR31" s="111" t="n"/>
      <c r="JS31" s="111" t="n"/>
      <c r="JT31" s="111" t="n"/>
      <c r="JU31" s="111" t="n"/>
      <c r="JV31" s="111" t="n"/>
      <c r="JW31" s="111" t="n"/>
      <c r="JX31" s="111" t="n"/>
      <c r="JY31" s="111" t="n"/>
      <c r="JZ31" s="111" t="n"/>
      <c r="KA31" s="111" t="n"/>
      <c r="KB31" s="111" t="n"/>
      <c r="KC31" s="111" t="n"/>
      <c r="KD31" s="111" t="n"/>
      <c r="KE31" s="111" t="n"/>
      <c r="KF31" s="111" t="n"/>
      <c r="KG31" s="111" t="n"/>
      <c r="KH31" s="111" t="n"/>
      <c r="KI31" s="111" t="n"/>
      <c r="KJ31" s="111" t="n"/>
      <c r="KK31" s="111" t="n"/>
      <c r="KL31" s="111" t="n"/>
      <c r="KM31" s="111" t="n"/>
      <c r="KN31" s="111" t="n"/>
      <c r="KO31" s="111" t="n"/>
      <c r="KP31" s="111" t="n"/>
      <c r="KQ31" s="111" t="n"/>
      <c r="KR31" s="111" t="n"/>
      <c r="KS31" s="111" t="n"/>
      <c r="KT31" s="111" t="n"/>
      <c r="KU31" s="111" t="n"/>
      <c r="KV31" s="111" t="n"/>
      <c r="KW31" s="111" t="n"/>
      <c r="KX31" s="111" t="n"/>
      <c r="KY31" s="111" t="n"/>
      <c r="KZ31" s="111" t="n"/>
      <c r="LA31" s="111" t="n"/>
      <c r="LB31" s="111" t="n"/>
      <c r="LC31" s="111" t="n"/>
      <c r="LD31" s="111" t="n"/>
      <c r="LE31" s="111" t="n"/>
      <c r="LF31" s="111" t="n"/>
      <c r="LG31" s="111" t="n"/>
      <c r="LH31" s="111" t="n"/>
      <c r="LI31" s="111" t="n"/>
      <c r="LJ31" s="111" t="n"/>
      <c r="LK31" s="111" t="n"/>
      <c r="LL31" s="111" t="n"/>
      <c r="LM31" s="111" t="n"/>
      <c r="LN31" s="111" t="n"/>
      <c r="LO31" s="111" t="n"/>
      <c r="LP31" s="111" t="n"/>
      <c r="LQ31" s="111" t="n"/>
      <c r="LR31" s="111" t="n"/>
      <c r="LS31" s="111" t="n"/>
      <c r="LT31" s="111" t="n"/>
      <c r="LU31" s="111" t="n"/>
      <c r="LV31" s="111" t="n"/>
      <c r="LW31" s="111" t="n"/>
      <c r="LX31" s="111" t="n"/>
      <c r="LY31" s="111" t="n"/>
      <c r="LZ31" s="111" t="n"/>
      <c r="MA31" s="111" t="n"/>
      <c r="MB31" s="111" t="n"/>
      <c r="MC31" s="111" t="n"/>
      <c r="MD31" s="111" t="n"/>
      <c r="ME31" s="111" t="n"/>
      <c r="MF31" s="111" t="n"/>
      <c r="MG31" s="111" t="n"/>
      <c r="MH31" s="111" t="n"/>
      <c r="MI31" s="111" t="n"/>
      <c r="MJ31" s="111" t="n"/>
      <c r="MK31" s="111" t="n"/>
      <c r="ML31" s="111" t="n"/>
      <c r="MM31" s="111" t="n"/>
      <c r="MN31" s="111" t="n"/>
      <c r="MO31" s="111" t="n"/>
      <c r="MP31" s="111" t="n"/>
      <c r="MQ31" s="111" t="n"/>
      <c r="MR31" s="111" t="n"/>
      <c r="MS31" s="111" t="n"/>
      <c r="MT31" s="111" t="n"/>
      <c r="MU31" s="111" t="n"/>
      <c r="MV31" s="111" t="n"/>
      <c r="MW31" s="111" t="n"/>
      <c r="MX31" s="111" t="n"/>
      <c r="MY31" s="111" t="n"/>
      <c r="MZ31" s="111" t="n"/>
      <c r="NA31" s="111" t="n"/>
      <c r="NB31" s="111" t="n"/>
      <c r="NC31" s="111" t="n"/>
      <c r="ND31" s="111" t="n"/>
      <c r="NE31" s="111" t="n"/>
      <c r="NF31" s="111" t="n"/>
      <c r="NG31" s="111" t="n"/>
      <c r="NH31" s="111" t="n"/>
      <c r="NI31" s="111" t="n"/>
      <c r="NJ31" s="111" t="n"/>
      <c r="NK31" s="111" t="n"/>
      <c r="NL31" s="111" t="n"/>
      <c r="NM31" s="111" t="n"/>
      <c r="NN31" s="111" t="n"/>
      <c r="NO31" s="111" t="n"/>
      <c r="NP31" s="111" t="n"/>
      <c r="NQ31" s="111" t="n"/>
      <c r="NR31" s="111" t="n"/>
      <c r="NS31" s="111" t="n"/>
      <c r="NT31" s="111" t="n"/>
      <c r="NU31" s="111" t="n"/>
      <c r="NV31" s="111" t="n"/>
      <c r="NW31" s="111" t="n"/>
      <c r="NX31" s="111" t="n"/>
      <c r="NY31" s="111" t="n"/>
      <c r="NZ31" s="111" t="n"/>
      <c r="OA31" s="111" t="n"/>
      <c r="OB31" s="111" t="n"/>
      <c r="OC31" s="111" t="n"/>
      <c r="OD31" s="111" t="n"/>
      <c r="OE31" s="111" t="n"/>
      <c r="OF31" s="111" t="n"/>
      <c r="OG31" s="111" t="n"/>
      <c r="OH31" s="111" t="n"/>
      <c r="OI31" s="111" t="n"/>
      <c r="OJ31" s="111" t="n"/>
      <c r="OK31" s="111" t="n"/>
      <c r="OL31" s="111" t="n"/>
      <c r="OM31" s="111" t="n"/>
      <c r="ON31" s="111" t="n"/>
      <c r="OO31" s="111" t="n"/>
      <c r="OP31" s="111" t="n"/>
      <c r="OQ31" s="111" t="n"/>
      <c r="OR31" s="111" t="n"/>
      <c r="OS31" s="111" t="n"/>
      <c r="OT31" s="111" t="n"/>
      <c r="OU31" s="111" t="n"/>
      <c r="OV31" s="111" t="n"/>
      <c r="OW31" s="111" t="n"/>
      <c r="OX31" s="111" t="n"/>
      <c r="OY31" s="111" t="n"/>
      <c r="OZ31" s="111" t="n"/>
      <c r="PA31" s="111" t="n"/>
      <c r="PB31" s="111" t="n"/>
      <c r="PC31" s="111" t="n"/>
      <c r="PD31" s="111" t="n"/>
      <c r="PE31" s="111" t="n"/>
      <c r="PF31" s="111" t="n"/>
      <c r="PG31" s="111" t="n"/>
      <c r="PH31" s="111" t="n"/>
      <c r="PI31" s="111" t="n"/>
      <c r="PJ31" s="111" t="n"/>
      <c r="PK31" s="111" t="n"/>
      <c r="PL31" s="111" t="n"/>
      <c r="PM31" s="111" t="n"/>
      <c r="PN31" s="111" t="n"/>
      <c r="PO31" s="111" t="n"/>
      <c r="PP31" s="111" t="n"/>
      <c r="PQ31" s="111" t="n"/>
      <c r="PR31" s="111" t="n"/>
      <c r="PS31" s="111" t="n"/>
      <c r="PT31" s="111" t="n"/>
      <c r="PU31" s="111" t="n"/>
      <c r="PV31" s="111" t="n"/>
      <c r="PW31" s="111" t="n"/>
      <c r="PX31" s="111" t="n"/>
      <c r="PY31" s="111" t="n"/>
      <c r="PZ31" s="111" t="n"/>
      <c r="QA31" s="111" t="n"/>
      <c r="QB31" s="111" t="n"/>
      <c r="QC31" s="111" t="n"/>
      <c r="QD31" s="111" t="n"/>
      <c r="QE31" s="111" t="n"/>
      <c r="QF31" s="111" t="n"/>
      <c r="QG31" s="111" t="n"/>
      <c r="QH31" s="111" t="n"/>
      <c r="QI31" s="111" t="n"/>
      <c r="QJ31" s="111" t="n"/>
      <c r="QK31" s="111" t="n"/>
      <c r="QL31" s="111" t="n"/>
      <c r="QM31" s="111" t="n"/>
      <c r="QN31" s="111" t="n"/>
      <c r="QO31" s="111" t="n"/>
      <c r="QP31" s="111" t="n"/>
      <c r="QQ31" s="111" t="n"/>
      <c r="QR31" s="111" t="n"/>
      <c r="QS31" s="111" t="n"/>
      <c r="QT31" s="111" t="n"/>
      <c r="QU31" s="111" t="n"/>
      <c r="QV31" s="111" t="n"/>
      <c r="QW31" s="111" t="n"/>
      <c r="QX31" s="111" t="n"/>
      <c r="QY31" s="111" t="n"/>
      <c r="QZ31" s="111" t="n"/>
      <c r="RA31" s="111" t="n"/>
      <c r="RB31" s="111" t="n"/>
      <c r="RC31" s="111" t="n"/>
      <c r="RD31" s="111" t="n"/>
      <c r="RE31" s="111" t="n"/>
      <c r="RF31" s="111" t="n"/>
      <c r="RG31" s="111" t="n"/>
      <c r="RH31" s="111" t="n"/>
      <c r="RI31" s="111" t="n"/>
      <c r="RJ31" s="111" t="n"/>
      <c r="RK31" s="111" t="n"/>
      <c r="RL31" s="111" t="n"/>
      <c r="RM31" s="111" t="n"/>
      <c r="RN31" s="111" t="n"/>
      <c r="RO31" s="111" t="n"/>
      <c r="RP31" s="111" t="n"/>
      <c r="RQ31" s="111" t="n"/>
      <c r="RR31" s="111" t="n"/>
      <c r="RS31" s="111" t="n"/>
      <c r="RT31" s="111" t="n"/>
      <c r="RU31" s="111" t="n"/>
      <c r="RV31" s="111" t="n"/>
      <c r="RW31" s="111" t="n"/>
      <c r="RX31" s="111" t="n"/>
      <c r="RY31" s="111" t="n"/>
      <c r="RZ31" s="111" t="n"/>
      <c r="SA31" s="111" t="n"/>
      <c r="SB31" s="111" t="n"/>
      <c r="SC31" s="111" t="n"/>
      <c r="SD31" s="111" t="n"/>
      <c r="SE31" s="111" t="n"/>
      <c r="SF31" s="111" t="n"/>
      <c r="SG31" s="111" t="n"/>
      <c r="SH31" s="111" t="n"/>
      <c r="SI31" s="111" t="n"/>
      <c r="SJ31" s="111" t="n"/>
      <c r="SK31" s="111" t="n"/>
    </row>
    <row r="32" ht="15" customFormat="1" customHeight="1" s="137">
      <c r="A32" s="177" t="n">
        <v>19</v>
      </c>
      <c r="B32" s="154" t="inlineStr">
        <is>
          <t>Electrical Trim out</t>
        </is>
      </c>
      <c r="C32" s="144" t="n"/>
      <c r="D32" s="177" t="n"/>
      <c r="E32" s="177" t="n"/>
      <c r="F32" s="177" t="n"/>
      <c r="G32" s="263" t="n">
        <v>44826</v>
      </c>
      <c r="H32" s="262">
        <f>WORKDAY(G32,I32-1,holidays)</f>
        <v/>
      </c>
      <c r="I32" s="149" t="n">
        <v>3</v>
      </c>
      <c r="J32" s="150" t="n">
        <v>0</v>
      </c>
      <c r="K32" s="151">
        <f>IF(OR(G32=0,H32=0),0,H32-G32+1)</f>
        <v/>
      </c>
      <c r="L32" s="152">
        <f>MIN(K32,WORKDAY(G32,ROUNDDOWN(J32*I32,0),holidays)-G32)</f>
        <v/>
      </c>
      <c r="M32" s="151">
        <f>K32-L32</f>
        <v/>
      </c>
      <c r="N32" s="180" t="n"/>
      <c r="P32" s="111" t="n"/>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c r="BK32" s="111" t="n"/>
      <c r="BL32" s="111" t="n"/>
      <c r="BM32" s="111" t="n"/>
      <c r="BN32" s="111" t="n"/>
      <c r="BO32" s="111" t="n"/>
      <c r="BP32" s="111" t="n"/>
      <c r="BQ32" s="111" t="n"/>
      <c r="BR32" s="111" t="n"/>
      <c r="BS32" s="111" t="n"/>
      <c r="BT32" s="111" t="n"/>
      <c r="BU32" s="111" t="n"/>
      <c r="BV32" s="111" t="n"/>
      <c r="BW32" s="111" t="n"/>
      <c r="BX32" s="111" t="n"/>
      <c r="BY32" s="111" t="n"/>
      <c r="BZ32" s="111" t="n"/>
      <c r="CA32" s="111" t="n"/>
      <c r="CB32" s="111" t="n"/>
      <c r="CC32" s="111" t="n"/>
      <c r="CD32" s="111" t="n"/>
      <c r="CE32" s="111" t="n"/>
      <c r="CF32" s="111"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1" t="n"/>
      <c r="DS32" s="111" t="n"/>
      <c r="DT32" s="111" t="n"/>
      <c r="DU32" s="111" t="n"/>
      <c r="DV32" s="111" t="n"/>
      <c r="DW32" s="111" t="n"/>
      <c r="DX32" s="111" t="n"/>
      <c r="DY32" s="111" t="n"/>
      <c r="DZ32" s="111" t="n"/>
      <c r="EA32" s="111" t="n"/>
      <c r="EB32" s="111" t="n"/>
      <c r="EC32" s="111" t="n"/>
      <c r="ED32" s="111" t="n"/>
      <c r="EE32" s="111" t="n"/>
      <c r="EF32" s="111" t="n"/>
      <c r="EG32" s="111" t="n"/>
      <c r="EH32" s="111" t="n"/>
      <c r="EI32" s="111" t="n"/>
      <c r="EJ32" s="111" t="n"/>
      <c r="EK32" s="111" t="n"/>
      <c r="EL32" s="111" t="n"/>
      <c r="EM32" s="111" t="n"/>
      <c r="EN32" s="111" t="n"/>
      <c r="EO32" s="111" t="n"/>
      <c r="EP32" s="111" t="n"/>
      <c r="EQ32" s="111" t="n"/>
      <c r="ER32" s="111" t="n"/>
      <c r="ES32" s="111" t="n"/>
      <c r="ET32" s="111" t="n"/>
      <c r="EU32" s="111" t="n"/>
      <c r="EV32" s="111" t="n"/>
      <c r="EW32" s="111" t="n"/>
      <c r="EX32" s="111" t="n"/>
      <c r="EY32" s="111" t="n"/>
      <c r="EZ32" s="111" t="n"/>
      <c r="FA32" s="111" t="n"/>
      <c r="FB32" s="111"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1" t="n"/>
      <c r="GH32" s="111" t="n"/>
      <c r="GI32" s="111" t="n"/>
      <c r="GJ32" s="111" t="n"/>
      <c r="GK32" s="111" t="n"/>
      <c r="GL32" s="111" t="n"/>
      <c r="GM32" s="111" t="n"/>
      <c r="GN32" s="111" t="n"/>
      <c r="GO32" s="111" t="n"/>
      <c r="GP32" s="111" t="n"/>
      <c r="GQ32" s="111" t="n"/>
      <c r="GR32" s="111" t="n"/>
      <c r="GS32" s="111" t="n"/>
      <c r="GT32" s="111" t="n"/>
      <c r="GU32" s="111" t="n"/>
      <c r="GV32" s="111" t="n"/>
      <c r="GW32" s="111" t="n"/>
      <c r="GX32" s="111" t="n"/>
      <c r="GY32" s="111" t="n"/>
      <c r="GZ32" s="111" t="n"/>
      <c r="HA32" s="111" t="n"/>
      <c r="HB32" s="111" t="n"/>
      <c r="HC32" s="111" t="n"/>
      <c r="HD32" s="111" t="n"/>
      <c r="HE32" s="111" t="n"/>
      <c r="HF32" s="111" t="n"/>
      <c r="HG32" s="111" t="n"/>
      <c r="HH32" s="111" t="n"/>
      <c r="HI32" s="111" t="n"/>
      <c r="HJ32" s="111" t="n"/>
      <c r="HK32" s="111" t="n"/>
      <c r="HL32" s="111" t="n"/>
      <c r="HM32" s="111" t="n"/>
      <c r="HN32" s="111" t="n"/>
      <c r="HO32" s="111" t="n"/>
      <c r="HP32" s="111" t="n"/>
      <c r="HQ32" s="111" t="n"/>
      <c r="HR32" s="111" t="n"/>
      <c r="HS32" s="111" t="n"/>
      <c r="HT32" s="111" t="n"/>
      <c r="HU32" s="111" t="n"/>
      <c r="HV32" s="111" t="n"/>
      <c r="HW32" s="111" t="n"/>
      <c r="HX32" s="111" t="n"/>
      <c r="HY32" s="111" t="n"/>
      <c r="HZ32" s="111" t="n"/>
      <c r="IA32" s="111" t="n"/>
      <c r="IB32" s="111" t="n"/>
      <c r="IC32" s="111" t="n"/>
      <c r="ID32" s="111" t="n"/>
      <c r="IE32" s="111" t="n"/>
      <c r="IF32" s="111" t="n"/>
      <c r="IG32" s="111" t="n"/>
      <c r="IH32" s="111" t="n"/>
      <c r="II32" s="111" t="n"/>
      <c r="IJ32" s="111" t="n"/>
      <c r="IK32" s="111" t="n"/>
      <c r="IL32" s="111" t="n"/>
      <c r="IM32" s="111" t="n"/>
      <c r="IN32" s="111" t="n"/>
      <c r="IO32" s="111" t="n"/>
      <c r="IP32" s="111" t="n"/>
      <c r="IQ32" s="111" t="n"/>
      <c r="IR32" s="111" t="n"/>
      <c r="IS32" s="111" t="n"/>
      <c r="IT32" s="111" t="n"/>
      <c r="IU32" s="111" t="n"/>
      <c r="IV32" s="111" t="n"/>
      <c r="IW32" s="111" t="n"/>
      <c r="IX32" s="111" t="n"/>
      <c r="IY32" s="111" t="n"/>
      <c r="IZ32" s="111" t="n"/>
      <c r="JA32" s="111" t="n"/>
      <c r="JB32" s="111" t="n"/>
      <c r="JC32" s="111" t="n"/>
      <c r="JD32" s="111" t="n"/>
      <c r="JE32" s="111" t="n"/>
      <c r="JF32" s="111" t="n"/>
      <c r="JG32" s="111" t="n"/>
      <c r="JH32" s="111" t="n"/>
      <c r="JI32" s="111" t="n"/>
      <c r="JJ32" s="111" t="n"/>
      <c r="JK32" s="111" t="n"/>
      <c r="JL32" s="111" t="n"/>
      <c r="JM32" s="111" t="n"/>
      <c r="JN32" s="111" t="n"/>
      <c r="JO32" s="111" t="n"/>
      <c r="JP32" s="111" t="n"/>
      <c r="JQ32" s="111" t="n"/>
      <c r="JR32" s="111" t="n"/>
      <c r="JS32" s="111" t="n"/>
      <c r="JT32" s="111" t="n"/>
      <c r="JU32" s="111" t="n"/>
      <c r="JV32" s="111" t="n"/>
      <c r="JW32" s="111" t="n"/>
      <c r="JX32" s="111" t="n"/>
      <c r="JY32" s="111" t="n"/>
      <c r="JZ32" s="111" t="n"/>
      <c r="KA32" s="111" t="n"/>
      <c r="KB32" s="111" t="n"/>
      <c r="KC32" s="111" t="n"/>
      <c r="KD32" s="111" t="n"/>
      <c r="KE32" s="111" t="n"/>
      <c r="KF32" s="111" t="n"/>
      <c r="KG32" s="111" t="n"/>
      <c r="KH32" s="111" t="n"/>
      <c r="KI32" s="111" t="n"/>
      <c r="KJ32" s="111" t="n"/>
      <c r="KK32" s="111" t="n"/>
      <c r="KL32" s="111" t="n"/>
      <c r="KM32" s="111" t="n"/>
      <c r="KN32" s="111" t="n"/>
      <c r="KO32" s="111" t="n"/>
      <c r="KP32" s="111" t="n"/>
      <c r="KQ32" s="111" t="n"/>
      <c r="KR32" s="111" t="n"/>
      <c r="KS32" s="111" t="n"/>
      <c r="KT32" s="111" t="n"/>
      <c r="KU32" s="111" t="n"/>
      <c r="KV32" s="111" t="n"/>
      <c r="KW32" s="111" t="n"/>
      <c r="KX32" s="111" t="n"/>
      <c r="KY32" s="111" t="n"/>
      <c r="KZ32" s="111" t="n"/>
      <c r="LA32" s="111" t="n"/>
      <c r="LB32" s="111" t="n"/>
      <c r="LC32" s="111" t="n"/>
      <c r="LD32" s="111" t="n"/>
      <c r="LE32" s="111" t="n"/>
      <c r="LF32" s="111" t="n"/>
      <c r="LG32" s="111" t="n"/>
      <c r="LH32" s="111" t="n"/>
      <c r="LI32" s="111" t="n"/>
      <c r="LJ32" s="111" t="n"/>
      <c r="LK32" s="111" t="n"/>
      <c r="LL32" s="111" t="n"/>
      <c r="LM32" s="111" t="n"/>
      <c r="LN32" s="111" t="n"/>
      <c r="LO32" s="111" t="n"/>
      <c r="LP32" s="111" t="n"/>
      <c r="LQ32" s="111" t="n"/>
      <c r="LR32" s="111" t="n"/>
      <c r="LS32" s="111" t="n"/>
      <c r="LT32" s="111" t="n"/>
      <c r="LU32" s="111" t="n"/>
      <c r="LV32" s="111" t="n"/>
      <c r="LW32" s="111" t="n"/>
      <c r="LX32" s="111" t="n"/>
      <c r="LY32" s="111" t="n"/>
      <c r="LZ32" s="111" t="n"/>
      <c r="MA32" s="111" t="n"/>
      <c r="MB32" s="111" t="n"/>
      <c r="MC32" s="111" t="n"/>
      <c r="MD32" s="111" t="n"/>
      <c r="ME32" s="111" t="n"/>
      <c r="MF32" s="111" t="n"/>
      <c r="MG32" s="111" t="n"/>
      <c r="MH32" s="111" t="n"/>
      <c r="MI32" s="111" t="n"/>
      <c r="MJ32" s="111" t="n"/>
      <c r="MK32" s="111" t="n"/>
      <c r="ML32" s="111" t="n"/>
      <c r="MM32" s="111" t="n"/>
      <c r="MN32" s="111" t="n"/>
      <c r="MO32" s="111" t="n"/>
      <c r="MP32" s="111" t="n"/>
      <c r="MQ32" s="111" t="n"/>
      <c r="MR32" s="111" t="n"/>
      <c r="MS32" s="111" t="n"/>
      <c r="MT32" s="111" t="n"/>
      <c r="MU32" s="111" t="n"/>
      <c r="MV32" s="111" t="n"/>
      <c r="MW32" s="111" t="n"/>
      <c r="MX32" s="111" t="n"/>
      <c r="MY32" s="111" t="n"/>
      <c r="MZ32" s="111" t="n"/>
      <c r="NA32" s="111" t="n"/>
      <c r="NB32" s="111" t="n"/>
      <c r="NC32" s="111" t="n"/>
      <c r="ND32" s="111" t="n"/>
      <c r="NE32" s="111" t="n"/>
      <c r="NF32" s="111" t="n"/>
      <c r="NG32" s="111" t="n"/>
      <c r="NH32" s="111" t="n"/>
      <c r="NI32" s="111" t="n"/>
      <c r="NJ32" s="111" t="n"/>
      <c r="NK32" s="111" t="n"/>
      <c r="NL32" s="111" t="n"/>
      <c r="NM32" s="111" t="n"/>
      <c r="NN32" s="111" t="n"/>
      <c r="NO32" s="111" t="n"/>
      <c r="NP32" s="111" t="n"/>
      <c r="NQ32" s="111" t="n"/>
      <c r="NR32" s="111" t="n"/>
      <c r="NS32" s="111" t="n"/>
      <c r="NT32" s="111" t="n"/>
      <c r="NU32" s="111" t="n"/>
      <c r="NV32" s="111" t="n"/>
      <c r="NW32" s="111" t="n"/>
      <c r="NX32" s="111" t="n"/>
      <c r="NY32" s="111" t="n"/>
      <c r="NZ32" s="111" t="n"/>
      <c r="OA32" s="111" t="n"/>
      <c r="OB32" s="111" t="n"/>
      <c r="OC32" s="111" t="n"/>
      <c r="OD32" s="111" t="n"/>
      <c r="OE32" s="111" t="n"/>
      <c r="OF32" s="111" t="n"/>
      <c r="OG32" s="111" t="n"/>
      <c r="OH32" s="111" t="n"/>
      <c r="OI32" s="111" t="n"/>
      <c r="OJ32" s="111" t="n"/>
      <c r="OK32" s="111" t="n"/>
      <c r="OL32" s="111" t="n"/>
      <c r="OM32" s="111" t="n"/>
      <c r="ON32" s="111" t="n"/>
      <c r="OO32" s="111" t="n"/>
      <c r="OP32" s="111" t="n"/>
      <c r="OQ32" s="111" t="n"/>
      <c r="OR32" s="111" t="n"/>
      <c r="OS32" s="111" t="n"/>
      <c r="OT32" s="111" t="n"/>
      <c r="OU32" s="111" t="n"/>
      <c r="OV32" s="111" t="n"/>
      <c r="OW32" s="111" t="n"/>
      <c r="OX32" s="111" t="n"/>
      <c r="OY32" s="111" t="n"/>
      <c r="OZ32" s="111" t="n"/>
      <c r="PA32" s="111" t="n"/>
      <c r="PB32" s="111" t="n"/>
      <c r="PC32" s="111" t="n"/>
      <c r="PD32" s="111" t="n"/>
      <c r="PE32" s="111" t="n"/>
      <c r="PF32" s="111" t="n"/>
      <c r="PG32" s="111" t="n"/>
      <c r="PH32" s="111" t="n"/>
      <c r="PI32" s="111" t="n"/>
      <c r="PJ32" s="111" t="n"/>
      <c r="PK32" s="111" t="n"/>
      <c r="PL32" s="111" t="n"/>
      <c r="PM32" s="111" t="n"/>
      <c r="PN32" s="111" t="n"/>
      <c r="PO32" s="111" t="n"/>
      <c r="PP32" s="111" t="n"/>
      <c r="PQ32" s="111" t="n"/>
      <c r="PR32" s="111" t="n"/>
      <c r="PS32" s="111" t="n"/>
      <c r="PT32" s="111" t="n"/>
      <c r="PU32" s="111" t="n"/>
      <c r="PV32" s="111" t="n"/>
      <c r="PW32" s="111" t="n"/>
      <c r="PX32" s="111" t="n"/>
      <c r="PY32" s="111" t="n"/>
      <c r="PZ32" s="111" t="n"/>
      <c r="QA32" s="111" t="n"/>
      <c r="QB32" s="111" t="n"/>
      <c r="QC32" s="111" t="n"/>
      <c r="QD32" s="111" t="n"/>
      <c r="QE32" s="111" t="n"/>
      <c r="QF32" s="111" t="n"/>
      <c r="QG32" s="111" t="n"/>
      <c r="QH32" s="111" t="n"/>
      <c r="QI32" s="111" t="n"/>
      <c r="QJ32" s="111" t="n"/>
      <c r="QK32" s="111" t="n"/>
      <c r="QL32" s="111" t="n"/>
      <c r="QM32" s="111" t="n"/>
      <c r="QN32" s="111" t="n"/>
      <c r="QO32" s="111" t="n"/>
      <c r="QP32" s="111" t="n"/>
      <c r="QQ32" s="111" t="n"/>
      <c r="QR32" s="111" t="n"/>
      <c r="QS32" s="111" t="n"/>
      <c r="QT32" s="111" t="n"/>
      <c r="QU32" s="111" t="n"/>
      <c r="QV32" s="111" t="n"/>
      <c r="QW32" s="111" t="n"/>
      <c r="QX32" s="111" t="n"/>
      <c r="QY32" s="111" t="n"/>
      <c r="QZ32" s="111" t="n"/>
      <c r="RA32" s="111" t="n"/>
      <c r="RB32" s="111" t="n"/>
      <c r="RC32" s="111" t="n"/>
      <c r="RD32" s="111" t="n"/>
      <c r="RE32" s="111" t="n"/>
      <c r="RF32" s="111" t="n"/>
      <c r="RG32" s="111" t="n"/>
      <c r="RH32" s="111" t="n"/>
      <c r="RI32" s="111" t="n"/>
      <c r="RJ32" s="111" t="n"/>
      <c r="RK32" s="111" t="n"/>
      <c r="RL32" s="111" t="n"/>
      <c r="RM32" s="111" t="n"/>
      <c r="RN32" s="111" t="n"/>
      <c r="RO32" s="111" t="n"/>
      <c r="RP32" s="111" t="n"/>
      <c r="RQ32" s="111" t="n"/>
      <c r="RR32" s="111" t="n"/>
      <c r="RS32" s="111" t="n"/>
      <c r="RT32" s="111" t="n"/>
      <c r="RU32" s="111" t="n"/>
      <c r="RV32" s="111" t="n"/>
      <c r="RW32" s="111" t="n"/>
      <c r="RX32" s="111" t="n"/>
      <c r="RY32" s="111" t="n"/>
      <c r="RZ32" s="111" t="n"/>
      <c r="SA32" s="111" t="n"/>
      <c r="SB32" s="111" t="n"/>
      <c r="SC32" s="111" t="n"/>
      <c r="SD32" s="111" t="n"/>
      <c r="SE32" s="111" t="n"/>
      <c r="SF32" s="111" t="n"/>
      <c r="SG32" s="111" t="n"/>
      <c r="SH32" s="111" t="n"/>
      <c r="SI32" s="111" t="n"/>
      <c r="SJ32" s="111" t="n"/>
      <c r="SK32" s="111" t="n"/>
    </row>
    <row r="33" ht="15" customFormat="1" customHeight="1" s="137">
      <c r="A33" s="177" t="n">
        <v>20</v>
      </c>
      <c r="B33" s="154" t="inlineStr">
        <is>
          <t>Millwork Install</t>
        </is>
      </c>
      <c r="C33" s="144" t="n"/>
      <c r="D33" s="177" t="n"/>
      <c r="E33" s="177" t="n"/>
      <c r="F33" s="177" t="n"/>
      <c r="G33" s="263" t="n">
        <v>44826</v>
      </c>
      <c r="H33" s="262">
        <f>WORKDAY(G33,I33-1,holidays)</f>
        <v/>
      </c>
      <c r="I33" s="149" t="n">
        <v>3</v>
      </c>
      <c r="J33" s="150" t="n">
        <v>0</v>
      </c>
      <c r="K33" s="151">
        <f>IF(OR(G33=0,H33=0),0,H33-G33+1)</f>
        <v/>
      </c>
      <c r="L33" s="152">
        <f>MIN(K33,WORKDAY(G33,ROUNDDOWN(J33*I33,0),holidays)-G33)</f>
        <v/>
      </c>
      <c r="M33" s="151">
        <f>K33-L33</f>
        <v/>
      </c>
      <c r="N33" s="180" t="n"/>
      <c r="P33" s="111" t="n"/>
      <c r="Q33" s="111"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1" t="n"/>
      <c r="AY33" s="111" t="n"/>
      <c r="AZ33" s="111" t="n"/>
      <c r="BA33" s="111" t="n"/>
      <c r="BB33" s="111" t="n"/>
      <c r="BC33" s="111" t="n"/>
      <c r="BD33" s="111" t="n"/>
      <c r="BE33" s="111" t="n"/>
      <c r="BF33" s="111" t="n"/>
      <c r="BG33" s="111" t="n"/>
      <c r="BH33" s="111" t="n"/>
      <c r="BI33" s="111" t="n"/>
      <c r="BJ33" s="111" t="n"/>
      <c r="BK33" s="111" t="n"/>
      <c r="BL33" s="111" t="n"/>
      <c r="BM33" s="111" t="n"/>
      <c r="BN33" s="111" t="n"/>
      <c r="BO33" s="111" t="n"/>
      <c r="BP33" s="111" t="n"/>
      <c r="BQ33" s="111" t="n"/>
      <c r="BR33" s="111" t="n"/>
      <c r="BS33" s="111" t="n"/>
      <c r="BT33" s="111" t="n"/>
      <c r="BU33" s="111" t="n"/>
      <c r="BV33" s="111" t="n"/>
      <c r="BW33" s="111" t="n"/>
      <c r="BX33" s="111" t="n"/>
      <c r="BY33" s="111" t="n"/>
      <c r="BZ33" s="111" t="n"/>
      <c r="CA33" s="111" t="n"/>
      <c r="CB33" s="111" t="n"/>
      <c r="CC33" s="111" t="n"/>
      <c r="CD33" s="111" t="n"/>
      <c r="CE33" s="111" t="n"/>
      <c r="CF33" s="111"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1" t="n"/>
      <c r="DS33" s="111" t="n"/>
      <c r="DT33" s="111" t="n"/>
      <c r="DU33" s="111" t="n"/>
      <c r="DV33" s="111" t="n"/>
      <c r="DW33" s="111" t="n"/>
      <c r="DX33" s="111" t="n"/>
      <c r="DY33" s="111" t="n"/>
      <c r="DZ33" s="111" t="n"/>
      <c r="EA33" s="111" t="n"/>
      <c r="EB33" s="111" t="n"/>
      <c r="EC33" s="111" t="n"/>
      <c r="ED33" s="111" t="n"/>
      <c r="EE33" s="111" t="n"/>
      <c r="EF33" s="111" t="n"/>
      <c r="EG33" s="111" t="n"/>
      <c r="EH33" s="111" t="n"/>
      <c r="EI33" s="111" t="n"/>
      <c r="EJ33" s="111" t="n"/>
      <c r="EK33" s="111" t="n"/>
      <c r="EL33" s="111" t="n"/>
      <c r="EM33" s="111" t="n"/>
      <c r="EN33" s="111" t="n"/>
      <c r="EO33" s="111" t="n"/>
      <c r="EP33" s="111" t="n"/>
      <c r="EQ33" s="111" t="n"/>
      <c r="ER33" s="111" t="n"/>
      <c r="ES33" s="111" t="n"/>
      <c r="ET33" s="111" t="n"/>
      <c r="EU33" s="111" t="n"/>
      <c r="EV33" s="111" t="n"/>
      <c r="EW33" s="111" t="n"/>
      <c r="EX33" s="111" t="n"/>
      <c r="EY33" s="111" t="n"/>
      <c r="EZ33" s="111" t="n"/>
      <c r="FA33" s="111" t="n"/>
      <c r="FB33" s="111"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1" t="n"/>
      <c r="GH33" s="111" t="n"/>
      <c r="GI33" s="111" t="n"/>
      <c r="GJ33" s="111" t="n"/>
      <c r="GK33" s="111" t="n"/>
      <c r="GL33" s="111" t="n"/>
      <c r="GM33" s="111" t="n"/>
      <c r="GN33" s="111" t="n"/>
      <c r="GO33" s="111" t="n"/>
      <c r="GP33" s="111" t="n"/>
      <c r="GQ33" s="111" t="n"/>
      <c r="GR33" s="111" t="n"/>
      <c r="GS33" s="111" t="n"/>
      <c r="GT33" s="111" t="n"/>
      <c r="GU33" s="111" t="n"/>
      <c r="GV33" s="111" t="n"/>
      <c r="GW33" s="111" t="n"/>
      <c r="GX33" s="111" t="n"/>
      <c r="GY33" s="111" t="n"/>
      <c r="GZ33" s="111" t="n"/>
      <c r="HA33" s="111" t="n"/>
      <c r="HB33" s="111" t="n"/>
      <c r="HC33" s="111" t="n"/>
      <c r="HD33" s="111" t="n"/>
      <c r="HE33" s="111" t="n"/>
      <c r="HF33" s="111" t="n"/>
      <c r="HG33" s="111" t="n"/>
      <c r="HH33" s="111" t="n"/>
      <c r="HI33" s="111" t="n"/>
      <c r="HJ33" s="111" t="n"/>
      <c r="HK33" s="111" t="n"/>
      <c r="HL33" s="111" t="n"/>
      <c r="HM33" s="111" t="n"/>
      <c r="HN33" s="111" t="n"/>
      <c r="HO33" s="111" t="n"/>
      <c r="HP33" s="111" t="n"/>
      <c r="HQ33" s="111" t="n"/>
      <c r="HR33" s="111" t="n"/>
      <c r="HS33" s="111" t="n"/>
      <c r="HT33" s="111" t="n"/>
      <c r="HU33" s="111" t="n"/>
      <c r="HV33" s="111" t="n"/>
      <c r="HW33" s="111" t="n"/>
      <c r="HX33" s="111" t="n"/>
      <c r="HY33" s="111" t="n"/>
      <c r="HZ33" s="111" t="n"/>
      <c r="IA33" s="111" t="n"/>
      <c r="IB33" s="111" t="n"/>
      <c r="IC33" s="111" t="n"/>
      <c r="ID33" s="111" t="n"/>
      <c r="IE33" s="111" t="n"/>
      <c r="IF33" s="111" t="n"/>
      <c r="IG33" s="111" t="n"/>
      <c r="IH33" s="111" t="n"/>
      <c r="II33" s="111" t="n"/>
      <c r="IJ33" s="111" t="n"/>
      <c r="IK33" s="111" t="n"/>
      <c r="IL33" s="111" t="n"/>
      <c r="IM33" s="111" t="n"/>
      <c r="IN33" s="111" t="n"/>
      <c r="IO33" s="111" t="n"/>
      <c r="IP33" s="111" t="n"/>
      <c r="IQ33" s="111" t="n"/>
      <c r="IR33" s="111" t="n"/>
      <c r="IS33" s="111" t="n"/>
      <c r="IT33" s="111" t="n"/>
      <c r="IU33" s="111" t="n"/>
      <c r="IV33" s="111" t="n"/>
      <c r="IW33" s="111" t="n"/>
      <c r="IX33" s="111" t="n"/>
      <c r="IY33" s="111" t="n"/>
      <c r="IZ33" s="111" t="n"/>
      <c r="JA33" s="111" t="n"/>
      <c r="JB33" s="111" t="n"/>
      <c r="JC33" s="111" t="n"/>
      <c r="JD33" s="111" t="n"/>
      <c r="JE33" s="111" t="n"/>
      <c r="JF33" s="111" t="n"/>
      <c r="JG33" s="111" t="n"/>
      <c r="JH33" s="111" t="n"/>
      <c r="JI33" s="111" t="n"/>
      <c r="JJ33" s="111" t="n"/>
      <c r="JK33" s="111" t="n"/>
      <c r="JL33" s="111" t="n"/>
      <c r="JM33" s="111" t="n"/>
      <c r="JN33" s="111" t="n"/>
      <c r="JO33" s="111" t="n"/>
      <c r="JP33" s="111" t="n"/>
      <c r="JQ33" s="111" t="n"/>
      <c r="JR33" s="111" t="n"/>
      <c r="JS33" s="111" t="n"/>
      <c r="JT33" s="111" t="n"/>
      <c r="JU33" s="111" t="n"/>
      <c r="JV33" s="111" t="n"/>
      <c r="JW33" s="111" t="n"/>
      <c r="JX33" s="111" t="n"/>
      <c r="JY33" s="111" t="n"/>
      <c r="JZ33" s="111" t="n"/>
      <c r="KA33" s="111" t="n"/>
      <c r="KB33" s="111" t="n"/>
      <c r="KC33" s="111" t="n"/>
      <c r="KD33" s="111" t="n"/>
      <c r="KE33" s="111" t="n"/>
      <c r="KF33" s="111" t="n"/>
      <c r="KG33" s="111" t="n"/>
      <c r="KH33" s="111" t="n"/>
      <c r="KI33" s="111" t="n"/>
      <c r="KJ33" s="111" t="n"/>
      <c r="KK33" s="111" t="n"/>
      <c r="KL33" s="111" t="n"/>
      <c r="KM33" s="111" t="n"/>
      <c r="KN33" s="111" t="n"/>
      <c r="KO33" s="111" t="n"/>
      <c r="KP33" s="111" t="n"/>
      <c r="KQ33" s="111" t="n"/>
      <c r="KR33" s="111" t="n"/>
      <c r="KS33" s="111" t="n"/>
      <c r="KT33" s="111" t="n"/>
      <c r="KU33" s="111" t="n"/>
      <c r="KV33" s="111" t="n"/>
      <c r="KW33" s="111" t="n"/>
      <c r="KX33" s="111" t="n"/>
      <c r="KY33" s="111" t="n"/>
      <c r="KZ33" s="111" t="n"/>
      <c r="LA33" s="111" t="n"/>
      <c r="LB33" s="111" t="n"/>
      <c r="LC33" s="111" t="n"/>
      <c r="LD33" s="111" t="n"/>
      <c r="LE33" s="111" t="n"/>
      <c r="LF33" s="111" t="n"/>
      <c r="LG33" s="111" t="n"/>
      <c r="LH33" s="111" t="n"/>
      <c r="LI33" s="111" t="n"/>
      <c r="LJ33" s="111" t="n"/>
      <c r="LK33" s="111" t="n"/>
      <c r="LL33" s="111" t="n"/>
      <c r="LM33" s="111" t="n"/>
      <c r="LN33" s="111" t="n"/>
      <c r="LO33" s="111" t="n"/>
      <c r="LP33" s="111" t="n"/>
      <c r="LQ33" s="111" t="n"/>
      <c r="LR33" s="111" t="n"/>
      <c r="LS33" s="111" t="n"/>
      <c r="LT33" s="111" t="n"/>
      <c r="LU33" s="111" t="n"/>
      <c r="LV33" s="111" t="n"/>
      <c r="LW33" s="111" t="n"/>
      <c r="LX33" s="111" t="n"/>
      <c r="LY33" s="111" t="n"/>
      <c r="LZ33" s="111" t="n"/>
      <c r="MA33" s="111" t="n"/>
      <c r="MB33" s="111" t="n"/>
      <c r="MC33" s="111" t="n"/>
      <c r="MD33" s="111" t="n"/>
      <c r="ME33" s="111" t="n"/>
      <c r="MF33" s="111" t="n"/>
      <c r="MG33" s="111" t="n"/>
      <c r="MH33" s="111" t="n"/>
      <c r="MI33" s="111" t="n"/>
      <c r="MJ33" s="111" t="n"/>
      <c r="MK33" s="111" t="n"/>
      <c r="ML33" s="111" t="n"/>
      <c r="MM33" s="111" t="n"/>
      <c r="MN33" s="111" t="n"/>
      <c r="MO33" s="111" t="n"/>
      <c r="MP33" s="111" t="n"/>
      <c r="MQ33" s="111" t="n"/>
      <c r="MR33" s="111" t="n"/>
      <c r="MS33" s="111" t="n"/>
      <c r="MT33" s="111" t="n"/>
      <c r="MU33" s="111" t="n"/>
      <c r="MV33" s="111" t="n"/>
      <c r="MW33" s="111" t="n"/>
      <c r="MX33" s="111" t="n"/>
      <c r="MY33" s="111" t="n"/>
      <c r="MZ33" s="111" t="n"/>
      <c r="NA33" s="111" t="n"/>
      <c r="NB33" s="111" t="n"/>
      <c r="NC33" s="111" t="n"/>
      <c r="ND33" s="111" t="n"/>
      <c r="NE33" s="111" t="n"/>
      <c r="NF33" s="111" t="n"/>
      <c r="NG33" s="111" t="n"/>
      <c r="NH33" s="111" t="n"/>
      <c r="NI33" s="111" t="n"/>
      <c r="NJ33" s="111" t="n"/>
      <c r="NK33" s="111" t="n"/>
      <c r="NL33" s="111" t="n"/>
      <c r="NM33" s="111" t="n"/>
      <c r="NN33" s="111" t="n"/>
      <c r="NO33" s="111" t="n"/>
      <c r="NP33" s="111" t="n"/>
      <c r="NQ33" s="111" t="n"/>
      <c r="NR33" s="111" t="n"/>
      <c r="NS33" s="111" t="n"/>
      <c r="NT33" s="111" t="n"/>
      <c r="NU33" s="111" t="n"/>
      <c r="NV33" s="111" t="n"/>
      <c r="NW33" s="111" t="n"/>
      <c r="NX33" s="111" t="n"/>
      <c r="NY33" s="111" t="n"/>
      <c r="NZ33" s="111" t="n"/>
      <c r="OA33" s="111" t="n"/>
      <c r="OB33" s="111" t="n"/>
      <c r="OC33" s="111" t="n"/>
      <c r="OD33" s="111" t="n"/>
      <c r="OE33" s="111" t="n"/>
      <c r="OF33" s="111" t="n"/>
      <c r="OG33" s="111" t="n"/>
      <c r="OH33" s="111" t="n"/>
      <c r="OI33" s="111" t="n"/>
      <c r="OJ33" s="111" t="n"/>
      <c r="OK33" s="111" t="n"/>
      <c r="OL33" s="111" t="n"/>
      <c r="OM33" s="111" t="n"/>
      <c r="ON33" s="111" t="n"/>
      <c r="OO33" s="111" t="n"/>
      <c r="OP33" s="111" t="n"/>
      <c r="OQ33" s="111" t="n"/>
      <c r="OR33" s="111" t="n"/>
      <c r="OS33" s="111" t="n"/>
      <c r="OT33" s="111" t="n"/>
      <c r="OU33" s="111" t="n"/>
      <c r="OV33" s="111" t="n"/>
      <c r="OW33" s="111" t="n"/>
      <c r="OX33" s="111" t="n"/>
      <c r="OY33" s="111" t="n"/>
      <c r="OZ33" s="111" t="n"/>
      <c r="PA33" s="111" t="n"/>
      <c r="PB33" s="111" t="n"/>
      <c r="PC33" s="111" t="n"/>
      <c r="PD33" s="111" t="n"/>
      <c r="PE33" s="111" t="n"/>
      <c r="PF33" s="111" t="n"/>
      <c r="PG33" s="111" t="n"/>
      <c r="PH33" s="111" t="n"/>
      <c r="PI33" s="111" t="n"/>
      <c r="PJ33" s="111" t="n"/>
      <c r="PK33" s="111" t="n"/>
      <c r="PL33" s="111" t="n"/>
      <c r="PM33" s="111" t="n"/>
      <c r="PN33" s="111" t="n"/>
      <c r="PO33" s="111" t="n"/>
      <c r="PP33" s="111" t="n"/>
      <c r="PQ33" s="111" t="n"/>
      <c r="PR33" s="111" t="n"/>
      <c r="PS33" s="111" t="n"/>
      <c r="PT33" s="111" t="n"/>
      <c r="PU33" s="111" t="n"/>
      <c r="PV33" s="111" t="n"/>
      <c r="PW33" s="111" t="n"/>
      <c r="PX33" s="111" t="n"/>
      <c r="PY33" s="111" t="n"/>
      <c r="PZ33" s="111" t="n"/>
      <c r="QA33" s="111" t="n"/>
      <c r="QB33" s="111" t="n"/>
      <c r="QC33" s="111" t="n"/>
      <c r="QD33" s="111" t="n"/>
      <c r="QE33" s="111" t="n"/>
      <c r="QF33" s="111" t="n"/>
      <c r="QG33" s="111" t="n"/>
      <c r="QH33" s="111" t="n"/>
      <c r="QI33" s="111" t="n"/>
      <c r="QJ33" s="111" t="n"/>
      <c r="QK33" s="111" t="n"/>
      <c r="QL33" s="111" t="n"/>
      <c r="QM33" s="111" t="n"/>
      <c r="QN33" s="111" t="n"/>
      <c r="QO33" s="111" t="n"/>
      <c r="QP33" s="111" t="n"/>
      <c r="QQ33" s="111" t="n"/>
      <c r="QR33" s="111" t="n"/>
      <c r="QS33" s="111" t="n"/>
      <c r="QT33" s="111" t="n"/>
      <c r="QU33" s="111" t="n"/>
      <c r="QV33" s="111" t="n"/>
      <c r="QW33" s="111" t="n"/>
      <c r="QX33" s="111" t="n"/>
      <c r="QY33" s="111" t="n"/>
      <c r="QZ33" s="111" t="n"/>
      <c r="RA33" s="111" t="n"/>
      <c r="RB33" s="111" t="n"/>
      <c r="RC33" s="111" t="n"/>
      <c r="RD33" s="111" t="n"/>
      <c r="RE33" s="111" t="n"/>
      <c r="RF33" s="111" t="n"/>
      <c r="RG33" s="111" t="n"/>
      <c r="RH33" s="111" t="n"/>
      <c r="RI33" s="111" t="n"/>
      <c r="RJ33" s="111" t="n"/>
      <c r="RK33" s="111" t="n"/>
      <c r="RL33" s="111" t="n"/>
      <c r="RM33" s="111" t="n"/>
      <c r="RN33" s="111" t="n"/>
      <c r="RO33" s="111" t="n"/>
      <c r="RP33" s="111" t="n"/>
      <c r="RQ33" s="111" t="n"/>
      <c r="RR33" s="111" t="n"/>
      <c r="RS33" s="111" t="n"/>
      <c r="RT33" s="111" t="n"/>
      <c r="RU33" s="111" t="n"/>
      <c r="RV33" s="111" t="n"/>
      <c r="RW33" s="111" t="n"/>
      <c r="RX33" s="111" t="n"/>
      <c r="RY33" s="111" t="n"/>
      <c r="RZ33" s="111" t="n"/>
      <c r="SA33" s="111" t="n"/>
      <c r="SB33" s="111" t="n"/>
      <c r="SC33" s="111" t="n"/>
      <c r="SD33" s="111" t="n"/>
      <c r="SE33" s="111" t="n"/>
      <c r="SF33" s="111" t="n"/>
      <c r="SG33" s="111" t="n"/>
      <c r="SH33" s="111" t="n"/>
      <c r="SI33" s="111" t="n"/>
      <c r="SJ33" s="111" t="n"/>
      <c r="SK33" s="111" t="n"/>
    </row>
    <row r="34" ht="15" customFormat="1" customHeight="1" s="137">
      <c r="A34" s="177" t="n">
        <v>21</v>
      </c>
      <c r="B34" s="154" t="inlineStr">
        <is>
          <t xml:space="preserve">Plumbing Trim out </t>
        </is>
      </c>
      <c r="C34" s="144" t="n"/>
      <c r="D34" s="177" t="n"/>
      <c r="E34" s="177" t="n"/>
      <c r="F34" s="177" t="n"/>
      <c r="G34" s="263" t="n">
        <v>44826</v>
      </c>
      <c r="H34" s="262">
        <f>WORKDAY(G34,I34-1,holidays)</f>
        <v/>
      </c>
      <c r="I34" s="149" t="n">
        <v>3</v>
      </c>
      <c r="J34" s="150" t="n">
        <v>0</v>
      </c>
      <c r="K34" s="151">
        <f>IF(OR(G34=0,H34=0),0,H34-G34+1)</f>
        <v/>
      </c>
      <c r="L34" s="152">
        <f>MIN(K34,WORKDAY(G34,ROUNDDOWN(J34*I34,0),holidays)-G34)</f>
        <v/>
      </c>
      <c r="M34" s="151">
        <f>K34-L34</f>
        <v/>
      </c>
      <c r="N34" s="180" t="n"/>
      <c r="P34" s="111" t="n"/>
      <c r="Q34" s="111"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1" t="n"/>
      <c r="CC34" s="111" t="n"/>
      <c r="CD34" s="111" t="n"/>
      <c r="CE34" s="111" t="n"/>
      <c r="CF34" s="111"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1" t="n"/>
      <c r="DS34" s="111" t="n"/>
      <c r="DT34" s="111" t="n"/>
      <c r="DU34" s="111" t="n"/>
      <c r="DV34" s="111" t="n"/>
      <c r="DW34" s="111" t="n"/>
      <c r="DX34" s="111" t="n"/>
      <c r="DY34" s="111" t="n"/>
      <c r="DZ34" s="111" t="n"/>
      <c r="EA34" s="111" t="n"/>
      <c r="EB34" s="111" t="n"/>
      <c r="EC34" s="111" t="n"/>
      <c r="ED34" s="111" t="n"/>
      <c r="EE34" s="111" t="n"/>
      <c r="EF34" s="111" t="n"/>
      <c r="EG34" s="111" t="n"/>
      <c r="EH34" s="111" t="n"/>
      <c r="EI34" s="111" t="n"/>
      <c r="EJ34" s="111" t="n"/>
      <c r="EK34" s="111" t="n"/>
      <c r="EL34" s="111" t="n"/>
      <c r="EM34" s="111" t="n"/>
      <c r="EN34" s="111" t="n"/>
      <c r="EO34" s="111" t="n"/>
      <c r="EP34" s="111" t="n"/>
      <c r="EQ34" s="111" t="n"/>
      <c r="ER34" s="111" t="n"/>
      <c r="ES34" s="111" t="n"/>
      <c r="ET34" s="111" t="n"/>
      <c r="EU34" s="111" t="n"/>
      <c r="EV34" s="111" t="n"/>
      <c r="EW34" s="111" t="n"/>
      <c r="EX34" s="111" t="n"/>
      <c r="EY34" s="111" t="n"/>
      <c r="EZ34" s="111" t="n"/>
      <c r="FA34" s="111" t="n"/>
      <c r="FB34" s="111"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1" t="n"/>
      <c r="GH34" s="111" t="n"/>
      <c r="GI34" s="111" t="n"/>
      <c r="GJ34" s="111" t="n"/>
      <c r="GK34" s="111" t="n"/>
      <c r="GL34" s="111" t="n"/>
      <c r="GM34" s="111" t="n"/>
      <c r="GN34" s="111" t="n"/>
      <c r="GO34" s="111" t="n"/>
      <c r="GP34" s="111" t="n"/>
      <c r="GQ34" s="111" t="n"/>
      <c r="GR34" s="111" t="n"/>
      <c r="GS34" s="111" t="n"/>
      <c r="GT34" s="111" t="n"/>
      <c r="GU34" s="111" t="n"/>
      <c r="GV34" s="111" t="n"/>
      <c r="GW34" s="111" t="n"/>
      <c r="GX34" s="111" t="n"/>
      <c r="GY34" s="111" t="n"/>
      <c r="GZ34" s="111" t="n"/>
      <c r="HA34" s="111" t="n"/>
      <c r="HB34" s="111" t="n"/>
      <c r="HC34" s="111" t="n"/>
      <c r="HD34" s="111" t="n"/>
      <c r="HE34" s="111" t="n"/>
      <c r="HF34" s="111" t="n"/>
      <c r="HG34" s="111" t="n"/>
      <c r="HH34" s="111" t="n"/>
      <c r="HI34" s="111" t="n"/>
      <c r="HJ34" s="111" t="n"/>
      <c r="HK34" s="111" t="n"/>
      <c r="HL34" s="111" t="n"/>
      <c r="HM34" s="111" t="n"/>
      <c r="HN34" s="111" t="n"/>
      <c r="HO34" s="111" t="n"/>
      <c r="HP34" s="111" t="n"/>
      <c r="HQ34" s="111" t="n"/>
      <c r="HR34" s="111" t="n"/>
      <c r="HS34" s="111" t="n"/>
      <c r="HT34" s="111" t="n"/>
      <c r="HU34" s="111" t="n"/>
      <c r="HV34" s="111" t="n"/>
      <c r="HW34" s="111" t="n"/>
      <c r="HX34" s="111" t="n"/>
      <c r="HY34" s="111" t="n"/>
      <c r="HZ34" s="111" t="n"/>
      <c r="IA34" s="111" t="n"/>
      <c r="IB34" s="111" t="n"/>
      <c r="IC34" s="111" t="n"/>
      <c r="ID34" s="111" t="n"/>
      <c r="IE34" s="111" t="n"/>
      <c r="IF34" s="111" t="n"/>
      <c r="IG34" s="111" t="n"/>
      <c r="IH34" s="111" t="n"/>
      <c r="II34" s="111" t="n"/>
      <c r="IJ34" s="111" t="n"/>
      <c r="IK34" s="111" t="n"/>
      <c r="IL34" s="111" t="n"/>
      <c r="IM34" s="111" t="n"/>
      <c r="IN34" s="111" t="n"/>
      <c r="IO34" s="111" t="n"/>
      <c r="IP34" s="111" t="n"/>
      <c r="IQ34" s="111" t="n"/>
      <c r="IR34" s="111" t="n"/>
      <c r="IS34" s="111" t="n"/>
      <c r="IT34" s="111" t="n"/>
      <c r="IU34" s="111" t="n"/>
      <c r="IV34" s="111" t="n"/>
      <c r="IW34" s="111" t="n"/>
      <c r="IX34" s="111" t="n"/>
      <c r="IY34" s="111" t="n"/>
      <c r="IZ34" s="111" t="n"/>
      <c r="JA34" s="111" t="n"/>
      <c r="JB34" s="111" t="n"/>
      <c r="JC34" s="111" t="n"/>
      <c r="JD34" s="111" t="n"/>
      <c r="JE34" s="111" t="n"/>
      <c r="JF34" s="111" t="n"/>
      <c r="JG34" s="111" t="n"/>
      <c r="JH34" s="111" t="n"/>
      <c r="JI34" s="111" t="n"/>
      <c r="JJ34" s="111" t="n"/>
      <c r="JK34" s="111" t="n"/>
      <c r="JL34" s="111" t="n"/>
      <c r="JM34" s="111" t="n"/>
      <c r="JN34" s="111" t="n"/>
      <c r="JO34" s="111" t="n"/>
      <c r="JP34" s="111" t="n"/>
      <c r="JQ34" s="111" t="n"/>
      <c r="JR34" s="111" t="n"/>
      <c r="JS34" s="111" t="n"/>
      <c r="JT34" s="111" t="n"/>
      <c r="JU34" s="111" t="n"/>
      <c r="JV34" s="111" t="n"/>
      <c r="JW34" s="111" t="n"/>
      <c r="JX34" s="111" t="n"/>
      <c r="JY34" s="111" t="n"/>
      <c r="JZ34" s="111" t="n"/>
      <c r="KA34" s="111" t="n"/>
      <c r="KB34" s="111" t="n"/>
      <c r="KC34" s="111" t="n"/>
      <c r="KD34" s="111" t="n"/>
      <c r="KE34" s="111" t="n"/>
      <c r="KF34" s="111" t="n"/>
      <c r="KG34" s="111" t="n"/>
      <c r="KH34" s="111" t="n"/>
      <c r="KI34" s="111" t="n"/>
      <c r="KJ34" s="111" t="n"/>
      <c r="KK34" s="111" t="n"/>
      <c r="KL34" s="111" t="n"/>
      <c r="KM34" s="111" t="n"/>
      <c r="KN34" s="111" t="n"/>
      <c r="KO34" s="111" t="n"/>
      <c r="KP34" s="111" t="n"/>
      <c r="KQ34" s="111" t="n"/>
      <c r="KR34" s="111" t="n"/>
      <c r="KS34" s="111" t="n"/>
      <c r="KT34" s="111" t="n"/>
      <c r="KU34" s="111" t="n"/>
      <c r="KV34" s="111" t="n"/>
      <c r="KW34" s="111" t="n"/>
      <c r="KX34" s="111" t="n"/>
      <c r="KY34" s="111" t="n"/>
      <c r="KZ34" s="111" t="n"/>
      <c r="LA34" s="111" t="n"/>
      <c r="LB34" s="111" t="n"/>
      <c r="LC34" s="111" t="n"/>
      <c r="LD34" s="111" t="n"/>
      <c r="LE34" s="111" t="n"/>
      <c r="LF34" s="111" t="n"/>
      <c r="LG34" s="111" t="n"/>
      <c r="LH34" s="111" t="n"/>
      <c r="LI34" s="111" t="n"/>
      <c r="LJ34" s="111" t="n"/>
      <c r="LK34" s="111" t="n"/>
      <c r="LL34" s="111" t="n"/>
      <c r="LM34" s="111" t="n"/>
      <c r="LN34" s="111" t="n"/>
      <c r="LO34" s="111" t="n"/>
      <c r="LP34" s="111" t="n"/>
      <c r="LQ34" s="111" t="n"/>
      <c r="LR34" s="111" t="n"/>
      <c r="LS34" s="111" t="n"/>
      <c r="LT34" s="111" t="n"/>
      <c r="LU34" s="111" t="n"/>
      <c r="LV34" s="111" t="n"/>
      <c r="LW34" s="111" t="n"/>
      <c r="LX34" s="111" t="n"/>
      <c r="LY34" s="111" t="n"/>
      <c r="LZ34" s="111" t="n"/>
      <c r="MA34" s="111" t="n"/>
      <c r="MB34" s="111" t="n"/>
      <c r="MC34" s="111" t="n"/>
      <c r="MD34" s="111" t="n"/>
      <c r="ME34" s="111" t="n"/>
      <c r="MF34" s="111" t="n"/>
      <c r="MG34" s="111" t="n"/>
      <c r="MH34" s="111" t="n"/>
      <c r="MI34" s="111" t="n"/>
      <c r="MJ34" s="111" t="n"/>
      <c r="MK34" s="111" t="n"/>
      <c r="ML34" s="111" t="n"/>
      <c r="MM34" s="111" t="n"/>
      <c r="MN34" s="111" t="n"/>
      <c r="MO34" s="111" t="n"/>
      <c r="MP34" s="111" t="n"/>
      <c r="MQ34" s="111" t="n"/>
      <c r="MR34" s="111" t="n"/>
      <c r="MS34" s="111" t="n"/>
      <c r="MT34" s="111" t="n"/>
      <c r="MU34" s="111" t="n"/>
      <c r="MV34" s="111" t="n"/>
      <c r="MW34" s="111" t="n"/>
      <c r="MX34" s="111" t="n"/>
      <c r="MY34" s="111" t="n"/>
      <c r="MZ34" s="111" t="n"/>
      <c r="NA34" s="111" t="n"/>
      <c r="NB34" s="111" t="n"/>
      <c r="NC34" s="111" t="n"/>
      <c r="ND34" s="111" t="n"/>
      <c r="NE34" s="111" t="n"/>
      <c r="NF34" s="111" t="n"/>
      <c r="NG34" s="111" t="n"/>
      <c r="NH34" s="111" t="n"/>
      <c r="NI34" s="111" t="n"/>
      <c r="NJ34" s="111" t="n"/>
      <c r="NK34" s="111" t="n"/>
      <c r="NL34" s="111" t="n"/>
      <c r="NM34" s="111" t="n"/>
      <c r="NN34" s="111" t="n"/>
      <c r="NO34" s="111" t="n"/>
      <c r="NP34" s="111" t="n"/>
      <c r="NQ34" s="111" t="n"/>
      <c r="NR34" s="111" t="n"/>
      <c r="NS34" s="111" t="n"/>
      <c r="NT34" s="111" t="n"/>
      <c r="NU34" s="111" t="n"/>
      <c r="NV34" s="111" t="n"/>
      <c r="NW34" s="111" t="n"/>
      <c r="NX34" s="111" t="n"/>
      <c r="NY34" s="111" t="n"/>
      <c r="NZ34" s="111" t="n"/>
      <c r="OA34" s="111" t="n"/>
      <c r="OB34" s="111" t="n"/>
      <c r="OC34" s="111" t="n"/>
      <c r="OD34" s="111" t="n"/>
      <c r="OE34" s="111" t="n"/>
      <c r="OF34" s="111" t="n"/>
      <c r="OG34" s="111" t="n"/>
      <c r="OH34" s="111" t="n"/>
      <c r="OI34" s="111" t="n"/>
      <c r="OJ34" s="111" t="n"/>
      <c r="OK34" s="111" t="n"/>
      <c r="OL34" s="111" t="n"/>
      <c r="OM34" s="111" t="n"/>
      <c r="ON34" s="111" t="n"/>
      <c r="OO34" s="111" t="n"/>
      <c r="OP34" s="111" t="n"/>
      <c r="OQ34" s="111" t="n"/>
      <c r="OR34" s="111" t="n"/>
      <c r="OS34" s="111" t="n"/>
      <c r="OT34" s="111" t="n"/>
      <c r="OU34" s="111" t="n"/>
      <c r="OV34" s="111" t="n"/>
      <c r="OW34" s="111" t="n"/>
      <c r="OX34" s="111" t="n"/>
      <c r="OY34" s="111" t="n"/>
      <c r="OZ34" s="111" t="n"/>
      <c r="PA34" s="111" t="n"/>
      <c r="PB34" s="111" t="n"/>
      <c r="PC34" s="111" t="n"/>
      <c r="PD34" s="111" t="n"/>
      <c r="PE34" s="111" t="n"/>
      <c r="PF34" s="111" t="n"/>
      <c r="PG34" s="111" t="n"/>
      <c r="PH34" s="111" t="n"/>
      <c r="PI34" s="111" t="n"/>
      <c r="PJ34" s="111" t="n"/>
      <c r="PK34" s="111" t="n"/>
      <c r="PL34" s="111" t="n"/>
      <c r="PM34" s="111" t="n"/>
      <c r="PN34" s="111" t="n"/>
      <c r="PO34" s="111" t="n"/>
      <c r="PP34" s="111" t="n"/>
      <c r="PQ34" s="111" t="n"/>
      <c r="PR34" s="111" t="n"/>
      <c r="PS34" s="111" t="n"/>
      <c r="PT34" s="111" t="n"/>
      <c r="PU34" s="111" t="n"/>
      <c r="PV34" s="111" t="n"/>
      <c r="PW34" s="111" t="n"/>
      <c r="PX34" s="111" t="n"/>
      <c r="PY34" s="111" t="n"/>
      <c r="PZ34" s="111" t="n"/>
      <c r="QA34" s="111" t="n"/>
      <c r="QB34" s="111" t="n"/>
      <c r="QC34" s="111" t="n"/>
      <c r="QD34" s="111" t="n"/>
      <c r="QE34" s="111" t="n"/>
      <c r="QF34" s="111" t="n"/>
      <c r="QG34" s="111" t="n"/>
      <c r="QH34" s="111" t="n"/>
      <c r="QI34" s="111" t="n"/>
      <c r="QJ34" s="111" t="n"/>
      <c r="QK34" s="111" t="n"/>
      <c r="QL34" s="111" t="n"/>
      <c r="QM34" s="111" t="n"/>
      <c r="QN34" s="111" t="n"/>
      <c r="QO34" s="111" t="n"/>
      <c r="QP34" s="111" t="n"/>
      <c r="QQ34" s="111" t="n"/>
      <c r="QR34" s="111" t="n"/>
      <c r="QS34" s="111" t="n"/>
      <c r="QT34" s="111" t="n"/>
      <c r="QU34" s="111" t="n"/>
      <c r="QV34" s="111" t="n"/>
      <c r="QW34" s="111" t="n"/>
      <c r="QX34" s="111" t="n"/>
      <c r="QY34" s="111" t="n"/>
      <c r="QZ34" s="111" t="n"/>
      <c r="RA34" s="111" t="n"/>
      <c r="RB34" s="111" t="n"/>
      <c r="RC34" s="111" t="n"/>
      <c r="RD34" s="111" t="n"/>
      <c r="RE34" s="111" t="n"/>
      <c r="RF34" s="111" t="n"/>
      <c r="RG34" s="111" t="n"/>
      <c r="RH34" s="111" t="n"/>
      <c r="RI34" s="111" t="n"/>
      <c r="RJ34" s="111" t="n"/>
      <c r="RK34" s="111" t="n"/>
      <c r="RL34" s="111" t="n"/>
      <c r="RM34" s="111" t="n"/>
      <c r="RN34" s="111" t="n"/>
      <c r="RO34" s="111" t="n"/>
      <c r="RP34" s="111" t="n"/>
      <c r="RQ34" s="111" t="n"/>
      <c r="RR34" s="111" t="n"/>
      <c r="RS34" s="111" t="n"/>
      <c r="RT34" s="111" t="n"/>
      <c r="RU34" s="111" t="n"/>
      <c r="RV34" s="111" t="n"/>
      <c r="RW34" s="111" t="n"/>
      <c r="RX34" s="111" t="n"/>
      <c r="RY34" s="111" t="n"/>
      <c r="RZ34" s="111" t="n"/>
      <c r="SA34" s="111" t="n"/>
      <c r="SB34" s="111" t="n"/>
      <c r="SC34" s="111" t="n"/>
      <c r="SD34" s="111" t="n"/>
      <c r="SE34" s="111" t="n"/>
      <c r="SF34" s="111" t="n"/>
      <c r="SG34" s="111" t="n"/>
      <c r="SH34" s="111" t="n"/>
      <c r="SI34" s="111" t="n"/>
      <c r="SJ34" s="111" t="n"/>
      <c r="SK34" s="111" t="n"/>
    </row>
    <row r="35" ht="15" customFormat="1" customHeight="1" s="137">
      <c r="A35" s="177" t="n">
        <v>22</v>
      </c>
      <c r="B35" s="154" t="inlineStr">
        <is>
          <t xml:space="preserve">Sprinkler Rough In &amp; Trim out </t>
        </is>
      </c>
      <c r="C35" s="144" t="n"/>
      <c r="D35" s="177" t="n"/>
      <c r="E35" s="177" t="n"/>
      <c r="F35" s="177" t="n"/>
      <c r="G35" s="263" t="n">
        <v>44826</v>
      </c>
      <c r="H35" s="262">
        <f>WORKDAY(G35,I35-1,holidays)</f>
        <v/>
      </c>
      <c r="I35" s="149" t="n">
        <v>1</v>
      </c>
      <c r="J35" s="150" t="n">
        <v>0</v>
      </c>
      <c r="K35" s="151">
        <f>IF(OR(G35=0,H35=0),0,H35-G35+1)</f>
        <v/>
      </c>
      <c r="L35" s="152">
        <f>MIN(K35,WORKDAY(G35,ROUNDDOWN(J35*I35,0),holidays)-G35)</f>
        <v/>
      </c>
      <c r="M35" s="151">
        <f>K35-L35</f>
        <v/>
      </c>
      <c r="N35" s="180" t="n"/>
      <c r="P35" s="111" t="n"/>
      <c r="Q35" s="111"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111" t="n"/>
      <c r="GJ35" s="111" t="n"/>
      <c r="GK35" s="111" t="n"/>
      <c r="GL35" s="111" t="n"/>
      <c r="GM35" s="111" t="n"/>
      <c r="GN35" s="111" t="n"/>
      <c r="GO35" s="111" t="n"/>
      <c r="GP35" s="111" t="n"/>
      <c r="GQ35" s="111" t="n"/>
      <c r="GR35" s="111" t="n"/>
      <c r="GS35" s="111" t="n"/>
      <c r="GT35" s="111" t="n"/>
      <c r="GU35" s="111" t="n"/>
      <c r="GV35" s="111" t="n"/>
      <c r="GW35" s="111" t="n"/>
      <c r="GX35" s="111" t="n"/>
      <c r="GY35" s="111" t="n"/>
      <c r="GZ35" s="111" t="n"/>
      <c r="HA35" s="111" t="n"/>
      <c r="HB35" s="111" t="n"/>
      <c r="HC35" s="111" t="n"/>
      <c r="HD35" s="111" t="n"/>
      <c r="HE35" s="111" t="n"/>
      <c r="HF35" s="111" t="n"/>
      <c r="HG35" s="111" t="n"/>
      <c r="HH35" s="111" t="n"/>
      <c r="HI35" s="111" t="n"/>
      <c r="HJ35" s="111" t="n"/>
      <c r="HK35" s="111" t="n"/>
      <c r="HL35" s="111" t="n"/>
      <c r="HM35" s="111" t="n"/>
      <c r="HN35" s="111" t="n"/>
      <c r="HO35" s="111" t="n"/>
      <c r="HP35" s="111" t="n"/>
      <c r="HQ35" s="111" t="n"/>
      <c r="HR35" s="111" t="n"/>
      <c r="HS35" s="111" t="n"/>
      <c r="HT35" s="111" t="n"/>
      <c r="HU35" s="111" t="n"/>
      <c r="HV35" s="111" t="n"/>
      <c r="HW35" s="111" t="n"/>
      <c r="HX35" s="111" t="n"/>
      <c r="HY35" s="111" t="n"/>
      <c r="HZ35" s="111" t="n"/>
      <c r="IA35" s="111" t="n"/>
      <c r="IB35" s="111" t="n"/>
      <c r="IC35" s="111" t="n"/>
      <c r="ID35" s="111" t="n"/>
      <c r="IE35" s="111" t="n"/>
      <c r="IF35" s="111" t="n"/>
      <c r="IG35" s="111" t="n"/>
      <c r="IH35" s="111" t="n"/>
      <c r="II35" s="111" t="n"/>
      <c r="IJ35" s="111" t="n"/>
      <c r="IK35" s="111" t="n"/>
      <c r="IL35" s="111" t="n"/>
      <c r="IM35" s="111" t="n"/>
      <c r="IN35" s="111" t="n"/>
      <c r="IO35" s="111" t="n"/>
      <c r="IP35" s="111" t="n"/>
      <c r="IQ35" s="111" t="n"/>
      <c r="IR35" s="111" t="n"/>
      <c r="IS35" s="111" t="n"/>
      <c r="IT35" s="111" t="n"/>
      <c r="IU35" s="111" t="n"/>
      <c r="IV35" s="111" t="n"/>
      <c r="IW35" s="111" t="n"/>
      <c r="IX35" s="111" t="n"/>
      <c r="IY35" s="111" t="n"/>
      <c r="IZ35" s="111" t="n"/>
      <c r="JA35" s="111" t="n"/>
      <c r="JB35" s="111" t="n"/>
      <c r="JC35" s="111" t="n"/>
      <c r="JD35" s="111" t="n"/>
      <c r="JE35" s="111" t="n"/>
      <c r="JF35" s="111" t="n"/>
      <c r="JG35" s="111" t="n"/>
      <c r="JH35" s="111" t="n"/>
      <c r="JI35" s="111" t="n"/>
      <c r="JJ35" s="111" t="n"/>
      <c r="JK35" s="111" t="n"/>
      <c r="JL35" s="111" t="n"/>
      <c r="JM35" s="111" t="n"/>
      <c r="JN35" s="111" t="n"/>
      <c r="JO35" s="111" t="n"/>
      <c r="JP35" s="111" t="n"/>
      <c r="JQ35" s="111" t="n"/>
      <c r="JR35" s="111" t="n"/>
      <c r="JS35" s="111" t="n"/>
      <c r="JT35" s="111" t="n"/>
      <c r="JU35" s="111" t="n"/>
      <c r="JV35" s="111" t="n"/>
      <c r="JW35" s="111" t="n"/>
      <c r="JX35" s="111" t="n"/>
      <c r="JY35" s="111" t="n"/>
      <c r="JZ35" s="111" t="n"/>
      <c r="KA35" s="111" t="n"/>
      <c r="KB35" s="111" t="n"/>
      <c r="KC35" s="111" t="n"/>
      <c r="KD35" s="111" t="n"/>
      <c r="KE35" s="111" t="n"/>
      <c r="KF35" s="111" t="n"/>
      <c r="KG35" s="111" t="n"/>
      <c r="KH35" s="111" t="n"/>
      <c r="KI35" s="111" t="n"/>
      <c r="KJ35" s="111" t="n"/>
      <c r="KK35" s="111" t="n"/>
      <c r="KL35" s="111" t="n"/>
      <c r="KM35" s="111" t="n"/>
      <c r="KN35" s="111" t="n"/>
      <c r="KO35" s="111" t="n"/>
      <c r="KP35" s="111" t="n"/>
      <c r="KQ35" s="111" t="n"/>
      <c r="KR35" s="111" t="n"/>
      <c r="KS35" s="111" t="n"/>
      <c r="KT35" s="111" t="n"/>
      <c r="KU35" s="111" t="n"/>
      <c r="KV35" s="111" t="n"/>
      <c r="KW35" s="111" t="n"/>
      <c r="KX35" s="111" t="n"/>
      <c r="KY35" s="111" t="n"/>
      <c r="KZ35" s="111" t="n"/>
      <c r="LA35" s="111" t="n"/>
      <c r="LB35" s="111" t="n"/>
      <c r="LC35" s="111" t="n"/>
      <c r="LD35" s="111" t="n"/>
      <c r="LE35" s="111" t="n"/>
      <c r="LF35" s="111" t="n"/>
      <c r="LG35" s="111" t="n"/>
      <c r="LH35" s="111" t="n"/>
      <c r="LI35" s="111" t="n"/>
      <c r="LJ35" s="111" t="n"/>
      <c r="LK35" s="111" t="n"/>
      <c r="LL35" s="111" t="n"/>
      <c r="LM35" s="111" t="n"/>
      <c r="LN35" s="111" t="n"/>
      <c r="LO35" s="111" t="n"/>
      <c r="LP35" s="111" t="n"/>
      <c r="LQ35" s="111" t="n"/>
      <c r="LR35" s="111" t="n"/>
      <c r="LS35" s="111" t="n"/>
      <c r="LT35" s="111" t="n"/>
      <c r="LU35" s="111" t="n"/>
      <c r="LV35" s="111" t="n"/>
      <c r="LW35" s="111" t="n"/>
      <c r="LX35" s="111" t="n"/>
      <c r="LY35" s="111" t="n"/>
      <c r="LZ35" s="111" t="n"/>
      <c r="MA35" s="111" t="n"/>
      <c r="MB35" s="111" t="n"/>
      <c r="MC35" s="111" t="n"/>
      <c r="MD35" s="111" t="n"/>
      <c r="ME35" s="111" t="n"/>
      <c r="MF35" s="111" t="n"/>
      <c r="MG35" s="111" t="n"/>
      <c r="MH35" s="111" t="n"/>
      <c r="MI35" s="111" t="n"/>
      <c r="MJ35" s="111" t="n"/>
      <c r="MK35" s="111" t="n"/>
      <c r="ML35" s="111" t="n"/>
      <c r="MM35" s="111" t="n"/>
      <c r="MN35" s="111" t="n"/>
      <c r="MO35" s="111" t="n"/>
      <c r="MP35" s="111" t="n"/>
      <c r="MQ35" s="111" t="n"/>
      <c r="MR35" s="111" t="n"/>
      <c r="MS35" s="111" t="n"/>
      <c r="MT35" s="111" t="n"/>
      <c r="MU35" s="111" t="n"/>
      <c r="MV35" s="111" t="n"/>
      <c r="MW35" s="111" t="n"/>
      <c r="MX35" s="111" t="n"/>
      <c r="MY35" s="111" t="n"/>
      <c r="MZ35" s="111" t="n"/>
      <c r="NA35" s="111" t="n"/>
      <c r="NB35" s="111" t="n"/>
      <c r="NC35" s="111" t="n"/>
      <c r="ND35" s="111" t="n"/>
      <c r="NE35" s="111" t="n"/>
      <c r="NF35" s="111" t="n"/>
      <c r="NG35" s="111" t="n"/>
      <c r="NH35" s="111" t="n"/>
      <c r="NI35" s="111" t="n"/>
      <c r="NJ35" s="111" t="n"/>
      <c r="NK35" s="111" t="n"/>
      <c r="NL35" s="111" t="n"/>
      <c r="NM35" s="111" t="n"/>
      <c r="NN35" s="111" t="n"/>
      <c r="NO35" s="111" t="n"/>
      <c r="NP35" s="111" t="n"/>
      <c r="NQ35" s="111" t="n"/>
      <c r="NR35" s="111" t="n"/>
      <c r="NS35" s="111" t="n"/>
      <c r="NT35" s="111" t="n"/>
      <c r="NU35" s="111" t="n"/>
      <c r="NV35" s="111" t="n"/>
      <c r="NW35" s="111" t="n"/>
      <c r="NX35" s="111" t="n"/>
      <c r="NY35" s="111" t="n"/>
      <c r="NZ35" s="111" t="n"/>
      <c r="OA35" s="111" t="n"/>
      <c r="OB35" s="111" t="n"/>
      <c r="OC35" s="111" t="n"/>
      <c r="OD35" s="111" t="n"/>
      <c r="OE35" s="111" t="n"/>
      <c r="OF35" s="111" t="n"/>
      <c r="OG35" s="111" t="n"/>
      <c r="OH35" s="111" t="n"/>
      <c r="OI35" s="111" t="n"/>
      <c r="OJ35" s="111" t="n"/>
      <c r="OK35" s="111" t="n"/>
      <c r="OL35" s="111" t="n"/>
      <c r="OM35" s="111" t="n"/>
      <c r="ON35" s="111" t="n"/>
      <c r="OO35" s="111" t="n"/>
      <c r="OP35" s="111" t="n"/>
      <c r="OQ35" s="111" t="n"/>
      <c r="OR35" s="111" t="n"/>
      <c r="OS35" s="111" t="n"/>
      <c r="OT35" s="111" t="n"/>
      <c r="OU35" s="111" t="n"/>
      <c r="OV35" s="111" t="n"/>
      <c r="OW35" s="111" t="n"/>
      <c r="OX35" s="111" t="n"/>
      <c r="OY35" s="111" t="n"/>
      <c r="OZ35" s="111" t="n"/>
      <c r="PA35" s="111" t="n"/>
      <c r="PB35" s="111" t="n"/>
      <c r="PC35" s="111" t="n"/>
      <c r="PD35" s="111" t="n"/>
      <c r="PE35" s="111" t="n"/>
      <c r="PF35" s="111" t="n"/>
      <c r="PG35" s="111" t="n"/>
      <c r="PH35" s="111" t="n"/>
      <c r="PI35" s="111" t="n"/>
      <c r="PJ35" s="111" t="n"/>
      <c r="PK35" s="111" t="n"/>
      <c r="PL35" s="111" t="n"/>
      <c r="PM35" s="111" t="n"/>
      <c r="PN35" s="111" t="n"/>
      <c r="PO35" s="111" t="n"/>
      <c r="PP35" s="111" t="n"/>
      <c r="PQ35" s="111" t="n"/>
      <c r="PR35" s="111" t="n"/>
      <c r="PS35" s="111" t="n"/>
      <c r="PT35" s="111" t="n"/>
      <c r="PU35" s="111" t="n"/>
      <c r="PV35" s="111" t="n"/>
      <c r="PW35" s="111" t="n"/>
      <c r="PX35" s="111" t="n"/>
      <c r="PY35" s="111" t="n"/>
      <c r="PZ35" s="111" t="n"/>
      <c r="QA35" s="111" t="n"/>
      <c r="QB35" s="111" t="n"/>
      <c r="QC35" s="111" t="n"/>
      <c r="QD35" s="111" t="n"/>
      <c r="QE35" s="111" t="n"/>
      <c r="QF35" s="111" t="n"/>
      <c r="QG35" s="111" t="n"/>
      <c r="QH35" s="111" t="n"/>
      <c r="QI35" s="111" t="n"/>
      <c r="QJ35" s="111" t="n"/>
      <c r="QK35" s="111" t="n"/>
      <c r="QL35" s="111" t="n"/>
      <c r="QM35" s="111" t="n"/>
      <c r="QN35" s="111" t="n"/>
      <c r="QO35" s="111" t="n"/>
      <c r="QP35" s="111" t="n"/>
      <c r="QQ35" s="111" t="n"/>
      <c r="QR35" s="111" t="n"/>
      <c r="QS35" s="111" t="n"/>
      <c r="QT35" s="111" t="n"/>
      <c r="QU35" s="111" t="n"/>
      <c r="QV35" s="111" t="n"/>
      <c r="QW35" s="111" t="n"/>
      <c r="QX35" s="111" t="n"/>
      <c r="QY35" s="111" t="n"/>
      <c r="QZ35" s="111" t="n"/>
      <c r="RA35" s="111" t="n"/>
      <c r="RB35" s="111" t="n"/>
      <c r="RC35" s="111" t="n"/>
      <c r="RD35" s="111" t="n"/>
      <c r="RE35" s="111" t="n"/>
      <c r="RF35" s="111" t="n"/>
      <c r="RG35" s="111" t="n"/>
      <c r="RH35" s="111" t="n"/>
      <c r="RI35" s="111" t="n"/>
      <c r="RJ35" s="111" t="n"/>
      <c r="RK35" s="111" t="n"/>
      <c r="RL35" s="111" t="n"/>
      <c r="RM35" s="111" t="n"/>
      <c r="RN35" s="111" t="n"/>
      <c r="RO35" s="111" t="n"/>
      <c r="RP35" s="111" t="n"/>
      <c r="RQ35" s="111" t="n"/>
      <c r="RR35" s="111" t="n"/>
      <c r="RS35" s="111" t="n"/>
      <c r="RT35" s="111" t="n"/>
      <c r="RU35" s="111" t="n"/>
      <c r="RV35" s="111" t="n"/>
      <c r="RW35" s="111" t="n"/>
      <c r="RX35" s="111" t="n"/>
      <c r="RY35" s="111" t="n"/>
      <c r="RZ35" s="111" t="n"/>
      <c r="SA35" s="111" t="n"/>
      <c r="SB35" s="111" t="n"/>
      <c r="SC35" s="111" t="n"/>
      <c r="SD35" s="111" t="n"/>
      <c r="SE35" s="111" t="n"/>
      <c r="SF35" s="111" t="n"/>
      <c r="SG35" s="111" t="n"/>
      <c r="SH35" s="111" t="n"/>
      <c r="SI35" s="111" t="n"/>
      <c r="SJ35" s="111" t="n"/>
      <c r="SK35" s="111" t="n"/>
    </row>
    <row r="36" ht="15" customFormat="1" customHeight="1" s="137">
      <c r="A36" s="177" t="n">
        <v>21</v>
      </c>
      <c r="B36" s="154" t="inlineStr">
        <is>
          <t xml:space="preserve">Conveyor Install </t>
        </is>
      </c>
      <c r="C36" s="144" t="n"/>
      <c r="D36" s="177" t="n"/>
      <c r="E36" s="177" t="n"/>
      <c r="F36" s="177" t="n"/>
      <c r="G36" s="263" t="n">
        <v>44827</v>
      </c>
      <c r="H36" s="262">
        <f>WORKDAY(G36,I36-1,holidays)</f>
        <v/>
      </c>
      <c r="I36" s="149" t="n">
        <v>2</v>
      </c>
      <c r="J36" s="150" t="n">
        <v>0</v>
      </c>
      <c r="K36" s="151">
        <f>IF(OR(G36=0,H36=0),0,H36-G36+1)</f>
        <v/>
      </c>
      <c r="L36" s="152">
        <f>MIN(K36,WORKDAY(G36,ROUNDDOWN(J36*I36,0),holidays)-G36)</f>
        <v/>
      </c>
      <c r="M36" s="151">
        <f>K36-L36</f>
        <v/>
      </c>
      <c r="N36" s="180" t="n"/>
      <c r="P36" s="111" t="n"/>
      <c r="Q36" s="111" t="n"/>
      <c r="R36" s="111" t="n"/>
      <c r="S36" s="111" t="n"/>
      <c r="T36" s="111" t="n"/>
      <c r="U36" s="111" t="n"/>
      <c r="V36" s="111" t="n"/>
      <c r="W36" s="111"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1" t="n"/>
      <c r="CF36" s="111"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1" t="n"/>
      <c r="DS36" s="111" t="n"/>
      <c r="DT36" s="111" t="n"/>
      <c r="DU36" s="111" t="n"/>
      <c r="DV36" s="111" t="n"/>
      <c r="DW36" s="111" t="n"/>
      <c r="DX36" s="111" t="n"/>
      <c r="DY36" s="111" t="n"/>
      <c r="DZ36" s="111" t="n"/>
      <c r="EA36" s="111" t="n"/>
      <c r="EB36" s="111" t="n"/>
      <c r="EC36" s="111" t="n"/>
      <c r="ED36" s="111" t="n"/>
      <c r="EE36" s="111" t="n"/>
      <c r="EF36" s="111" t="n"/>
      <c r="EG36" s="111" t="n"/>
      <c r="EH36" s="111" t="n"/>
      <c r="EI36" s="111" t="n"/>
      <c r="EJ36" s="111" t="n"/>
      <c r="EK36" s="111" t="n"/>
      <c r="EL36" s="111" t="n"/>
      <c r="EM36" s="111" t="n"/>
      <c r="EN36" s="111" t="n"/>
      <c r="EO36" s="111" t="n"/>
      <c r="EP36" s="111" t="n"/>
      <c r="EQ36" s="111" t="n"/>
      <c r="ER36" s="111" t="n"/>
      <c r="ES36" s="111" t="n"/>
      <c r="ET36" s="111" t="n"/>
      <c r="EU36" s="111" t="n"/>
      <c r="EV36" s="111" t="n"/>
      <c r="EW36" s="111" t="n"/>
      <c r="EX36" s="111" t="n"/>
      <c r="EY36" s="111" t="n"/>
      <c r="EZ36" s="111" t="n"/>
      <c r="FA36" s="111" t="n"/>
      <c r="FB36" s="111"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1" t="n"/>
      <c r="GH36" s="111" t="n"/>
      <c r="GI36" s="111" t="n"/>
      <c r="GJ36" s="111" t="n"/>
      <c r="GK36" s="111" t="n"/>
      <c r="GL36" s="111" t="n"/>
      <c r="GM36" s="111" t="n"/>
      <c r="GN36" s="111" t="n"/>
      <c r="GO36" s="111" t="n"/>
      <c r="GP36" s="111" t="n"/>
      <c r="GQ36" s="111" t="n"/>
      <c r="GR36" s="111" t="n"/>
      <c r="GS36" s="111" t="n"/>
      <c r="GT36" s="111" t="n"/>
      <c r="GU36" s="111" t="n"/>
      <c r="GV36" s="111" t="n"/>
      <c r="GW36" s="111" t="n"/>
      <c r="GX36" s="111" t="n"/>
      <c r="GY36" s="111" t="n"/>
      <c r="GZ36" s="111" t="n"/>
      <c r="HA36" s="111" t="n"/>
      <c r="HB36" s="111" t="n"/>
      <c r="HC36" s="111" t="n"/>
      <c r="HD36" s="111" t="n"/>
      <c r="HE36" s="111" t="n"/>
      <c r="HF36" s="111" t="n"/>
      <c r="HG36" s="111" t="n"/>
      <c r="HH36" s="111" t="n"/>
      <c r="HI36" s="111" t="n"/>
      <c r="HJ36" s="111" t="n"/>
      <c r="HK36" s="111" t="n"/>
      <c r="HL36" s="111" t="n"/>
      <c r="HM36" s="111" t="n"/>
      <c r="HN36" s="111" t="n"/>
      <c r="HO36" s="111" t="n"/>
      <c r="HP36" s="111" t="n"/>
      <c r="HQ36" s="111" t="n"/>
      <c r="HR36" s="111" t="n"/>
      <c r="HS36" s="111" t="n"/>
      <c r="HT36" s="111" t="n"/>
      <c r="HU36" s="111" t="n"/>
      <c r="HV36" s="111" t="n"/>
      <c r="HW36" s="111" t="n"/>
      <c r="HX36" s="111" t="n"/>
      <c r="HY36" s="111" t="n"/>
      <c r="HZ36" s="111" t="n"/>
      <c r="IA36" s="111" t="n"/>
      <c r="IB36" s="111" t="n"/>
      <c r="IC36" s="111" t="n"/>
      <c r="ID36" s="111" t="n"/>
      <c r="IE36" s="111" t="n"/>
      <c r="IF36" s="111" t="n"/>
      <c r="IG36" s="111" t="n"/>
      <c r="IH36" s="111" t="n"/>
      <c r="II36" s="111" t="n"/>
      <c r="IJ36" s="111" t="n"/>
      <c r="IK36" s="111" t="n"/>
      <c r="IL36" s="111" t="n"/>
      <c r="IM36" s="111" t="n"/>
      <c r="IN36" s="111" t="n"/>
      <c r="IO36" s="111" t="n"/>
      <c r="IP36" s="111" t="n"/>
      <c r="IQ36" s="111" t="n"/>
      <c r="IR36" s="111" t="n"/>
      <c r="IS36" s="111" t="n"/>
      <c r="IT36" s="111" t="n"/>
      <c r="IU36" s="111" t="n"/>
      <c r="IV36" s="111" t="n"/>
      <c r="IW36" s="111" t="n"/>
      <c r="IX36" s="111" t="n"/>
      <c r="IY36" s="111" t="n"/>
      <c r="IZ36" s="111" t="n"/>
      <c r="JA36" s="111" t="n"/>
      <c r="JB36" s="111" t="n"/>
      <c r="JC36" s="111" t="n"/>
      <c r="JD36" s="111" t="n"/>
      <c r="JE36" s="111" t="n"/>
      <c r="JF36" s="111" t="n"/>
      <c r="JG36" s="111" t="n"/>
      <c r="JH36" s="111" t="n"/>
      <c r="JI36" s="111" t="n"/>
      <c r="JJ36" s="111" t="n"/>
      <c r="JK36" s="111" t="n"/>
      <c r="JL36" s="111" t="n"/>
      <c r="JM36" s="111" t="n"/>
      <c r="JN36" s="111" t="n"/>
      <c r="JO36" s="111" t="n"/>
      <c r="JP36" s="111" t="n"/>
      <c r="JQ36" s="111" t="n"/>
      <c r="JR36" s="111" t="n"/>
      <c r="JS36" s="111" t="n"/>
      <c r="JT36" s="111" t="n"/>
      <c r="JU36" s="111" t="n"/>
      <c r="JV36" s="111" t="n"/>
      <c r="JW36" s="111" t="n"/>
      <c r="JX36" s="111" t="n"/>
      <c r="JY36" s="111" t="n"/>
      <c r="JZ36" s="111" t="n"/>
      <c r="KA36" s="111" t="n"/>
      <c r="KB36" s="111" t="n"/>
      <c r="KC36" s="111" t="n"/>
      <c r="KD36" s="111" t="n"/>
      <c r="KE36" s="111" t="n"/>
      <c r="KF36" s="111" t="n"/>
      <c r="KG36" s="111" t="n"/>
      <c r="KH36" s="111" t="n"/>
      <c r="KI36" s="111" t="n"/>
      <c r="KJ36" s="111" t="n"/>
      <c r="KK36" s="111" t="n"/>
      <c r="KL36" s="111" t="n"/>
      <c r="KM36" s="111" t="n"/>
      <c r="KN36" s="111" t="n"/>
      <c r="KO36" s="111" t="n"/>
      <c r="KP36" s="111" t="n"/>
      <c r="KQ36" s="111" t="n"/>
      <c r="KR36" s="111" t="n"/>
      <c r="KS36" s="111" t="n"/>
      <c r="KT36" s="111" t="n"/>
      <c r="KU36" s="111" t="n"/>
      <c r="KV36" s="111" t="n"/>
      <c r="KW36" s="111" t="n"/>
      <c r="KX36" s="111" t="n"/>
      <c r="KY36" s="111" t="n"/>
      <c r="KZ36" s="111" t="n"/>
      <c r="LA36" s="111" t="n"/>
      <c r="LB36" s="111" t="n"/>
      <c r="LC36" s="111" t="n"/>
      <c r="LD36" s="111" t="n"/>
      <c r="LE36" s="111" t="n"/>
      <c r="LF36" s="111" t="n"/>
      <c r="LG36" s="111" t="n"/>
      <c r="LH36" s="111" t="n"/>
      <c r="LI36" s="111" t="n"/>
      <c r="LJ36" s="111" t="n"/>
      <c r="LK36" s="111" t="n"/>
      <c r="LL36" s="111" t="n"/>
      <c r="LM36" s="111" t="n"/>
      <c r="LN36" s="111" t="n"/>
      <c r="LO36" s="111" t="n"/>
      <c r="LP36" s="111" t="n"/>
      <c r="LQ36" s="111" t="n"/>
      <c r="LR36" s="111" t="n"/>
      <c r="LS36" s="111" t="n"/>
      <c r="LT36" s="111" t="n"/>
      <c r="LU36" s="111" t="n"/>
      <c r="LV36" s="111" t="n"/>
      <c r="LW36" s="111" t="n"/>
      <c r="LX36" s="111" t="n"/>
      <c r="LY36" s="111" t="n"/>
      <c r="LZ36" s="111" t="n"/>
      <c r="MA36" s="111" t="n"/>
      <c r="MB36" s="111" t="n"/>
      <c r="MC36" s="111" t="n"/>
      <c r="MD36" s="111" t="n"/>
      <c r="ME36" s="111" t="n"/>
      <c r="MF36" s="111" t="n"/>
      <c r="MG36" s="111" t="n"/>
      <c r="MH36" s="111" t="n"/>
      <c r="MI36" s="111" t="n"/>
      <c r="MJ36" s="111" t="n"/>
      <c r="MK36" s="111" t="n"/>
      <c r="ML36" s="111" t="n"/>
      <c r="MM36" s="111" t="n"/>
      <c r="MN36" s="111" t="n"/>
      <c r="MO36" s="111" t="n"/>
      <c r="MP36" s="111" t="n"/>
      <c r="MQ36" s="111" t="n"/>
      <c r="MR36" s="111" t="n"/>
      <c r="MS36" s="111" t="n"/>
      <c r="MT36" s="111" t="n"/>
      <c r="MU36" s="111" t="n"/>
      <c r="MV36" s="111" t="n"/>
      <c r="MW36" s="111" t="n"/>
      <c r="MX36" s="111" t="n"/>
      <c r="MY36" s="111" t="n"/>
      <c r="MZ36" s="111" t="n"/>
      <c r="NA36" s="111" t="n"/>
      <c r="NB36" s="111" t="n"/>
      <c r="NC36" s="111" t="n"/>
      <c r="ND36" s="111" t="n"/>
      <c r="NE36" s="111" t="n"/>
      <c r="NF36" s="111" t="n"/>
      <c r="NG36" s="111" t="n"/>
      <c r="NH36" s="111" t="n"/>
      <c r="NI36" s="111" t="n"/>
      <c r="NJ36" s="111" t="n"/>
      <c r="NK36" s="111" t="n"/>
      <c r="NL36" s="111" t="n"/>
      <c r="NM36" s="111" t="n"/>
      <c r="NN36" s="111" t="n"/>
      <c r="NO36" s="111" t="n"/>
      <c r="NP36" s="111" t="n"/>
      <c r="NQ36" s="111" t="n"/>
      <c r="NR36" s="111" t="n"/>
      <c r="NS36" s="111" t="n"/>
      <c r="NT36" s="111" t="n"/>
      <c r="NU36" s="111" t="n"/>
      <c r="NV36" s="111" t="n"/>
      <c r="NW36" s="111" t="n"/>
      <c r="NX36" s="111" t="n"/>
      <c r="NY36" s="111" t="n"/>
      <c r="NZ36" s="111" t="n"/>
      <c r="OA36" s="111" t="n"/>
      <c r="OB36" s="111" t="n"/>
      <c r="OC36" s="111" t="n"/>
      <c r="OD36" s="111" t="n"/>
      <c r="OE36" s="111" t="n"/>
      <c r="OF36" s="111" t="n"/>
      <c r="OG36" s="111" t="n"/>
      <c r="OH36" s="111" t="n"/>
      <c r="OI36" s="111" t="n"/>
      <c r="OJ36" s="111" t="n"/>
      <c r="OK36" s="111" t="n"/>
      <c r="OL36" s="111" t="n"/>
      <c r="OM36" s="111" t="n"/>
      <c r="ON36" s="111" t="n"/>
      <c r="OO36" s="111" t="n"/>
      <c r="OP36" s="111" t="n"/>
      <c r="OQ36" s="111" t="n"/>
      <c r="OR36" s="111" t="n"/>
      <c r="OS36" s="111" t="n"/>
      <c r="OT36" s="111" t="n"/>
      <c r="OU36" s="111" t="n"/>
      <c r="OV36" s="111" t="n"/>
      <c r="OW36" s="111" t="n"/>
      <c r="OX36" s="111" t="n"/>
      <c r="OY36" s="111" t="n"/>
      <c r="OZ36" s="111" t="n"/>
      <c r="PA36" s="111" t="n"/>
      <c r="PB36" s="111" t="n"/>
      <c r="PC36" s="111" t="n"/>
      <c r="PD36" s="111" t="n"/>
      <c r="PE36" s="111" t="n"/>
      <c r="PF36" s="111" t="n"/>
      <c r="PG36" s="111" t="n"/>
      <c r="PH36" s="111" t="n"/>
      <c r="PI36" s="111" t="n"/>
      <c r="PJ36" s="111" t="n"/>
      <c r="PK36" s="111" t="n"/>
      <c r="PL36" s="111" t="n"/>
      <c r="PM36" s="111" t="n"/>
      <c r="PN36" s="111" t="n"/>
      <c r="PO36" s="111" t="n"/>
      <c r="PP36" s="111" t="n"/>
      <c r="PQ36" s="111" t="n"/>
      <c r="PR36" s="111" t="n"/>
      <c r="PS36" s="111" t="n"/>
      <c r="PT36" s="111" t="n"/>
      <c r="PU36" s="111" t="n"/>
      <c r="PV36" s="111" t="n"/>
      <c r="PW36" s="111" t="n"/>
      <c r="PX36" s="111" t="n"/>
      <c r="PY36" s="111" t="n"/>
      <c r="PZ36" s="111" t="n"/>
      <c r="QA36" s="111" t="n"/>
      <c r="QB36" s="111" t="n"/>
      <c r="QC36" s="111" t="n"/>
      <c r="QD36" s="111" t="n"/>
      <c r="QE36" s="111" t="n"/>
      <c r="QF36" s="111" t="n"/>
      <c r="QG36" s="111" t="n"/>
      <c r="QH36" s="111" t="n"/>
      <c r="QI36" s="111" t="n"/>
      <c r="QJ36" s="111" t="n"/>
      <c r="QK36" s="111" t="n"/>
      <c r="QL36" s="111" t="n"/>
      <c r="QM36" s="111" t="n"/>
      <c r="QN36" s="111" t="n"/>
      <c r="QO36" s="111" t="n"/>
      <c r="QP36" s="111" t="n"/>
      <c r="QQ36" s="111" t="n"/>
      <c r="QR36" s="111" t="n"/>
      <c r="QS36" s="111" t="n"/>
      <c r="QT36" s="111" t="n"/>
      <c r="QU36" s="111" t="n"/>
      <c r="QV36" s="111" t="n"/>
      <c r="QW36" s="111" t="n"/>
      <c r="QX36" s="111" t="n"/>
      <c r="QY36" s="111" t="n"/>
      <c r="QZ36" s="111" t="n"/>
      <c r="RA36" s="111" t="n"/>
      <c r="RB36" s="111" t="n"/>
      <c r="RC36" s="111" t="n"/>
      <c r="RD36" s="111" t="n"/>
      <c r="RE36" s="111" t="n"/>
      <c r="RF36" s="111" t="n"/>
      <c r="RG36" s="111" t="n"/>
      <c r="RH36" s="111" t="n"/>
      <c r="RI36" s="111" t="n"/>
      <c r="RJ36" s="111" t="n"/>
      <c r="RK36" s="111" t="n"/>
      <c r="RL36" s="111" t="n"/>
      <c r="RM36" s="111" t="n"/>
      <c r="RN36" s="111" t="n"/>
      <c r="RO36" s="111" t="n"/>
      <c r="RP36" s="111" t="n"/>
      <c r="RQ36" s="111" t="n"/>
      <c r="RR36" s="111" t="n"/>
      <c r="RS36" s="111" t="n"/>
      <c r="RT36" s="111" t="n"/>
      <c r="RU36" s="111" t="n"/>
      <c r="RV36" s="111" t="n"/>
      <c r="RW36" s="111" t="n"/>
      <c r="RX36" s="111" t="n"/>
      <c r="RY36" s="111" t="n"/>
      <c r="RZ36" s="111" t="n"/>
      <c r="SA36" s="111" t="n"/>
      <c r="SB36" s="111" t="n"/>
      <c r="SC36" s="111" t="n"/>
      <c r="SD36" s="111" t="n"/>
      <c r="SE36" s="111" t="n"/>
      <c r="SF36" s="111" t="n"/>
      <c r="SG36" s="111" t="n"/>
      <c r="SH36" s="111" t="n"/>
      <c r="SI36" s="111" t="n"/>
      <c r="SJ36" s="111" t="n"/>
      <c r="SK36" s="111" t="n"/>
    </row>
    <row r="37" ht="12.75" customFormat="1" customHeight="1" s="137">
      <c r="A37" s="177" t="n">
        <v>22</v>
      </c>
      <c r="B37" s="154" t="inlineStr">
        <is>
          <t>Final Inspection</t>
        </is>
      </c>
      <c r="C37" s="144" t="n"/>
      <c r="D37" s="177" t="n"/>
      <c r="E37" s="177" t="n"/>
      <c r="F37" s="177" t="n"/>
      <c r="G37" s="263" t="n">
        <v>44831</v>
      </c>
      <c r="H37" s="262">
        <f>WORKDAY(G37,I37-1,holidays)</f>
        <v/>
      </c>
      <c r="I37" s="149" t="n">
        <v>1</v>
      </c>
      <c r="J37" s="150" t="n">
        <v>0</v>
      </c>
      <c r="K37" s="151">
        <f>IF(OR(G37=0,H37=0),0,H37-G37+1)</f>
        <v/>
      </c>
      <c r="L37" s="152">
        <f>MIN(K37,WORKDAY(G37,ROUNDDOWN(J37*I37,0),holidays)-G37)</f>
        <v/>
      </c>
      <c r="M37" s="151">
        <f>K37-L37</f>
        <v/>
      </c>
      <c r="N37" s="180" t="n"/>
      <c r="P37" s="111" t="n"/>
      <c r="Q37" s="111"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GW37" s="111" t="n"/>
      <c r="GX37" s="111" t="n"/>
      <c r="GY37" s="111" t="n"/>
      <c r="GZ37" s="111" t="n"/>
      <c r="HA37" s="111" t="n"/>
      <c r="HB37" s="111" t="n"/>
      <c r="HC37" s="111" t="n"/>
      <c r="HD37" s="111" t="n"/>
      <c r="HE37" s="111" t="n"/>
      <c r="HF37" s="111" t="n"/>
      <c r="HG37" s="111" t="n"/>
      <c r="HH37" s="111" t="n"/>
      <c r="HI37" s="111" t="n"/>
      <c r="HJ37" s="111" t="n"/>
      <c r="HK37" s="111" t="n"/>
      <c r="HL37" s="111" t="n"/>
      <c r="HM37" s="111" t="n"/>
      <c r="HN37" s="111" t="n"/>
      <c r="HO37" s="111" t="n"/>
      <c r="HP37" s="111" t="n"/>
      <c r="HQ37" s="111" t="n"/>
      <c r="HR37" s="111" t="n"/>
      <c r="HS37" s="111" t="n"/>
      <c r="HT37" s="111" t="n"/>
      <c r="HU37" s="111" t="n"/>
      <c r="HV37" s="111" t="n"/>
      <c r="HW37" s="111" t="n"/>
      <c r="HX37" s="111" t="n"/>
      <c r="HY37" s="111" t="n"/>
      <c r="HZ37" s="111" t="n"/>
      <c r="IA37" s="111" t="n"/>
      <c r="IB37" s="111" t="n"/>
      <c r="IC37" s="111" t="n"/>
      <c r="ID37" s="111" t="n"/>
      <c r="IE37" s="111" t="n"/>
      <c r="IF37" s="111" t="n"/>
      <c r="IG37" s="111" t="n"/>
      <c r="IH37" s="111" t="n"/>
      <c r="II37" s="111" t="n"/>
      <c r="IJ37" s="111" t="n"/>
      <c r="IK37" s="111" t="n"/>
      <c r="IL37" s="111" t="n"/>
      <c r="IM37" s="111" t="n"/>
      <c r="IN37" s="111" t="n"/>
      <c r="IO37" s="111" t="n"/>
      <c r="IP37" s="111" t="n"/>
      <c r="IQ37" s="111" t="n"/>
      <c r="IR37" s="111" t="n"/>
      <c r="IS37" s="111" t="n"/>
      <c r="IT37" s="111" t="n"/>
      <c r="IU37" s="111" t="n"/>
      <c r="IV37" s="111" t="n"/>
      <c r="IW37" s="111" t="n"/>
      <c r="IX37" s="111" t="n"/>
      <c r="IY37" s="111" t="n"/>
      <c r="IZ37" s="111" t="n"/>
      <c r="JA37" s="111" t="n"/>
      <c r="JB37" s="111" t="n"/>
      <c r="JC37" s="111" t="n"/>
      <c r="JD37" s="111" t="n"/>
      <c r="JE37" s="111" t="n"/>
      <c r="JF37" s="111" t="n"/>
      <c r="JG37" s="111" t="n"/>
      <c r="JH37" s="111" t="n"/>
      <c r="JI37" s="111" t="n"/>
      <c r="JJ37" s="111" t="n"/>
      <c r="JK37" s="111" t="n"/>
      <c r="JL37" s="111" t="n"/>
      <c r="JM37" s="111" t="n"/>
      <c r="JN37" s="111" t="n"/>
      <c r="JO37" s="111" t="n"/>
      <c r="JP37" s="111" t="n"/>
      <c r="JQ37" s="111" t="n"/>
      <c r="JR37" s="111" t="n"/>
      <c r="JS37" s="111" t="n"/>
      <c r="JT37" s="111" t="n"/>
      <c r="JU37" s="111" t="n"/>
      <c r="JV37" s="111" t="n"/>
      <c r="JW37" s="111" t="n"/>
      <c r="JX37" s="111" t="n"/>
      <c r="JY37" s="111" t="n"/>
      <c r="JZ37" s="111" t="n"/>
      <c r="KA37" s="111" t="n"/>
      <c r="KB37" s="111" t="n"/>
      <c r="KC37" s="111" t="n"/>
      <c r="KD37" s="111" t="n"/>
      <c r="KE37" s="111" t="n"/>
      <c r="KF37" s="111" t="n"/>
      <c r="KG37" s="111" t="n"/>
      <c r="KH37" s="111" t="n"/>
      <c r="KI37" s="111" t="n"/>
      <c r="KJ37" s="111" t="n"/>
      <c r="KK37" s="111" t="n"/>
      <c r="KL37" s="111" t="n"/>
      <c r="KM37" s="111" t="n"/>
      <c r="KN37" s="111" t="n"/>
      <c r="KO37" s="111" t="n"/>
      <c r="KP37" s="111" t="n"/>
      <c r="KQ37" s="111" t="n"/>
      <c r="KR37" s="111" t="n"/>
      <c r="KS37" s="111" t="n"/>
      <c r="KT37" s="111" t="n"/>
      <c r="KU37" s="111" t="n"/>
      <c r="KV37" s="111" t="n"/>
      <c r="KW37" s="111" t="n"/>
      <c r="KX37" s="111" t="n"/>
      <c r="KY37" s="111" t="n"/>
      <c r="KZ37" s="111" t="n"/>
      <c r="LA37" s="111" t="n"/>
      <c r="LB37" s="111" t="n"/>
      <c r="LC37" s="111" t="n"/>
      <c r="LD37" s="111" t="n"/>
      <c r="LE37" s="111" t="n"/>
      <c r="LF37" s="111" t="n"/>
      <c r="LG37" s="111" t="n"/>
      <c r="LH37" s="111" t="n"/>
      <c r="LI37" s="111" t="n"/>
      <c r="LJ37" s="111" t="n"/>
      <c r="LK37" s="111" t="n"/>
      <c r="LL37" s="111" t="n"/>
      <c r="LM37" s="111" t="n"/>
      <c r="LN37" s="111" t="n"/>
      <c r="LO37" s="111" t="n"/>
      <c r="LP37" s="111" t="n"/>
      <c r="LQ37" s="111" t="n"/>
      <c r="LR37" s="111" t="n"/>
      <c r="LS37" s="111" t="n"/>
      <c r="LT37" s="111" t="n"/>
      <c r="LU37" s="111" t="n"/>
      <c r="LV37" s="111" t="n"/>
      <c r="LW37" s="111" t="n"/>
      <c r="LX37" s="111" t="n"/>
      <c r="LY37" s="111" t="n"/>
      <c r="LZ37" s="111" t="n"/>
      <c r="MA37" s="111" t="n"/>
      <c r="MB37" s="111" t="n"/>
      <c r="MC37" s="111" t="n"/>
      <c r="MD37" s="111" t="n"/>
      <c r="ME37" s="111" t="n"/>
      <c r="MF37" s="111" t="n"/>
      <c r="MG37" s="111" t="n"/>
      <c r="MH37" s="111" t="n"/>
      <c r="MI37" s="111" t="n"/>
      <c r="MJ37" s="111" t="n"/>
      <c r="MK37" s="111" t="n"/>
      <c r="ML37" s="111" t="n"/>
      <c r="MM37" s="111" t="n"/>
      <c r="MN37" s="111" t="n"/>
      <c r="MO37" s="111" t="n"/>
      <c r="MP37" s="111" t="n"/>
      <c r="MQ37" s="111" t="n"/>
      <c r="MR37" s="111" t="n"/>
      <c r="MS37" s="111" t="n"/>
      <c r="MT37" s="111" t="n"/>
      <c r="MU37" s="111" t="n"/>
      <c r="MV37" s="111" t="n"/>
      <c r="MW37" s="111" t="n"/>
      <c r="MX37" s="111" t="n"/>
      <c r="MY37" s="111" t="n"/>
      <c r="MZ37" s="111" t="n"/>
      <c r="NA37" s="111" t="n"/>
      <c r="NB37" s="111" t="n"/>
      <c r="NC37" s="111" t="n"/>
      <c r="ND37" s="111" t="n"/>
      <c r="NE37" s="111" t="n"/>
      <c r="NF37" s="111" t="n"/>
      <c r="NG37" s="111" t="n"/>
      <c r="NH37" s="111" t="n"/>
      <c r="NI37" s="111" t="n"/>
      <c r="NJ37" s="111" t="n"/>
      <c r="NK37" s="111" t="n"/>
      <c r="NL37" s="111" t="n"/>
      <c r="NM37" s="111" t="n"/>
      <c r="NN37" s="111" t="n"/>
      <c r="NO37" s="111" t="n"/>
      <c r="NP37" s="111" t="n"/>
      <c r="NQ37" s="111" t="n"/>
      <c r="NR37" s="111" t="n"/>
      <c r="NS37" s="111" t="n"/>
      <c r="NT37" s="111" t="n"/>
      <c r="NU37" s="111" t="n"/>
      <c r="NV37" s="111" t="n"/>
      <c r="NW37" s="111" t="n"/>
      <c r="NX37" s="111" t="n"/>
      <c r="NY37" s="111" t="n"/>
      <c r="NZ37" s="111" t="n"/>
      <c r="OA37" s="111" t="n"/>
      <c r="OB37" s="111" t="n"/>
      <c r="OC37" s="111" t="n"/>
      <c r="OD37" s="111" t="n"/>
      <c r="OE37" s="111" t="n"/>
      <c r="OF37" s="111" t="n"/>
      <c r="OG37" s="111" t="n"/>
      <c r="OH37" s="111" t="n"/>
      <c r="OI37" s="111" t="n"/>
      <c r="OJ37" s="111" t="n"/>
      <c r="OK37" s="111" t="n"/>
      <c r="OL37" s="111" t="n"/>
      <c r="OM37" s="111" t="n"/>
      <c r="ON37" s="111" t="n"/>
      <c r="OO37" s="111" t="n"/>
      <c r="OP37" s="111" t="n"/>
      <c r="OQ37" s="111" t="n"/>
      <c r="OR37" s="111" t="n"/>
      <c r="OS37" s="111" t="n"/>
      <c r="OT37" s="111" t="n"/>
      <c r="OU37" s="111" t="n"/>
      <c r="OV37" s="111" t="n"/>
      <c r="OW37" s="111" t="n"/>
      <c r="OX37" s="111" t="n"/>
      <c r="OY37" s="111" t="n"/>
      <c r="OZ37" s="111" t="n"/>
      <c r="PA37" s="111" t="n"/>
      <c r="PB37" s="111" t="n"/>
      <c r="PC37" s="111" t="n"/>
      <c r="PD37" s="111" t="n"/>
      <c r="PE37" s="111" t="n"/>
      <c r="PF37" s="111" t="n"/>
      <c r="PG37" s="111" t="n"/>
      <c r="PH37" s="111" t="n"/>
      <c r="PI37" s="111" t="n"/>
      <c r="PJ37" s="111" t="n"/>
      <c r="PK37" s="111" t="n"/>
      <c r="PL37" s="111" t="n"/>
      <c r="PM37" s="111" t="n"/>
      <c r="PN37" s="111" t="n"/>
      <c r="PO37" s="111" t="n"/>
      <c r="PP37" s="111" t="n"/>
      <c r="PQ37" s="111" t="n"/>
      <c r="PR37" s="111" t="n"/>
      <c r="PS37" s="111" t="n"/>
      <c r="PT37" s="111" t="n"/>
      <c r="PU37" s="111" t="n"/>
      <c r="PV37" s="111" t="n"/>
      <c r="PW37" s="111" t="n"/>
      <c r="PX37" s="111" t="n"/>
      <c r="PY37" s="111" t="n"/>
      <c r="PZ37" s="111" t="n"/>
      <c r="QA37" s="111" t="n"/>
      <c r="QB37" s="111" t="n"/>
      <c r="QC37" s="111" t="n"/>
      <c r="QD37" s="111" t="n"/>
      <c r="QE37" s="111" t="n"/>
      <c r="QF37" s="111" t="n"/>
      <c r="QG37" s="111" t="n"/>
      <c r="QH37" s="111" t="n"/>
      <c r="QI37" s="111" t="n"/>
      <c r="QJ37" s="111" t="n"/>
      <c r="QK37" s="111" t="n"/>
      <c r="QL37" s="111" t="n"/>
      <c r="QM37" s="111" t="n"/>
      <c r="QN37" s="111" t="n"/>
      <c r="QO37" s="111" t="n"/>
      <c r="QP37" s="111" t="n"/>
      <c r="QQ37" s="111" t="n"/>
      <c r="QR37" s="111" t="n"/>
      <c r="QS37" s="111" t="n"/>
      <c r="QT37" s="111" t="n"/>
      <c r="QU37" s="111" t="n"/>
      <c r="QV37" s="111" t="n"/>
      <c r="QW37" s="111" t="n"/>
      <c r="QX37" s="111" t="n"/>
      <c r="QY37" s="111" t="n"/>
      <c r="QZ37" s="111" t="n"/>
      <c r="RA37" s="111" t="n"/>
      <c r="RB37" s="111" t="n"/>
      <c r="RC37" s="111" t="n"/>
      <c r="RD37" s="111" t="n"/>
      <c r="RE37" s="111" t="n"/>
      <c r="RF37" s="111" t="n"/>
      <c r="RG37" s="111" t="n"/>
      <c r="RH37" s="111" t="n"/>
      <c r="RI37" s="111" t="n"/>
      <c r="RJ37" s="111" t="n"/>
      <c r="RK37" s="111" t="n"/>
      <c r="RL37" s="111" t="n"/>
      <c r="RM37" s="111" t="n"/>
      <c r="RN37" s="111" t="n"/>
      <c r="RO37" s="111" t="n"/>
      <c r="RP37" s="111" t="n"/>
      <c r="RQ37" s="111" t="n"/>
      <c r="RR37" s="111" t="n"/>
      <c r="RS37" s="111" t="n"/>
      <c r="RT37" s="111" t="n"/>
      <c r="RU37" s="111" t="n"/>
      <c r="RV37" s="111" t="n"/>
      <c r="RW37" s="111" t="n"/>
      <c r="RX37" s="111" t="n"/>
      <c r="RY37" s="111" t="n"/>
      <c r="RZ37" s="111" t="n"/>
      <c r="SA37" s="111" t="n"/>
      <c r="SB37" s="111" t="n"/>
      <c r="SC37" s="111" t="n"/>
      <c r="SD37" s="111" t="n"/>
      <c r="SE37" s="111" t="n"/>
      <c r="SF37" s="111" t="n"/>
      <c r="SG37" s="111" t="n"/>
      <c r="SH37" s="111" t="n"/>
      <c r="SI37" s="111" t="n"/>
      <c r="SJ37" s="111" t="n"/>
      <c r="SK37" s="111" t="n"/>
    </row>
    <row r="38" ht="12.75" customFormat="1" customHeight="1" s="137">
      <c r="A38" s="177" t="n">
        <v>23</v>
      </c>
      <c r="B38" s="154" t="inlineStr">
        <is>
          <t xml:space="preserve">Final clean and punch list </t>
        </is>
      </c>
      <c r="C38" s="144" t="n"/>
      <c r="D38" s="177" t="n"/>
      <c r="E38" s="177" t="n"/>
      <c r="F38" s="177" t="n"/>
      <c r="G38" s="263" t="n">
        <v>44832</v>
      </c>
      <c r="H38" s="262">
        <f>WORKDAY(G38,I38-1,holidays)</f>
        <v/>
      </c>
      <c r="I38" s="149" t="n">
        <v>3</v>
      </c>
      <c r="J38" s="150" t="n">
        <v>0</v>
      </c>
      <c r="K38" s="151">
        <f>IF(OR(G38=0,H38=0),0,H38-G38+1)</f>
        <v/>
      </c>
      <c r="L38" s="152">
        <f>MIN(K38,WORKDAY(G38,ROUNDDOWN(J38*I38,0),holidays)-G38)</f>
        <v/>
      </c>
      <c r="M38" s="151">
        <f>K38-L38</f>
        <v/>
      </c>
      <c r="N38" s="180" t="n"/>
      <c r="P38" s="111" t="n"/>
      <c r="Q38" s="111"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1" t="n"/>
      <c r="CF38" s="111" t="n"/>
      <c r="CG38" s="111" t="n"/>
      <c r="CH38" s="111" t="n"/>
      <c r="CI38" s="111" t="n"/>
      <c r="CJ38" s="111" t="n"/>
      <c r="CK38" s="111" t="n"/>
      <c r="CL38" s="111" t="n"/>
      <c r="CM38" s="111" t="n"/>
      <c r="CN38" s="111" t="n"/>
      <c r="CO38" s="111" t="n"/>
      <c r="CP38" s="111" t="n"/>
      <c r="CQ38" s="111" t="n"/>
      <c r="CR38" s="111" t="n"/>
      <c r="CS38" s="111" t="n"/>
      <c r="CT38" s="111" t="n"/>
      <c r="CU38" s="111" t="n"/>
      <c r="CV38" s="111" t="n"/>
      <c r="CW38" s="111" t="n"/>
      <c r="CX38" s="111" t="n"/>
      <c r="CY38" s="111" t="n"/>
      <c r="CZ38" s="111" t="n"/>
      <c r="DA38" s="111" t="n"/>
      <c r="DB38" s="111" t="n"/>
      <c r="DC38" s="111" t="n"/>
      <c r="DD38" s="111" t="n"/>
      <c r="DE38" s="111" t="n"/>
      <c r="DF38" s="111" t="n"/>
      <c r="DG38" s="111" t="n"/>
      <c r="DH38" s="111" t="n"/>
      <c r="DI38" s="111" t="n"/>
      <c r="DJ38" s="111" t="n"/>
      <c r="DK38" s="111" t="n"/>
      <c r="DL38" s="111" t="n"/>
      <c r="DM38" s="111" t="n"/>
      <c r="DN38" s="111" t="n"/>
      <c r="DO38" s="111" t="n"/>
      <c r="DP38" s="111" t="n"/>
      <c r="DQ38" s="111" t="n"/>
      <c r="DR38" s="111" t="n"/>
      <c r="DS38" s="111" t="n"/>
      <c r="DT38" s="111" t="n"/>
      <c r="DU38" s="111" t="n"/>
      <c r="DV38" s="111" t="n"/>
      <c r="DW38" s="111" t="n"/>
      <c r="DX38" s="111" t="n"/>
      <c r="DY38" s="111" t="n"/>
      <c r="DZ38" s="111" t="n"/>
      <c r="EA38" s="111" t="n"/>
      <c r="EB38" s="111" t="n"/>
      <c r="EC38" s="111" t="n"/>
      <c r="ED38" s="111" t="n"/>
      <c r="EE38" s="111" t="n"/>
      <c r="EF38" s="111" t="n"/>
      <c r="EG38" s="111" t="n"/>
      <c r="EH38" s="111" t="n"/>
      <c r="EI38" s="111" t="n"/>
      <c r="EJ38" s="111" t="n"/>
      <c r="EK38" s="111" t="n"/>
      <c r="EL38" s="111" t="n"/>
      <c r="EM38" s="111" t="n"/>
      <c r="EN38" s="111" t="n"/>
      <c r="EO38" s="111" t="n"/>
      <c r="EP38" s="111" t="n"/>
      <c r="EQ38" s="111" t="n"/>
      <c r="ER38" s="111" t="n"/>
      <c r="ES38" s="111" t="n"/>
      <c r="ET38" s="111" t="n"/>
      <c r="EU38" s="111" t="n"/>
      <c r="EV38" s="111" t="n"/>
      <c r="EW38" s="111" t="n"/>
      <c r="EX38" s="111" t="n"/>
      <c r="EY38" s="111" t="n"/>
      <c r="EZ38" s="111" t="n"/>
      <c r="FA38" s="111" t="n"/>
      <c r="FB38" s="111" t="n"/>
      <c r="FC38" s="111" t="n"/>
      <c r="FD38" s="111" t="n"/>
      <c r="FE38" s="111" t="n"/>
      <c r="FF38" s="111" t="n"/>
      <c r="FG38" s="111" t="n"/>
      <c r="FH38" s="111" t="n"/>
      <c r="FI38" s="111" t="n"/>
      <c r="FJ38" s="111" t="n"/>
      <c r="FK38" s="111" t="n"/>
      <c r="FL38" s="111" t="n"/>
      <c r="FM38" s="111" t="n"/>
      <c r="FN38" s="111" t="n"/>
      <c r="FO38" s="111" t="n"/>
      <c r="FP38" s="111" t="n"/>
      <c r="FQ38" s="111" t="n"/>
      <c r="FR38" s="111" t="n"/>
      <c r="FS38" s="111" t="n"/>
      <c r="FT38" s="111" t="n"/>
      <c r="FU38" s="111" t="n"/>
      <c r="FV38" s="111" t="n"/>
      <c r="FW38" s="111" t="n"/>
      <c r="FX38" s="111" t="n"/>
      <c r="FY38" s="111" t="n"/>
      <c r="FZ38" s="111" t="n"/>
      <c r="GA38" s="111" t="n"/>
      <c r="GB38" s="111" t="n"/>
      <c r="GC38" s="111" t="n"/>
      <c r="GD38" s="111" t="n"/>
      <c r="GE38" s="111" t="n"/>
      <c r="GF38" s="111" t="n"/>
      <c r="GG38" s="111" t="n"/>
      <c r="GH38" s="111" t="n"/>
      <c r="GI38" s="111" t="n"/>
      <c r="GJ38" s="111" t="n"/>
      <c r="GK38" s="111" t="n"/>
      <c r="GL38" s="111" t="n"/>
      <c r="GM38" s="111" t="n"/>
      <c r="GN38" s="111" t="n"/>
      <c r="GO38" s="111" t="n"/>
      <c r="GP38" s="111" t="n"/>
      <c r="GQ38" s="111" t="n"/>
      <c r="GR38" s="111" t="n"/>
      <c r="GS38" s="111" t="n"/>
      <c r="GT38" s="111" t="n"/>
      <c r="GU38" s="111" t="n"/>
      <c r="GV38" s="111" t="n"/>
      <c r="GW38" s="111" t="n"/>
      <c r="GX38" s="111" t="n"/>
      <c r="GY38" s="111" t="n"/>
      <c r="GZ38" s="111" t="n"/>
      <c r="HA38" s="111" t="n"/>
      <c r="HB38" s="111" t="n"/>
      <c r="HC38" s="111" t="n"/>
      <c r="HD38" s="111" t="n"/>
      <c r="HE38" s="111" t="n"/>
      <c r="HF38" s="111" t="n"/>
      <c r="HG38" s="111" t="n"/>
      <c r="HH38" s="111" t="n"/>
      <c r="HI38" s="111" t="n"/>
      <c r="HJ38" s="111" t="n"/>
      <c r="HK38" s="111" t="n"/>
      <c r="HL38" s="111" t="n"/>
      <c r="HM38" s="111" t="n"/>
      <c r="HN38" s="111" t="n"/>
      <c r="HO38" s="111" t="n"/>
      <c r="HP38" s="111" t="n"/>
      <c r="HQ38" s="111" t="n"/>
      <c r="HR38" s="111" t="n"/>
      <c r="HS38" s="111" t="n"/>
      <c r="HT38" s="111" t="n"/>
      <c r="HU38" s="111" t="n"/>
      <c r="HV38" s="111" t="n"/>
      <c r="HW38" s="111" t="n"/>
      <c r="HX38" s="111" t="n"/>
      <c r="HY38" s="111" t="n"/>
      <c r="HZ38" s="111" t="n"/>
      <c r="IA38" s="111" t="n"/>
      <c r="IB38" s="111" t="n"/>
      <c r="IC38" s="111" t="n"/>
      <c r="ID38" s="111" t="n"/>
      <c r="IE38" s="111" t="n"/>
      <c r="IF38" s="111" t="n"/>
      <c r="IG38" s="111" t="n"/>
      <c r="IH38" s="111" t="n"/>
      <c r="II38" s="111" t="n"/>
      <c r="IJ38" s="111" t="n"/>
      <c r="IK38" s="111" t="n"/>
      <c r="IL38" s="111" t="n"/>
      <c r="IM38" s="111" t="n"/>
      <c r="IN38" s="111" t="n"/>
      <c r="IO38" s="111" t="n"/>
      <c r="IP38" s="111" t="n"/>
      <c r="IQ38" s="111" t="n"/>
      <c r="IR38" s="111" t="n"/>
      <c r="IS38" s="111" t="n"/>
      <c r="IT38" s="111" t="n"/>
      <c r="IU38" s="111" t="n"/>
      <c r="IV38" s="111" t="n"/>
      <c r="IW38" s="111" t="n"/>
      <c r="IX38" s="111" t="n"/>
      <c r="IY38" s="111" t="n"/>
      <c r="IZ38" s="111" t="n"/>
      <c r="JA38" s="111" t="n"/>
      <c r="JB38" s="111" t="n"/>
      <c r="JC38" s="111" t="n"/>
      <c r="JD38" s="111" t="n"/>
      <c r="JE38" s="111" t="n"/>
      <c r="JF38" s="111" t="n"/>
      <c r="JG38" s="111" t="n"/>
      <c r="JH38" s="111" t="n"/>
      <c r="JI38" s="111" t="n"/>
      <c r="JJ38" s="111" t="n"/>
      <c r="JK38" s="111" t="n"/>
      <c r="JL38" s="111" t="n"/>
      <c r="JM38" s="111" t="n"/>
      <c r="JN38" s="111" t="n"/>
      <c r="JO38" s="111" t="n"/>
      <c r="JP38" s="111" t="n"/>
      <c r="JQ38" s="111" t="n"/>
      <c r="JR38" s="111" t="n"/>
      <c r="JS38" s="111" t="n"/>
      <c r="JT38" s="111" t="n"/>
      <c r="JU38" s="111" t="n"/>
      <c r="JV38" s="111" t="n"/>
      <c r="JW38" s="111" t="n"/>
      <c r="JX38" s="111" t="n"/>
      <c r="JY38" s="111" t="n"/>
      <c r="JZ38" s="111" t="n"/>
      <c r="KA38" s="111" t="n"/>
      <c r="KB38" s="111" t="n"/>
      <c r="KC38" s="111" t="n"/>
      <c r="KD38" s="111" t="n"/>
      <c r="KE38" s="111" t="n"/>
      <c r="KF38" s="111" t="n"/>
      <c r="KG38" s="111" t="n"/>
      <c r="KH38" s="111" t="n"/>
      <c r="KI38" s="111" t="n"/>
      <c r="KJ38" s="111" t="n"/>
      <c r="KK38" s="111" t="n"/>
      <c r="KL38" s="111" t="n"/>
      <c r="KM38" s="111" t="n"/>
      <c r="KN38" s="111" t="n"/>
      <c r="KO38" s="111" t="n"/>
      <c r="KP38" s="111" t="n"/>
      <c r="KQ38" s="111" t="n"/>
      <c r="KR38" s="111" t="n"/>
      <c r="KS38" s="111" t="n"/>
      <c r="KT38" s="111" t="n"/>
      <c r="KU38" s="111" t="n"/>
      <c r="KV38" s="111" t="n"/>
      <c r="KW38" s="111" t="n"/>
      <c r="KX38" s="111" t="n"/>
      <c r="KY38" s="111" t="n"/>
      <c r="KZ38" s="111" t="n"/>
      <c r="LA38" s="111" t="n"/>
      <c r="LB38" s="111" t="n"/>
      <c r="LC38" s="111" t="n"/>
      <c r="LD38" s="111" t="n"/>
      <c r="LE38" s="111" t="n"/>
      <c r="LF38" s="111" t="n"/>
      <c r="LG38" s="111" t="n"/>
      <c r="LH38" s="111" t="n"/>
      <c r="LI38" s="111" t="n"/>
      <c r="LJ38" s="111" t="n"/>
      <c r="LK38" s="111" t="n"/>
      <c r="LL38" s="111" t="n"/>
      <c r="LM38" s="111" t="n"/>
      <c r="LN38" s="111" t="n"/>
      <c r="LO38" s="111" t="n"/>
      <c r="LP38" s="111" t="n"/>
      <c r="LQ38" s="111" t="n"/>
      <c r="LR38" s="111" t="n"/>
      <c r="LS38" s="111" t="n"/>
      <c r="LT38" s="111" t="n"/>
      <c r="LU38" s="111" t="n"/>
      <c r="LV38" s="111" t="n"/>
      <c r="LW38" s="111" t="n"/>
      <c r="LX38" s="111" t="n"/>
      <c r="LY38" s="111" t="n"/>
      <c r="LZ38" s="111" t="n"/>
      <c r="MA38" s="111" t="n"/>
      <c r="MB38" s="111" t="n"/>
      <c r="MC38" s="111" t="n"/>
      <c r="MD38" s="111" t="n"/>
      <c r="ME38" s="111" t="n"/>
      <c r="MF38" s="111" t="n"/>
      <c r="MG38" s="111" t="n"/>
      <c r="MH38" s="111" t="n"/>
      <c r="MI38" s="111" t="n"/>
      <c r="MJ38" s="111" t="n"/>
      <c r="MK38" s="111" t="n"/>
      <c r="ML38" s="111" t="n"/>
      <c r="MM38" s="111" t="n"/>
      <c r="MN38" s="111" t="n"/>
      <c r="MO38" s="111" t="n"/>
      <c r="MP38" s="111" t="n"/>
      <c r="MQ38" s="111" t="n"/>
      <c r="MR38" s="111" t="n"/>
      <c r="MS38" s="111" t="n"/>
      <c r="MT38" s="111" t="n"/>
      <c r="MU38" s="111" t="n"/>
      <c r="MV38" s="111" t="n"/>
      <c r="MW38" s="111" t="n"/>
      <c r="MX38" s="111" t="n"/>
      <c r="MY38" s="111" t="n"/>
      <c r="MZ38" s="111" t="n"/>
      <c r="NA38" s="111" t="n"/>
      <c r="NB38" s="111" t="n"/>
      <c r="NC38" s="111" t="n"/>
      <c r="ND38" s="111" t="n"/>
      <c r="NE38" s="111" t="n"/>
      <c r="NF38" s="111" t="n"/>
      <c r="NG38" s="111" t="n"/>
      <c r="NH38" s="111" t="n"/>
      <c r="NI38" s="111" t="n"/>
      <c r="NJ38" s="111" t="n"/>
      <c r="NK38" s="111" t="n"/>
      <c r="NL38" s="111" t="n"/>
      <c r="NM38" s="111" t="n"/>
      <c r="NN38" s="111" t="n"/>
      <c r="NO38" s="111" t="n"/>
      <c r="NP38" s="111" t="n"/>
      <c r="NQ38" s="111" t="n"/>
      <c r="NR38" s="111" t="n"/>
      <c r="NS38" s="111" t="n"/>
      <c r="NT38" s="111" t="n"/>
      <c r="NU38" s="111" t="n"/>
      <c r="NV38" s="111" t="n"/>
      <c r="NW38" s="111" t="n"/>
      <c r="NX38" s="111" t="n"/>
      <c r="NY38" s="111" t="n"/>
      <c r="NZ38" s="111" t="n"/>
      <c r="OA38" s="111" t="n"/>
      <c r="OB38" s="111" t="n"/>
      <c r="OC38" s="111" t="n"/>
      <c r="OD38" s="111" t="n"/>
      <c r="OE38" s="111" t="n"/>
      <c r="OF38" s="111" t="n"/>
      <c r="OG38" s="111" t="n"/>
      <c r="OH38" s="111" t="n"/>
      <c r="OI38" s="111" t="n"/>
      <c r="OJ38" s="111" t="n"/>
      <c r="OK38" s="111" t="n"/>
      <c r="OL38" s="111" t="n"/>
      <c r="OM38" s="111" t="n"/>
      <c r="ON38" s="111" t="n"/>
      <c r="OO38" s="111" t="n"/>
      <c r="OP38" s="111" t="n"/>
      <c r="OQ38" s="111" t="n"/>
      <c r="OR38" s="111" t="n"/>
      <c r="OS38" s="111" t="n"/>
      <c r="OT38" s="111" t="n"/>
      <c r="OU38" s="111" t="n"/>
      <c r="OV38" s="111" t="n"/>
      <c r="OW38" s="111" t="n"/>
      <c r="OX38" s="111" t="n"/>
      <c r="OY38" s="111" t="n"/>
      <c r="OZ38" s="111" t="n"/>
      <c r="PA38" s="111" t="n"/>
      <c r="PB38" s="111" t="n"/>
      <c r="PC38" s="111" t="n"/>
      <c r="PD38" s="111" t="n"/>
      <c r="PE38" s="111" t="n"/>
      <c r="PF38" s="111" t="n"/>
      <c r="PG38" s="111" t="n"/>
      <c r="PH38" s="111" t="n"/>
      <c r="PI38" s="111" t="n"/>
      <c r="PJ38" s="111" t="n"/>
      <c r="PK38" s="111" t="n"/>
      <c r="PL38" s="111" t="n"/>
      <c r="PM38" s="111" t="n"/>
      <c r="PN38" s="111" t="n"/>
      <c r="PO38" s="111" t="n"/>
      <c r="PP38" s="111" t="n"/>
      <c r="PQ38" s="111" t="n"/>
      <c r="PR38" s="111" t="n"/>
      <c r="PS38" s="111" t="n"/>
      <c r="PT38" s="111" t="n"/>
      <c r="PU38" s="111" t="n"/>
      <c r="PV38" s="111" t="n"/>
      <c r="PW38" s="111" t="n"/>
      <c r="PX38" s="111" t="n"/>
      <c r="PY38" s="111" t="n"/>
      <c r="PZ38" s="111" t="n"/>
      <c r="QA38" s="111" t="n"/>
      <c r="QB38" s="111" t="n"/>
      <c r="QC38" s="111" t="n"/>
      <c r="QD38" s="111" t="n"/>
      <c r="QE38" s="111" t="n"/>
      <c r="QF38" s="111" t="n"/>
      <c r="QG38" s="111" t="n"/>
      <c r="QH38" s="111" t="n"/>
      <c r="QI38" s="111" t="n"/>
      <c r="QJ38" s="111" t="n"/>
      <c r="QK38" s="111" t="n"/>
      <c r="QL38" s="111" t="n"/>
      <c r="QM38" s="111" t="n"/>
      <c r="QN38" s="111" t="n"/>
      <c r="QO38" s="111" t="n"/>
      <c r="QP38" s="111" t="n"/>
      <c r="QQ38" s="111" t="n"/>
      <c r="QR38" s="111" t="n"/>
      <c r="QS38" s="111" t="n"/>
      <c r="QT38" s="111" t="n"/>
      <c r="QU38" s="111" t="n"/>
      <c r="QV38" s="111" t="n"/>
      <c r="QW38" s="111" t="n"/>
      <c r="QX38" s="111" t="n"/>
      <c r="QY38" s="111" t="n"/>
      <c r="QZ38" s="111" t="n"/>
      <c r="RA38" s="111" t="n"/>
      <c r="RB38" s="111" t="n"/>
      <c r="RC38" s="111" t="n"/>
      <c r="RD38" s="111" t="n"/>
      <c r="RE38" s="111" t="n"/>
      <c r="RF38" s="111" t="n"/>
      <c r="RG38" s="111" t="n"/>
      <c r="RH38" s="111" t="n"/>
      <c r="RI38" s="111" t="n"/>
      <c r="RJ38" s="111" t="n"/>
      <c r="RK38" s="111" t="n"/>
      <c r="RL38" s="111" t="n"/>
      <c r="RM38" s="111" t="n"/>
      <c r="RN38" s="111" t="n"/>
      <c r="RO38" s="111" t="n"/>
      <c r="RP38" s="111" t="n"/>
      <c r="RQ38" s="111" t="n"/>
      <c r="RR38" s="111" t="n"/>
      <c r="RS38" s="111" t="n"/>
      <c r="RT38" s="111" t="n"/>
      <c r="RU38" s="111" t="n"/>
      <c r="RV38" s="111" t="n"/>
      <c r="RW38" s="111" t="n"/>
      <c r="RX38" s="111" t="n"/>
      <c r="RY38" s="111" t="n"/>
      <c r="RZ38" s="111" t="n"/>
      <c r="SA38" s="111" t="n"/>
      <c r="SB38" s="111" t="n"/>
      <c r="SC38" s="111" t="n"/>
      <c r="SD38" s="111" t="n"/>
      <c r="SE38" s="111" t="n"/>
      <c r="SF38" s="111" t="n"/>
      <c r="SG38" s="111" t="n"/>
      <c r="SH38" s="111" t="n"/>
      <c r="SI38" s="111" t="n"/>
      <c r="SJ38" s="111" t="n"/>
      <c r="SK38" s="111" t="n"/>
    </row>
    <row r="39" ht="12.75" customFormat="1" customHeight="1" s="137">
      <c r="A39" s="142" t="n"/>
      <c r="B39" s="154" t="n"/>
      <c r="C39" s="144" t="n"/>
      <c r="D39" s="142" t="n"/>
      <c r="E39" s="142" t="n"/>
      <c r="F39" s="142" t="n"/>
      <c r="G39" s="262" t="n"/>
      <c r="H39" s="262">
        <f>WORKDAY(G39,I39-1,holidays)</f>
        <v/>
      </c>
      <c r="I39" s="149" t="n"/>
      <c r="J39" s="150" t="n"/>
      <c r="K39" s="151">
        <f>IF(OR(G39=0,H39=0),0,H39-G39+1)</f>
        <v/>
      </c>
      <c r="L39" s="152">
        <f>MIN(K39,WORKDAY(G39,ROUNDDOWN(J39*I39,0),holidays)-G39)</f>
        <v/>
      </c>
      <c r="M39" s="151">
        <f>K39-L39</f>
        <v/>
      </c>
      <c r="N39" s="145" t="n"/>
      <c r="P39" s="111" t="n"/>
      <c r="Q39" s="111" t="n"/>
      <c r="R39" s="111" t="n"/>
      <c r="S39" s="111" t="n"/>
      <c r="T39" s="111" t="n"/>
      <c r="U39" s="111" t="n"/>
      <c r="V39" s="111" t="n"/>
      <c r="W39" s="111" t="n"/>
      <c r="X39" s="111" t="n"/>
      <c r="Y39" s="111" t="n"/>
      <c r="Z39" s="111" t="n"/>
      <c r="AA39" s="111" t="n"/>
      <c r="AB39" s="111" t="n"/>
      <c r="AC39" s="111" t="n"/>
      <c r="AD39" s="111" t="n"/>
      <c r="AE39" s="111" t="n"/>
      <c r="AF39" s="111" t="n"/>
      <c r="AG39" s="111" t="n"/>
      <c r="AH39" s="111" t="n"/>
      <c r="AI39" s="111" t="n"/>
      <c r="AJ39" s="111" t="n"/>
      <c r="AK39" s="111" t="n"/>
      <c r="AL39" s="111" t="n"/>
      <c r="AM39" s="111" t="n"/>
      <c r="AN39" s="111" t="n"/>
      <c r="AO39" s="111" t="n"/>
      <c r="AP39" s="111" t="n"/>
      <c r="AQ39" s="111" t="n"/>
      <c r="AR39" s="111" t="n"/>
      <c r="AS39" s="111" t="n"/>
      <c r="AT39" s="111" t="n"/>
      <c r="AU39" s="111" t="n"/>
      <c r="AV39" s="111" t="n"/>
      <c r="AW39" s="111" t="n"/>
      <c r="AX39" s="111" t="n"/>
      <c r="AY39" s="111" t="n"/>
      <c r="AZ39" s="111"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1" t="n"/>
      <c r="CF39" s="111" t="n"/>
      <c r="CG39" s="111" t="n"/>
      <c r="CH39" s="111" t="n"/>
      <c r="CI39" s="111" t="n"/>
      <c r="CJ39" s="111" t="n"/>
      <c r="CK39" s="111" t="n"/>
      <c r="CL39" s="111" t="n"/>
      <c r="CM39" s="111" t="n"/>
      <c r="CN39" s="111" t="n"/>
      <c r="CO39" s="111" t="n"/>
      <c r="CP39" s="111" t="n"/>
      <c r="CQ39" s="111" t="n"/>
      <c r="CR39" s="111" t="n"/>
      <c r="CS39" s="111" t="n"/>
      <c r="CT39" s="111" t="n"/>
      <c r="CU39" s="111" t="n"/>
      <c r="CV39" s="111" t="n"/>
      <c r="CW39" s="111" t="n"/>
      <c r="CX39" s="111" t="n"/>
      <c r="CY39" s="111" t="n"/>
      <c r="CZ39" s="111" t="n"/>
      <c r="DA39" s="111" t="n"/>
      <c r="DB39" s="111" t="n"/>
      <c r="DC39" s="111" t="n"/>
      <c r="DD39" s="111" t="n"/>
      <c r="DE39" s="111" t="n"/>
      <c r="DF39" s="111" t="n"/>
      <c r="DG39" s="111" t="n"/>
      <c r="DH39" s="111" t="n"/>
      <c r="DI39" s="111" t="n"/>
      <c r="DJ39" s="111" t="n"/>
      <c r="DK39" s="111" t="n"/>
      <c r="DL39" s="111" t="n"/>
      <c r="DM39" s="111" t="n"/>
      <c r="DN39" s="111" t="n"/>
      <c r="DO39" s="111" t="n"/>
      <c r="DP39" s="111" t="n"/>
      <c r="DQ39" s="111" t="n"/>
      <c r="DR39" s="111" t="n"/>
      <c r="DS39" s="111" t="n"/>
      <c r="DT39" s="111" t="n"/>
      <c r="DU39" s="111" t="n"/>
      <c r="DV39" s="111" t="n"/>
      <c r="DW39" s="111" t="n"/>
      <c r="DX39" s="111" t="n"/>
      <c r="DY39" s="111" t="n"/>
      <c r="DZ39" s="111" t="n"/>
      <c r="EA39" s="111" t="n"/>
      <c r="EB39" s="111" t="n"/>
      <c r="EC39" s="111" t="n"/>
      <c r="ED39" s="111" t="n"/>
      <c r="EE39" s="111" t="n"/>
      <c r="EF39" s="111" t="n"/>
      <c r="EG39" s="111" t="n"/>
      <c r="EH39" s="111" t="n"/>
      <c r="EI39" s="111" t="n"/>
      <c r="EJ39" s="111" t="n"/>
      <c r="EK39" s="111" t="n"/>
      <c r="EL39" s="111" t="n"/>
      <c r="EM39" s="111" t="n"/>
      <c r="EN39" s="111" t="n"/>
      <c r="EO39" s="111" t="n"/>
      <c r="EP39" s="111" t="n"/>
      <c r="EQ39" s="111" t="n"/>
      <c r="ER39" s="111" t="n"/>
      <c r="ES39" s="111" t="n"/>
      <c r="ET39" s="111" t="n"/>
      <c r="EU39" s="111" t="n"/>
      <c r="EV39" s="111" t="n"/>
      <c r="EW39" s="111" t="n"/>
      <c r="EX39" s="111" t="n"/>
      <c r="EY39" s="111" t="n"/>
      <c r="EZ39" s="111" t="n"/>
      <c r="FA39" s="111" t="n"/>
      <c r="FB39" s="111" t="n"/>
      <c r="FC39" s="111" t="n"/>
      <c r="FD39" s="111" t="n"/>
      <c r="FE39" s="111" t="n"/>
      <c r="FF39" s="111" t="n"/>
      <c r="FG39" s="111" t="n"/>
      <c r="FH39" s="111" t="n"/>
      <c r="FI39" s="111" t="n"/>
      <c r="FJ39" s="111" t="n"/>
      <c r="FK39" s="111" t="n"/>
      <c r="FL39" s="111" t="n"/>
      <c r="FM39" s="111" t="n"/>
      <c r="FN39" s="111" t="n"/>
      <c r="FO39" s="111" t="n"/>
      <c r="FP39" s="111" t="n"/>
      <c r="FQ39" s="111" t="n"/>
      <c r="FR39" s="111" t="n"/>
      <c r="FS39" s="111" t="n"/>
      <c r="FT39" s="111" t="n"/>
      <c r="FU39" s="111" t="n"/>
      <c r="FV39" s="111" t="n"/>
      <c r="FW39" s="111" t="n"/>
      <c r="FX39" s="111" t="n"/>
      <c r="FY39" s="111" t="n"/>
      <c r="FZ39" s="111" t="n"/>
      <c r="GA39" s="111" t="n"/>
      <c r="GB39" s="111" t="n"/>
      <c r="GC39" s="111" t="n"/>
      <c r="GD39" s="111" t="n"/>
      <c r="GE39" s="111" t="n"/>
      <c r="GF39" s="111" t="n"/>
      <c r="GG39" s="111" t="n"/>
      <c r="GH39" s="111" t="n"/>
      <c r="GI39" s="111" t="n"/>
      <c r="GJ39" s="111" t="n"/>
      <c r="GK39" s="111" t="n"/>
      <c r="GL39" s="111" t="n"/>
      <c r="GM39" s="111" t="n"/>
      <c r="GN39" s="111" t="n"/>
      <c r="GO39" s="111" t="n"/>
      <c r="GP39" s="111" t="n"/>
      <c r="GQ39" s="111" t="n"/>
      <c r="GR39" s="111" t="n"/>
      <c r="GS39" s="111" t="n"/>
      <c r="GT39" s="111" t="n"/>
      <c r="GU39" s="111" t="n"/>
      <c r="GV39" s="111" t="n"/>
      <c r="GW39" s="111" t="n"/>
      <c r="GX39" s="111" t="n"/>
      <c r="GY39" s="111" t="n"/>
      <c r="GZ39" s="111" t="n"/>
      <c r="HA39" s="111" t="n"/>
      <c r="HB39" s="111" t="n"/>
      <c r="HC39" s="111" t="n"/>
      <c r="HD39" s="111" t="n"/>
      <c r="HE39" s="111" t="n"/>
      <c r="HF39" s="111" t="n"/>
      <c r="HG39" s="111" t="n"/>
      <c r="HH39" s="111" t="n"/>
      <c r="HI39" s="111" t="n"/>
      <c r="HJ39" s="111" t="n"/>
      <c r="HK39" s="111" t="n"/>
      <c r="HL39" s="111" t="n"/>
      <c r="HM39" s="111" t="n"/>
      <c r="HN39" s="111" t="n"/>
      <c r="HO39" s="111" t="n"/>
      <c r="HP39" s="111" t="n"/>
      <c r="HQ39" s="111" t="n"/>
      <c r="HR39" s="111" t="n"/>
      <c r="HS39" s="111" t="n"/>
      <c r="HT39" s="111" t="n"/>
      <c r="HU39" s="111" t="n"/>
      <c r="HV39" s="111" t="n"/>
      <c r="HW39" s="111" t="n"/>
      <c r="HX39" s="111" t="n"/>
      <c r="HY39" s="111" t="n"/>
      <c r="HZ39" s="111" t="n"/>
      <c r="IA39" s="111" t="n"/>
      <c r="IB39" s="111" t="n"/>
      <c r="IC39" s="111" t="n"/>
      <c r="ID39" s="111" t="n"/>
      <c r="IE39" s="111" t="n"/>
      <c r="IF39" s="111" t="n"/>
      <c r="IG39" s="111" t="n"/>
      <c r="IH39" s="111" t="n"/>
      <c r="II39" s="111" t="n"/>
      <c r="IJ39" s="111" t="n"/>
      <c r="IK39" s="111" t="n"/>
      <c r="IL39" s="111" t="n"/>
      <c r="IM39" s="111" t="n"/>
      <c r="IN39" s="111" t="n"/>
      <c r="IO39" s="111" t="n"/>
      <c r="IP39" s="111" t="n"/>
      <c r="IQ39" s="111" t="n"/>
      <c r="IR39" s="111" t="n"/>
      <c r="IS39" s="111" t="n"/>
      <c r="IT39" s="111" t="n"/>
      <c r="IU39" s="111" t="n"/>
      <c r="IV39" s="111" t="n"/>
      <c r="IW39" s="111" t="n"/>
      <c r="IX39" s="111" t="n"/>
      <c r="IY39" s="111" t="n"/>
      <c r="IZ39" s="111" t="n"/>
      <c r="JA39" s="111" t="n"/>
      <c r="JB39" s="111" t="n"/>
      <c r="JC39" s="111" t="n"/>
      <c r="JD39" s="111" t="n"/>
      <c r="JE39" s="111" t="n"/>
      <c r="JF39" s="111" t="n"/>
      <c r="JG39" s="111" t="n"/>
      <c r="JH39" s="111" t="n"/>
      <c r="JI39" s="111" t="n"/>
      <c r="JJ39" s="111" t="n"/>
      <c r="JK39" s="111" t="n"/>
      <c r="JL39" s="111" t="n"/>
      <c r="JM39" s="111" t="n"/>
      <c r="JN39" s="111" t="n"/>
      <c r="JO39" s="111" t="n"/>
      <c r="JP39" s="111" t="n"/>
      <c r="JQ39" s="111" t="n"/>
      <c r="JR39" s="111" t="n"/>
      <c r="JS39" s="111" t="n"/>
      <c r="JT39" s="111" t="n"/>
      <c r="JU39" s="111" t="n"/>
      <c r="JV39" s="111" t="n"/>
      <c r="JW39" s="111" t="n"/>
      <c r="JX39" s="111" t="n"/>
      <c r="JY39" s="111" t="n"/>
      <c r="JZ39" s="111" t="n"/>
      <c r="KA39" s="111" t="n"/>
      <c r="KB39" s="111" t="n"/>
      <c r="KC39" s="111" t="n"/>
      <c r="KD39" s="111" t="n"/>
      <c r="KE39" s="111" t="n"/>
      <c r="KF39" s="111" t="n"/>
      <c r="KG39" s="111" t="n"/>
      <c r="KH39" s="111" t="n"/>
      <c r="KI39" s="111" t="n"/>
      <c r="KJ39" s="111" t="n"/>
      <c r="KK39" s="111" t="n"/>
      <c r="KL39" s="111" t="n"/>
      <c r="KM39" s="111" t="n"/>
      <c r="KN39" s="111" t="n"/>
      <c r="KO39" s="111" t="n"/>
      <c r="KP39" s="111" t="n"/>
      <c r="KQ39" s="111" t="n"/>
      <c r="KR39" s="111" t="n"/>
      <c r="KS39" s="111" t="n"/>
      <c r="KT39" s="111" t="n"/>
      <c r="KU39" s="111" t="n"/>
      <c r="KV39" s="111" t="n"/>
      <c r="KW39" s="111" t="n"/>
      <c r="KX39" s="111" t="n"/>
      <c r="KY39" s="111" t="n"/>
      <c r="KZ39" s="111" t="n"/>
      <c r="LA39" s="111" t="n"/>
      <c r="LB39" s="111" t="n"/>
      <c r="LC39" s="111" t="n"/>
      <c r="LD39" s="111" t="n"/>
      <c r="LE39" s="111" t="n"/>
      <c r="LF39" s="111" t="n"/>
      <c r="LG39" s="111" t="n"/>
      <c r="LH39" s="111" t="n"/>
      <c r="LI39" s="111" t="n"/>
      <c r="LJ39" s="111" t="n"/>
      <c r="LK39" s="111" t="n"/>
      <c r="LL39" s="111" t="n"/>
      <c r="LM39" s="111" t="n"/>
      <c r="LN39" s="111" t="n"/>
      <c r="LO39" s="111" t="n"/>
      <c r="LP39" s="111" t="n"/>
      <c r="LQ39" s="111" t="n"/>
      <c r="LR39" s="111" t="n"/>
      <c r="LS39" s="111" t="n"/>
      <c r="LT39" s="111" t="n"/>
      <c r="LU39" s="111" t="n"/>
      <c r="LV39" s="111" t="n"/>
      <c r="LW39" s="111" t="n"/>
      <c r="LX39" s="111" t="n"/>
      <c r="LY39" s="111" t="n"/>
      <c r="LZ39" s="111" t="n"/>
      <c r="MA39" s="111" t="n"/>
      <c r="MB39" s="111" t="n"/>
      <c r="MC39" s="111" t="n"/>
      <c r="MD39" s="111" t="n"/>
      <c r="ME39" s="111" t="n"/>
      <c r="MF39" s="111" t="n"/>
      <c r="MG39" s="111" t="n"/>
      <c r="MH39" s="111" t="n"/>
      <c r="MI39" s="111" t="n"/>
      <c r="MJ39" s="111" t="n"/>
      <c r="MK39" s="111" t="n"/>
      <c r="ML39" s="111" t="n"/>
      <c r="MM39" s="111" t="n"/>
      <c r="MN39" s="111" t="n"/>
      <c r="MO39" s="111" t="n"/>
      <c r="MP39" s="111" t="n"/>
      <c r="MQ39" s="111" t="n"/>
      <c r="MR39" s="111" t="n"/>
      <c r="MS39" s="111" t="n"/>
      <c r="MT39" s="111" t="n"/>
      <c r="MU39" s="111" t="n"/>
      <c r="MV39" s="111" t="n"/>
      <c r="MW39" s="111" t="n"/>
      <c r="MX39" s="111" t="n"/>
      <c r="MY39" s="111" t="n"/>
      <c r="MZ39" s="111" t="n"/>
      <c r="NA39" s="111" t="n"/>
      <c r="NB39" s="111" t="n"/>
      <c r="NC39" s="111" t="n"/>
      <c r="ND39" s="111" t="n"/>
      <c r="NE39" s="111" t="n"/>
      <c r="NF39" s="111" t="n"/>
      <c r="NG39" s="111" t="n"/>
      <c r="NH39" s="111" t="n"/>
      <c r="NI39" s="111" t="n"/>
      <c r="NJ39" s="111" t="n"/>
      <c r="NK39" s="111" t="n"/>
      <c r="NL39" s="111" t="n"/>
      <c r="NM39" s="111" t="n"/>
      <c r="NN39" s="111" t="n"/>
      <c r="NO39" s="111" t="n"/>
      <c r="NP39" s="111" t="n"/>
      <c r="NQ39" s="111" t="n"/>
      <c r="NR39" s="111" t="n"/>
      <c r="NS39" s="111" t="n"/>
      <c r="NT39" s="111" t="n"/>
      <c r="NU39" s="111" t="n"/>
      <c r="NV39" s="111" t="n"/>
      <c r="NW39" s="111" t="n"/>
      <c r="NX39" s="111" t="n"/>
      <c r="NY39" s="111" t="n"/>
      <c r="NZ39" s="111" t="n"/>
      <c r="OA39" s="111" t="n"/>
      <c r="OB39" s="111" t="n"/>
      <c r="OC39" s="111" t="n"/>
      <c r="OD39" s="111" t="n"/>
      <c r="OE39" s="111" t="n"/>
      <c r="OF39" s="111" t="n"/>
      <c r="OG39" s="111" t="n"/>
      <c r="OH39" s="111" t="n"/>
      <c r="OI39" s="111" t="n"/>
      <c r="OJ39" s="111" t="n"/>
      <c r="OK39" s="111" t="n"/>
      <c r="OL39" s="111" t="n"/>
      <c r="OM39" s="111" t="n"/>
      <c r="ON39" s="111" t="n"/>
      <c r="OO39" s="111" t="n"/>
      <c r="OP39" s="111" t="n"/>
      <c r="OQ39" s="111" t="n"/>
      <c r="OR39" s="111" t="n"/>
      <c r="OS39" s="111" t="n"/>
      <c r="OT39" s="111" t="n"/>
      <c r="OU39" s="111" t="n"/>
      <c r="OV39" s="111" t="n"/>
      <c r="OW39" s="111" t="n"/>
      <c r="OX39" s="111" t="n"/>
      <c r="OY39" s="111" t="n"/>
      <c r="OZ39" s="111" t="n"/>
      <c r="PA39" s="111" t="n"/>
      <c r="PB39" s="111" t="n"/>
      <c r="PC39" s="111" t="n"/>
      <c r="PD39" s="111" t="n"/>
      <c r="PE39" s="111" t="n"/>
      <c r="PF39" s="111" t="n"/>
      <c r="PG39" s="111" t="n"/>
      <c r="PH39" s="111" t="n"/>
      <c r="PI39" s="111" t="n"/>
      <c r="PJ39" s="111" t="n"/>
      <c r="PK39" s="111" t="n"/>
      <c r="PL39" s="111" t="n"/>
      <c r="PM39" s="111" t="n"/>
      <c r="PN39" s="111" t="n"/>
      <c r="PO39" s="111" t="n"/>
      <c r="PP39" s="111" t="n"/>
      <c r="PQ39" s="111" t="n"/>
      <c r="PR39" s="111" t="n"/>
      <c r="PS39" s="111" t="n"/>
      <c r="PT39" s="111" t="n"/>
      <c r="PU39" s="111" t="n"/>
      <c r="PV39" s="111" t="n"/>
      <c r="PW39" s="111" t="n"/>
      <c r="PX39" s="111" t="n"/>
      <c r="PY39" s="111" t="n"/>
      <c r="PZ39" s="111" t="n"/>
      <c r="QA39" s="111" t="n"/>
      <c r="QB39" s="111" t="n"/>
      <c r="QC39" s="111" t="n"/>
      <c r="QD39" s="111" t="n"/>
      <c r="QE39" s="111" t="n"/>
      <c r="QF39" s="111" t="n"/>
      <c r="QG39" s="111" t="n"/>
      <c r="QH39" s="111" t="n"/>
      <c r="QI39" s="111" t="n"/>
      <c r="QJ39" s="111" t="n"/>
      <c r="QK39" s="111" t="n"/>
      <c r="QL39" s="111" t="n"/>
      <c r="QM39" s="111" t="n"/>
      <c r="QN39" s="111" t="n"/>
      <c r="QO39" s="111" t="n"/>
      <c r="QP39" s="111" t="n"/>
      <c r="QQ39" s="111" t="n"/>
      <c r="QR39" s="111" t="n"/>
      <c r="QS39" s="111" t="n"/>
      <c r="QT39" s="111" t="n"/>
      <c r="QU39" s="111" t="n"/>
      <c r="QV39" s="111" t="n"/>
      <c r="QW39" s="111" t="n"/>
      <c r="QX39" s="111" t="n"/>
      <c r="QY39" s="111" t="n"/>
      <c r="QZ39" s="111" t="n"/>
      <c r="RA39" s="111" t="n"/>
      <c r="RB39" s="111" t="n"/>
      <c r="RC39" s="111" t="n"/>
      <c r="RD39" s="111" t="n"/>
      <c r="RE39" s="111" t="n"/>
      <c r="RF39" s="111" t="n"/>
      <c r="RG39" s="111" t="n"/>
      <c r="RH39" s="111" t="n"/>
      <c r="RI39" s="111" t="n"/>
      <c r="RJ39" s="111" t="n"/>
      <c r="RK39" s="111" t="n"/>
      <c r="RL39" s="111" t="n"/>
      <c r="RM39" s="111" t="n"/>
      <c r="RN39" s="111" t="n"/>
      <c r="RO39" s="111" t="n"/>
      <c r="RP39" s="111" t="n"/>
      <c r="RQ39" s="111" t="n"/>
      <c r="RR39" s="111" t="n"/>
      <c r="RS39" s="111" t="n"/>
      <c r="RT39" s="111" t="n"/>
      <c r="RU39" s="111" t="n"/>
      <c r="RV39" s="111" t="n"/>
      <c r="RW39" s="111" t="n"/>
      <c r="RX39" s="111" t="n"/>
      <c r="RY39" s="111" t="n"/>
      <c r="RZ39" s="111" t="n"/>
      <c r="SA39" s="111" t="n"/>
      <c r="SB39" s="111" t="n"/>
      <c r="SC39" s="111" t="n"/>
      <c r="SD39" s="111" t="n"/>
      <c r="SE39" s="111" t="n"/>
      <c r="SF39" s="111" t="n"/>
      <c r="SG39" s="111" t="n"/>
      <c r="SH39" s="111" t="n"/>
      <c r="SI39" s="111" t="n"/>
      <c r="SJ39" s="111" t="n"/>
      <c r="SK39" s="111" t="n"/>
    </row>
    <row r="40" ht="12.75" customFormat="1" customHeight="1" s="137">
      <c r="A40" s="142" t="n"/>
      <c r="B40" s="154" t="n"/>
      <c r="C40" s="144" t="n"/>
      <c r="D40" s="142" t="n"/>
      <c r="E40" s="142" t="n"/>
      <c r="F40" s="142" t="n"/>
      <c r="G40" s="262" t="n"/>
      <c r="H40" s="262">
        <f>WORKDAY(G40,I40-1,holidays)</f>
        <v/>
      </c>
      <c r="I40" s="149" t="n"/>
      <c r="J40" s="150" t="n"/>
      <c r="K40" s="151">
        <f>IF(OR(G40=0,H40=0),0,H40-G40+1)</f>
        <v/>
      </c>
      <c r="L40" s="152">
        <f>MIN(K40,WORKDAY(G40,ROUNDDOWN(J40*I40,0),holidays)-G40)</f>
        <v/>
      </c>
      <c r="M40" s="151">
        <f>K40-L40</f>
        <v/>
      </c>
      <c r="N40" s="145" t="n"/>
      <c r="P40" s="111" t="n"/>
      <c r="Q40" s="111" t="n"/>
      <c r="R40" s="111" t="n"/>
      <c r="S40" s="111" t="n"/>
      <c r="T40" s="111" t="n"/>
      <c r="U40" s="111" t="n"/>
      <c r="V40" s="111" t="n"/>
      <c r="W40" s="111" t="n"/>
      <c r="X40" s="111" t="n"/>
      <c r="Y40" s="111" t="n"/>
      <c r="Z40" s="111" t="n"/>
      <c r="AA40" s="111" t="n"/>
      <c r="AB40" s="111" t="n"/>
      <c r="AC40" s="111" t="n"/>
      <c r="AD40" s="111" t="n"/>
      <c r="AE40" s="111" t="n"/>
      <c r="AF40" s="111" t="n"/>
      <c r="AG40" s="111" t="n"/>
      <c r="AH40" s="111" t="n"/>
      <c r="AI40" s="111" t="n"/>
      <c r="AJ40" s="111" t="n"/>
      <c r="AK40" s="111" t="n"/>
      <c r="AL40" s="111" t="n"/>
      <c r="AM40" s="111" t="n"/>
      <c r="AN40" s="111" t="n"/>
      <c r="AO40" s="111" t="n"/>
      <c r="AP40" s="111" t="n"/>
      <c r="AQ40" s="111" t="n"/>
      <c r="AR40" s="111" t="n"/>
      <c r="AS40" s="111" t="n"/>
      <c r="AT40" s="111" t="n"/>
      <c r="AU40" s="111" t="n"/>
      <c r="AV40" s="111" t="n"/>
      <c r="AW40" s="111" t="n"/>
      <c r="AX40" s="111" t="n"/>
      <c r="AY40" s="111" t="n"/>
      <c r="AZ40" s="111"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1" t="n"/>
      <c r="CF40" s="111" t="n"/>
      <c r="CG40" s="111" t="n"/>
      <c r="CH40" s="111" t="n"/>
      <c r="CI40" s="111" t="n"/>
      <c r="CJ40" s="111" t="n"/>
      <c r="CK40" s="111" t="n"/>
      <c r="CL40" s="111" t="n"/>
      <c r="CM40" s="111" t="n"/>
      <c r="CN40" s="111" t="n"/>
      <c r="CO40" s="111" t="n"/>
      <c r="CP40" s="111" t="n"/>
      <c r="CQ40" s="111" t="n"/>
      <c r="CR40" s="111" t="n"/>
      <c r="CS40" s="111" t="n"/>
      <c r="CT40" s="111" t="n"/>
      <c r="CU40" s="111" t="n"/>
      <c r="CV40" s="111" t="n"/>
      <c r="CW40" s="111" t="n"/>
      <c r="CX40" s="111" t="n"/>
      <c r="CY40" s="111" t="n"/>
      <c r="CZ40" s="111" t="n"/>
      <c r="DA40" s="111" t="n"/>
      <c r="DB40" s="111" t="n"/>
      <c r="DC40" s="111" t="n"/>
      <c r="DD40" s="111" t="n"/>
      <c r="DE40" s="111" t="n"/>
      <c r="DF40" s="111" t="n"/>
      <c r="DG40" s="111" t="n"/>
      <c r="DH40" s="111" t="n"/>
      <c r="DI40" s="111" t="n"/>
      <c r="DJ40" s="111" t="n"/>
      <c r="DK40" s="111" t="n"/>
      <c r="DL40" s="111" t="n"/>
      <c r="DM40" s="111" t="n"/>
      <c r="DN40" s="111" t="n"/>
      <c r="DO40" s="111" t="n"/>
      <c r="DP40" s="111" t="n"/>
      <c r="DQ40" s="111" t="n"/>
      <c r="DR40" s="111" t="n"/>
      <c r="DS40" s="111" t="n"/>
      <c r="DT40" s="111" t="n"/>
      <c r="DU40" s="111" t="n"/>
      <c r="DV40" s="111" t="n"/>
      <c r="DW40" s="111" t="n"/>
      <c r="DX40" s="111" t="n"/>
      <c r="DY40" s="111" t="n"/>
      <c r="DZ40" s="111" t="n"/>
      <c r="EA40" s="111" t="n"/>
      <c r="EB40" s="111" t="n"/>
      <c r="EC40" s="111" t="n"/>
      <c r="ED40" s="111" t="n"/>
      <c r="EE40" s="111" t="n"/>
      <c r="EF40" s="111" t="n"/>
      <c r="EG40" s="111" t="n"/>
      <c r="EH40" s="111" t="n"/>
      <c r="EI40" s="111" t="n"/>
      <c r="EJ40" s="111" t="n"/>
      <c r="EK40" s="111" t="n"/>
      <c r="EL40" s="111" t="n"/>
      <c r="EM40" s="111" t="n"/>
      <c r="EN40" s="111" t="n"/>
      <c r="EO40" s="111" t="n"/>
      <c r="EP40" s="111" t="n"/>
      <c r="EQ40" s="111" t="n"/>
      <c r="ER40" s="111" t="n"/>
      <c r="ES40" s="111" t="n"/>
      <c r="ET40" s="111" t="n"/>
      <c r="EU40" s="111" t="n"/>
      <c r="EV40" s="111" t="n"/>
      <c r="EW40" s="111" t="n"/>
      <c r="EX40" s="111" t="n"/>
      <c r="EY40" s="111" t="n"/>
      <c r="EZ40" s="111" t="n"/>
      <c r="FA40" s="111" t="n"/>
      <c r="FB40" s="111" t="n"/>
      <c r="FC40" s="111" t="n"/>
      <c r="FD40" s="111" t="n"/>
      <c r="FE40" s="111" t="n"/>
      <c r="FF40" s="111" t="n"/>
      <c r="FG40" s="111" t="n"/>
      <c r="FH40" s="111" t="n"/>
      <c r="FI40" s="111" t="n"/>
      <c r="FJ40" s="111" t="n"/>
      <c r="FK40" s="111" t="n"/>
      <c r="FL40" s="111" t="n"/>
      <c r="FM40" s="111" t="n"/>
      <c r="FN40" s="111" t="n"/>
      <c r="FO40" s="111" t="n"/>
      <c r="FP40" s="111" t="n"/>
      <c r="FQ40" s="111" t="n"/>
      <c r="FR40" s="111" t="n"/>
      <c r="FS40" s="111" t="n"/>
      <c r="FT40" s="111" t="n"/>
      <c r="FU40" s="111" t="n"/>
      <c r="FV40" s="111" t="n"/>
      <c r="FW40" s="111" t="n"/>
      <c r="FX40" s="111" t="n"/>
      <c r="FY40" s="111" t="n"/>
      <c r="FZ40" s="111" t="n"/>
      <c r="GA40" s="111" t="n"/>
      <c r="GB40" s="111" t="n"/>
      <c r="GC40" s="111" t="n"/>
      <c r="GD40" s="111" t="n"/>
      <c r="GE40" s="111" t="n"/>
      <c r="GF40" s="111" t="n"/>
      <c r="GG40" s="111" t="n"/>
      <c r="GH40" s="111" t="n"/>
      <c r="GI40" s="111" t="n"/>
      <c r="GJ40" s="111" t="n"/>
      <c r="GK40" s="111" t="n"/>
      <c r="GL40" s="111" t="n"/>
      <c r="GM40" s="111" t="n"/>
      <c r="GN40" s="111" t="n"/>
      <c r="GO40" s="111" t="n"/>
      <c r="GP40" s="111" t="n"/>
      <c r="GQ40" s="111" t="n"/>
      <c r="GR40" s="111" t="n"/>
      <c r="GS40" s="111" t="n"/>
      <c r="GT40" s="111" t="n"/>
      <c r="GU40" s="111" t="n"/>
      <c r="GV40" s="111" t="n"/>
      <c r="GW40" s="111" t="n"/>
      <c r="GX40" s="111" t="n"/>
      <c r="GY40" s="111" t="n"/>
      <c r="GZ40" s="111" t="n"/>
      <c r="HA40" s="111" t="n"/>
      <c r="HB40" s="111" t="n"/>
      <c r="HC40" s="111" t="n"/>
      <c r="HD40" s="111" t="n"/>
      <c r="HE40" s="111" t="n"/>
      <c r="HF40" s="111" t="n"/>
      <c r="HG40" s="111" t="n"/>
      <c r="HH40" s="111" t="n"/>
      <c r="HI40" s="111" t="n"/>
      <c r="HJ40" s="111" t="n"/>
      <c r="HK40" s="111" t="n"/>
      <c r="HL40" s="111" t="n"/>
      <c r="HM40" s="111" t="n"/>
      <c r="HN40" s="111" t="n"/>
      <c r="HO40" s="111" t="n"/>
      <c r="HP40" s="111" t="n"/>
      <c r="HQ40" s="111" t="n"/>
      <c r="HR40" s="111" t="n"/>
      <c r="HS40" s="111" t="n"/>
      <c r="HT40" s="111" t="n"/>
      <c r="HU40" s="111" t="n"/>
      <c r="HV40" s="111" t="n"/>
      <c r="HW40" s="111" t="n"/>
      <c r="HX40" s="111" t="n"/>
      <c r="HY40" s="111" t="n"/>
      <c r="HZ40" s="111" t="n"/>
      <c r="IA40" s="111" t="n"/>
      <c r="IB40" s="111" t="n"/>
      <c r="IC40" s="111" t="n"/>
      <c r="ID40" s="111" t="n"/>
      <c r="IE40" s="111" t="n"/>
      <c r="IF40" s="111" t="n"/>
      <c r="IG40" s="111" t="n"/>
      <c r="IH40" s="111" t="n"/>
      <c r="II40" s="111" t="n"/>
      <c r="IJ40" s="111" t="n"/>
      <c r="IK40" s="111" t="n"/>
      <c r="IL40" s="111" t="n"/>
      <c r="IM40" s="111" t="n"/>
      <c r="IN40" s="111" t="n"/>
      <c r="IO40" s="111" t="n"/>
      <c r="IP40" s="111" t="n"/>
      <c r="IQ40" s="111" t="n"/>
      <c r="IR40" s="111" t="n"/>
      <c r="IS40" s="111" t="n"/>
      <c r="IT40" s="111" t="n"/>
      <c r="IU40" s="111" t="n"/>
      <c r="IV40" s="111" t="n"/>
      <c r="IW40" s="111" t="n"/>
      <c r="IX40" s="111" t="n"/>
      <c r="IY40" s="111" t="n"/>
      <c r="IZ40" s="111" t="n"/>
      <c r="JA40" s="111" t="n"/>
      <c r="JB40" s="111" t="n"/>
      <c r="JC40" s="111" t="n"/>
      <c r="JD40" s="111" t="n"/>
      <c r="JE40" s="111" t="n"/>
      <c r="JF40" s="111" t="n"/>
      <c r="JG40" s="111" t="n"/>
      <c r="JH40" s="111" t="n"/>
      <c r="JI40" s="111" t="n"/>
      <c r="JJ40" s="111" t="n"/>
      <c r="JK40" s="111" t="n"/>
      <c r="JL40" s="111" t="n"/>
      <c r="JM40" s="111" t="n"/>
      <c r="JN40" s="111" t="n"/>
      <c r="JO40" s="111" t="n"/>
      <c r="JP40" s="111" t="n"/>
      <c r="JQ40" s="111" t="n"/>
      <c r="JR40" s="111" t="n"/>
      <c r="JS40" s="111" t="n"/>
      <c r="JT40" s="111" t="n"/>
      <c r="JU40" s="111" t="n"/>
      <c r="JV40" s="111" t="n"/>
      <c r="JW40" s="111" t="n"/>
      <c r="JX40" s="111" t="n"/>
      <c r="JY40" s="111" t="n"/>
      <c r="JZ40" s="111" t="n"/>
      <c r="KA40" s="111" t="n"/>
      <c r="KB40" s="111" t="n"/>
      <c r="KC40" s="111" t="n"/>
      <c r="KD40" s="111" t="n"/>
      <c r="KE40" s="111" t="n"/>
      <c r="KF40" s="111" t="n"/>
      <c r="KG40" s="111" t="n"/>
      <c r="KH40" s="111" t="n"/>
      <c r="KI40" s="111" t="n"/>
      <c r="KJ40" s="111" t="n"/>
      <c r="KK40" s="111" t="n"/>
      <c r="KL40" s="111" t="n"/>
      <c r="KM40" s="111" t="n"/>
      <c r="KN40" s="111" t="n"/>
      <c r="KO40" s="111" t="n"/>
      <c r="KP40" s="111" t="n"/>
      <c r="KQ40" s="111" t="n"/>
      <c r="KR40" s="111" t="n"/>
      <c r="KS40" s="111" t="n"/>
      <c r="KT40" s="111" t="n"/>
      <c r="KU40" s="111" t="n"/>
      <c r="KV40" s="111" t="n"/>
      <c r="KW40" s="111" t="n"/>
      <c r="KX40" s="111" t="n"/>
      <c r="KY40" s="111" t="n"/>
      <c r="KZ40" s="111" t="n"/>
      <c r="LA40" s="111" t="n"/>
      <c r="LB40" s="111" t="n"/>
      <c r="LC40" s="111" t="n"/>
      <c r="LD40" s="111" t="n"/>
      <c r="LE40" s="111" t="n"/>
      <c r="LF40" s="111" t="n"/>
      <c r="LG40" s="111" t="n"/>
      <c r="LH40" s="111" t="n"/>
      <c r="LI40" s="111" t="n"/>
      <c r="LJ40" s="111" t="n"/>
      <c r="LK40" s="111" t="n"/>
      <c r="LL40" s="111" t="n"/>
      <c r="LM40" s="111" t="n"/>
      <c r="LN40" s="111" t="n"/>
      <c r="LO40" s="111" t="n"/>
      <c r="LP40" s="111" t="n"/>
      <c r="LQ40" s="111" t="n"/>
      <c r="LR40" s="111" t="n"/>
      <c r="LS40" s="111" t="n"/>
      <c r="LT40" s="111" t="n"/>
      <c r="LU40" s="111" t="n"/>
      <c r="LV40" s="111" t="n"/>
      <c r="LW40" s="111" t="n"/>
      <c r="LX40" s="111" t="n"/>
      <c r="LY40" s="111" t="n"/>
      <c r="LZ40" s="111" t="n"/>
      <c r="MA40" s="111" t="n"/>
      <c r="MB40" s="111" t="n"/>
      <c r="MC40" s="111" t="n"/>
      <c r="MD40" s="111" t="n"/>
      <c r="ME40" s="111" t="n"/>
      <c r="MF40" s="111" t="n"/>
      <c r="MG40" s="111" t="n"/>
      <c r="MH40" s="111" t="n"/>
      <c r="MI40" s="111" t="n"/>
      <c r="MJ40" s="111" t="n"/>
      <c r="MK40" s="111" t="n"/>
      <c r="ML40" s="111" t="n"/>
      <c r="MM40" s="111" t="n"/>
      <c r="MN40" s="111" t="n"/>
      <c r="MO40" s="111" t="n"/>
      <c r="MP40" s="111" t="n"/>
      <c r="MQ40" s="111" t="n"/>
      <c r="MR40" s="111" t="n"/>
      <c r="MS40" s="111" t="n"/>
      <c r="MT40" s="111" t="n"/>
      <c r="MU40" s="111" t="n"/>
      <c r="MV40" s="111" t="n"/>
      <c r="MW40" s="111" t="n"/>
      <c r="MX40" s="111" t="n"/>
      <c r="MY40" s="111" t="n"/>
      <c r="MZ40" s="111" t="n"/>
      <c r="NA40" s="111" t="n"/>
      <c r="NB40" s="111" t="n"/>
      <c r="NC40" s="111" t="n"/>
      <c r="ND40" s="111" t="n"/>
      <c r="NE40" s="111" t="n"/>
      <c r="NF40" s="111" t="n"/>
      <c r="NG40" s="111" t="n"/>
      <c r="NH40" s="111" t="n"/>
      <c r="NI40" s="111" t="n"/>
      <c r="NJ40" s="111" t="n"/>
      <c r="NK40" s="111" t="n"/>
      <c r="NL40" s="111" t="n"/>
      <c r="NM40" s="111" t="n"/>
      <c r="NN40" s="111" t="n"/>
      <c r="NO40" s="111" t="n"/>
      <c r="NP40" s="111" t="n"/>
      <c r="NQ40" s="111" t="n"/>
      <c r="NR40" s="111" t="n"/>
      <c r="NS40" s="111" t="n"/>
      <c r="NT40" s="111" t="n"/>
      <c r="NU40" s="111" t="n"/>
      <c r="NV40" s="111" t="n"/>
      <c r="NW40" s="111" t="n"/>
      <c r="NX40" s="111" t="n"/>
      <c r="NY40" s="111" t="n"/>
      <c r="NZ40" s="111" t="n"/>
      <c r="OA40" s="111" t="n"/>
      <c r="OB40" s="111" t="n"/>
      <c r="OC40" s="111" t="n"/>
      <c r="OD40" s="111" t="n"/>
      <c r="OE40" s="111" t="n"/>
      <c r="OF40" s="111" t="n"/>
      <c r="OG40" s="111" t="n"/>
      <c r="OH40" s="111" t="n"/>
      <c r="OI40" s="111" t="n"/>
      <c r="OJ40" s="111" t="n"/>
      <c r="OK40" s="111" t="n"/>
      <c r="OL40" s="111" t="n"/>
      <c r="OM40" s="111" t="n"/>
      <c r="ON40" s="111" t="n"/>
      <c r="OO40" s="111" t="n"/>
      <c r="OP40" s="111" t="n"/>
      <c r="OQ40" s="111" t="n"/>
      <c r="OR40" s="111" t="n"/>
      <c r="OS40" s="111" t="n"/>
      <c r="OT40" s="111" t="n"/>
      <c r="OU40" s="111" t="n"/>
      <c r="OV40" s="111" t="n"/>
      <c r="OW40" s="111" t="n"/>
      <c r="OX40" s="111" t="n"/>
      <c r="OY40" s="111" t="n"/>
      <c r="OZ40" s="111" t="n"/>
      <c r="PA40" s="111" t="n"/>
      <c r="PB40" s="111" t="n"/>
      <c r="PC40" s="111" t="n"/>
      <c r="PD40" s="111" t="n"/>
      <c r="PE40" s="111" t="n"/>
      <c r="PF40" s="111" t="n"/>
      <c r="PG40" s="111" t="n"/>
      <c r="PH40" s="111" t="n"/>
      <c r="PI40" s="111" t="n"/>
      <c r="PJ40" s="111" t="n"/>
      <c r="PK40" s="111" t="n"/>
      <c r="PL40" s="111" t="n"/>
      <c r="PM40" s="111" t="n"/>
      <c r="PN40" s="111" t="n"/>
      <c r="PO40" s="111" t="n"/>
      <c r="PP40" s="111" t="n"/>
      <c r="PQ40" s="111" t="n"/>
      <c r="PR40" s="111" t="n"/>
      <c r="PS40" s="111" t="n"/>
      <c r="PT40" s="111" t="n"/>
      <c r="PU40" s="111" t="n"/>
      <c r="PV40" s="111" t="n"/>
      <c r="PW40" s="111" t="n"/>
      <c r="PX40" s="111" t="n"/>
      <c r="PY40" s="111" t="n"/>
      <c r="PZ40" s="111" t="n"/>
      <c r="QA40" s="111" t="n"/>
      <c r="QB40" s="111" t="n"/>
      <c r="QC40" s="111" t="n"/>
      <c r="QD40" s="111" t="n"/>
      <c r="QE40" s="111" t="n"/>
      <c r="QF40" s="111" t="n"/>
      <c r="QG40" s="111" t="n"/>
      <c r="QH40" s="111" t="n"/>
      <c r="QI40" s="111" t="n"/>
      <c r="QJ40" s="111" t="n"/>
      <c r="QK40" s="111" t="n"/>
      <c r="QL40" s="111" t="n"/>
      <c r="QM40" s="111" t="n"/>
      <c r="QN40" s="111" t="n"/>
      <c r="QO40" s="111" t="n"/>
      <c r="QP40" s="111" t="n"/>
      <c r="QQ40" s="111" t="n"/>
      <c r="QR40" s="111" t="n"/>
      <c r="QS40" s="111" t="n"/>
      <c r="QT40" s="111" t="n"/>
      <c r="QU40" s="111" t="n"/>
      <c r="QV40" s="111" t="n"/>
      <c r="QW40" s="111" t="n"/>
      <c r="QX40" s="111" t="n"/>
      <c r="QY40" s="111" t="n"/>
      <c r="QZ40" s="111" t="n"/>
      <c r="RA40" s="111" t="n"/>
      <c r="RB40" s="111" t="n"/>
      <c r="RC40" s="111" t="n"/>
      <c r="RD40" s="111" t="n"/>
      <c r="RE40" s="111" t="n"/>
      <c r="RF40" s="111" t="n"/>
      <c r="RG40" s="111" t="n"/>
      <c r="RH40" s="111" t="n"/>
      <c r="RI40" s="111" t="n"/>
      <c r="RJ40" s="111" t="n"/>
      <c r="RK40" s="111" t="n"/>
      <c r="RL40" s="111" t="n"/>
      <c r="RM40" s="111" t="n"/>
      <c r="RN40" s="111" t="n"/>
      <c r="RO40" s="111" t="n"/>
      <c r="RP40" s="111" t="n"/>
      <c r="RQ40" s="111" t="n"/>
      <c r="RR40" s="111" t="n"/>
      <c r="RS40" s="111" t="n"/>
      <c r="RT40" s="111" t="n"/>
      <c r="RU40" s="111" t="n"/>
      <c r="RV40" s="111" t="n"/>
      <c r="RW40" s="111" t="n"/>
      <c r="RX40" s="111" t="n"/>
      <c r="RY40" s="111" t="n"/>
      <c r="RZ40" s="111" t="n"/>
      <c r="SA40" s="111" t="n"/>
      <c r="SB40" s="111" t="n"/>
      <c r="SC40" s="111" t="n"/>
      <c r="SD40" s="111" t="n"/>
      <c r="SE40" s="111" t="n"/>
      <c r="SF40" s="111" t="n"/>
      <c r="SG40" s="111" t="n"/>
      <c r="SH40" s="111" t="n"/>
      <c r="SI40" s="111" t="n"/>
      <c r="SJ40" s="111" t="n"/>
      <c r="SK40" s="111" t="n"/>
    </row>
    <row r="41" ht="12.75" customFormat="1" customHeight="1" s="137">
      <c r="A41" s="142" t="n"/>
      <c r="B41" s="154" t="n"/>
      <c r="C41" s="144" t="n"/>
      <c r="D41" s="142" t="n"/>
      <c r="E41" s="142" t="n"/>
      <c r="F41" s="142" t="n"/>
      <c r="G41" s="262" t="n"/>
      <c r="H41" s="262">
        <f>WORKDAY(G41,I41-1,holidays)</f>
        <v/>
      </c>
      <c r="I41" s="149" t="n"/>
      <c r="J41" s="150" t="n"/>
      <c r="K41" s="151">
        <f>IF(OR(G41=0,H41=0),0,H41-G41+1)</f>
        <v/>
      </c>
      <c r="L41" s="152">
        <f>MIN(K41,WORKDAY(G41,ROUNDDOWN(J41*I41,0),holidays)-G41)</f>
        <v/>
      </c>
      <c r="M41" s="151">
        <f>K41-L41</f>
        <v/>
      </c>
      <c r="N41" s="145" t="n"/>
      <c r="P41" s="111" t="n"/>
      <c r="Q41" s="111" t="n"/>
      <c r="R41" s="111" t="n"/>
      <c r="S41" s="111" t="n"/>
      <c r="T41" s="111" t="n"/>
      <c r="U41" s="111" t="n"/>
      <c r="V41" s="111" t="n"/>
      <c r="W41" s="111" t="n"/>
      <c r="X41" s="111" t="n"/>
      <c r="Y41" s="111" t="n"/>
      <c r="Z41" s="111" t="n"/>
      <c r="AA41" s="111" t="n"/>
      <c r="AB41" s="111" t="n"/>
      <c r="AC41" s="111" t="n"/>
      <c r="AD41" s="111" t="n"/>
      <c r="AE41" s="111" t="n"/>
      <c r="AF41" s="111" t="n"/>
      <c r="AG41" s="111" t="n"/>
      <c r="AH41" s="111" t="n"/>
      <c r="AI41" s="111" t="n"/>
      <c r="AJ41" s="111" t="n"/>
      <c r="AK41" s="111" t="n"/>
      <c r="AL41" s="111" t="n"/>
      <c r="AM41" s="111" t="n"/>
      <c r="AN41" s="111" t="n"/>
      <c r="AO41" s="111" t="n"/>
      <c r="AP41" s="111" t="n"/>
      <c r="AQ41" s="111" t="n"/>
      <c r="AR41" s="111" t="n"/>
      <c r="AS41" s="111" t="n"/>
      <c r="AT41" s="111" t="n"/>
      <c r="AU41" s="111" t="n"/>
      <c r="AV41" s="111" t="n"/>
      <c r="AW41" s="111" t="n"/>
      <c r="AX41" s="111" t="n"/>
      <c r="AY41" s="111" t="n"/>
      <c r="AZ41" s="111"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1" t="n"/>
      <c r="CF41" s="111" t="n"/>
      <c r="CG41" s="111" t="n"/>
      <c r="CH41" s="111" t="n"/>
      <c r="CI41" s="111" t="n"/>
      <c r="CJ41" s="111" t="n"/>
      <c r="CK41" s="111" t="n"/>
      <c r="CL41" s="111" t="n"/>
      <c r="CM41" s="111" t="n"/>
      <c r="CN41" s="111" t="n"/>
      <c r="CO41" s="111" t="n"/>
      <c r="CP41" s="111" t="n"/>
      <c r="CQ41" s="111" t="n"/>
      <c r="CR41" s="111" t="n"/>
      <c r="CS41" s="111" t="n"/>
      <c r="CT41" s="111" t="n"/>
      <c r="CU41" s="111" t="n"/>
      <c r="CV41" s="111" t="n"/>
      <c r="CW41" s="111" t="n"/>
      <c r="CX41" s="111" t="n"/>
      <c r="CY41" s="111" t="n"/>
      <c r="CZ41" s="111" t="n"/>
      <c r="DA41" s="111" t="n"/>
      <c r="DB41" s="111" t="n"/>
      <c r="DC41" s="111" t="n"/>
      <c r="DD41" s="111" t="n"/>
      <c r="DE41" s="111" t="n"/>
      <c r="DF41" s="111" t="n"/>
      <c r="DG41" s="111" t="n"/>
      <c r="DH41" s="111" t="n"/>
      <c r="DI41" s="111" t="n"/>
      <c r="DJ41" s="111" t="n"/>
      <c r="DK41" s="111" t="n"/>
      <c r="DL41" s="111" t="n"/>
      <c r="DM41" s="111" t="n"/>
      <c r="DN41" s="111" t="n"/>
      <c r="DO41" s="111" t="n"/>
      <c r="DP41" s="111" t="n"/>
      <c r="DQ41" s="111" t="n"/>
      <c r="DR41" s="111" t="n"/>
      <c r="DS41" s="111" t="n"/>
      <c r="DT41" s="111" t="n"/>
      <c r="DU41" s="111" t="n"/>
      <c r="DV41" s="111" t="n"/>
      <c r="DW41" s="111" t="n"/>
      <c r="DX41" s="111" t="n"/>
      <c r="DY41" s="111" t="n"/>
      <c r="DZ41" s="111" t="n"/>
      <c r="EA41" s="111" t="n"/>
      <c r="EB41" s="111" t="n"/>
      <c r="EC41" s="111" t="n"/>
      <c r="ED41" s="111" t="n"/>
      <c r="EE41" s="111" t="n"/>
      <c r="EF41" s="111" t="n"/>
      <c r="EG41" s="111" t="n"/>
      <c r="EH41" s="111" t="n"/>
      <c r="EI41" s="111" t="n"/>
      <c r="EJ41" s="111" t="n"/>
      <c r="EK41" s="111" t="n"/>
      <c r="EL41" s="111" t="n"/>
      <c r="EM41" s="111" t="n"/>
      <c r="EN41" s="111" t="n"/>
      <c r="EO41" s="111" t="n"/>
      <c r="EP41" s="111" t="n"/>
      <c r="EQ41" s="111" t="n"/>
      <c r="ER41" s="111" t="n"/>
      <c r="ES41" s="111" t="n"/>
      <c r="ET41" s="111" t="n"/>
      <c r="EU41" s="111" t="n"/>
      <c r="EV41" s="111" t="n"/>
      <c r="EW41" s="111" t="n"/>
      <c r="EX41" s="111" t="n"/>
      <c r="EY41" s="111" t="n"/>
      <c r="EZ41" s="111" t="n"/>
      <c r="FA41" s="111" t="n"/>
      <c r="FB41" s="111" t="n"/>
      <c r="FC41" s="111" t="n"/>
      <c r="FD41" s="111" t="n"/>
      <c r="FE41" s="111" t="n"/>
      <c r="FF41" s="111" t="n"/>
      <c r="FG41" s="111" t="n"/>
      <c r="FH41" s="111" t="n"/>
      <c r="FI41" s="111" t="n"/>
      <c r="FJ41" s="111" t="n"/>
      <c r="FK41" s="111" t="n"/>
      <c r="FL41" s="111" t="n"/>
      <c r="FM41" s="111" t="n"/>
      <c r="FN41" s="111" t="n"/>
      <c r="FO41" s="111" t="n"/>
      <c r="FP41" s="111" t="n"/>
      <c r="FQ41" s="111" t="n"/>
      <c r="FR41" s="111" t="n"/>
      <c r="FS41" s="111" t="n"/>
      <c r="FT41" s="111" t="n"/>
      <c r="FU41" s="111" t="n"/>
      <c r="FV41" s="111" t="n"/>
      <c r="FW41" s="111" t="n"/>
      <c r="FX41" s="111" t="n"/>
      <c r="FY41" s="111" t="n"/>
      <c r="FZ41" s="111" t="n"/>
      <c r="GA41" s="111" t="n"/>
      <c r="GB41" s="111" t="n"/>
      <c r="GC41" s="111" t="n"/>
      <c r="GD41" s="111" t="n"/>
      <c r="GE41" s="111" t="n"/>
      <c r="GF41" s="111" t="n"/>
      <c r="GG41" s="111" t="n"/>
      <c r="GH41" s="111" t="n"/>
      <c r="GI41" s="111" t="n"/>
      <c r="GJ41" s="111" t="n"/>
      <c r="GK41" s="111" t="n"/>
      <c r="GL41" s="111" t="n"/>
      <c r="GM41" s="111" t="n"/>
      <c r="GN41" s="111" t="n"/>
      <c r="GO41" s="111" t="n"/>
      <c r="GP41" s="111" t="n"/>
      <c r="GQ41" s="111" t="n"/>
      <c r="GR41" s="111" t="n"/>
      <c r="GS41" s="111" t="n"/>
      <c r="GT41" s="111" t="n"/>
      <c r="GU41" s="111" t="n"/>
      <c r="GV41" s="111" t="n"/>
      <c r="GW41" s="111" t="n"/>
      <c r="GX41" s="111" t="n"/>
      <c r="GY41" s="111" t="n"/>
      <c r="GZ41" s="111" t="n"/>
      <c r="HA41" s="111" t="n"/>
      <c r="HB41" s="111" t="n"/>
      <c r="HC41" s="111" t="n"/>
      <c r="HD41" s="111" t="n"/>
      <c r="HE41" s="111" t="n"/>
      <c r="HF41" s="111" t="n"/>
      <c r="HG41" s="111" t="n"/>
      <c r="HH41" s="111" t="n"/>
      <c r="HI41" s="111" t="n"/>
      <c r="HJ41" s="111" t="n"/>
      <c r="HK41" s="111" t="n"/>
      <c r="HL41" s="111" t="n"/>
      <c r="HM41" s="111" t="n"/>
      <c r="HN41" s="111" t="n"/>
      <c r="HO41" s="111" t="n"/>
      <c r="HP41" s="111" t="n"/>
      <c r="HQ41" s="111" t="n"/>
      <c r="HR41" s="111" t="n"/>
      <c r="HS41" s="111" t="n"/>
      <c r="HT41" s="111" t="n"/>
      <c r="HU41" s="111" t="n"/>
      <c r="HV41" s="111" t="n"/>
      <c r="HW41" s="111" t="n"/>
      <c r="HX41" s="111" t="n"/>
      <c r="HY41" s="111" t="n"/>
      <c r="HZ41" s="111" t="n"/>
      <c r="IA41" s="111" t="n"/>
      <c r="IB41" s="111" t="n"/>
      <c r="IC41" s="111" t="n"/>
      <c r="ID41" s="111" t="n"/>
      <c r="IE41" s="111" t="n"/>
      <c r="IF41" s="111" t="n"/>
      <c r="IG41" s="111" t="n"/>
      <c r="IH41" s="111" t="n"/>
      <c r="II41" s="111" t="n"/>
      <c r="IJ41" s="111" t="n"/>
      <c r="IK41" s="111" t="n"/>
      <c r="IL41" s="111" t="n"/>
      <c r="IM41" s="111" t="n"/>
      <c r="IN41" s="111" t="n"/>
      <c r="IO41" s="111" t="n"/>
      <c r="IP41" s="111" t="n"/>
      <c r="IQ41" s="111" t="n"/>
      <c r="IR41" s="111" t="n"/>
      <c r="IS41" s="111" t="n"/>
      <c r="IT41" s="111" t="n"/>
      <c r="IU41" s="111" t="n"/>
      <c r="IV41" s="111" t="n"/>
      <c r="IW41" s="111" t="n"/>
      <c r="IX41" s="111" t="n"/>
      <c r="IY41" s="111" t="n"/>
      <c r="IZ41" s="111" t="n"/>
      <c r="JA41" s="111" t="n"/>
      <c r="JB41" s="111" t="n"/>
      <c r="JC41" s="111" t="n"/>
      <c r="JD41" s="111" t="n"/>
      <c r="JE41" s="111" t="n"/>
      <c r="JF41" s="111" t="n"/>
      <c r="JG41" s="111" t="n"/>
      <c r="JH41" s="111" t="n"/>
      <c r="JI41" s="111" t="n"/>
      <c r="JJ41" s="111" t="n"/>
      <c r="JK41" s="111" t="n"/>
      <c r="JL41" s="111" t="n"/>
      <c r="JM41" s="111" t="n"/>
      <c r="JN41" s="111" t="n"/>
      <c r="JO41" s="111" t="n"/>
      <c r="JP41" s="111" t="n"/>
      <c r="JQ41" s="111" t="n"/>
      <c r="JR41" s="111" t="n"/>
      <c r="JS41" s="111" t="n"/>
      <c r="JT41" s="111" t="n"/>
      <c r="JU41" s="111" t="n"/>
      <c r="JV41" s="111" t="n"/>
      <c r="JW41" s="111" t="n"/>
      <c r="JX41" s="111" t="n"/>
      <c r="JY41" s="111" t="n"/>
      <c r="JZ41" s="111" t="n"/>
      <c r="KA41" s="111" t="n"/>
      <c r="KB41" s="111" t="n"/>
      <c r="KC41" s="111" t="n"/>
      <c r="KD41" s="111" t="n"/>
      <c r="KE41" s="111" t="n"/>
      <c r="KF41" s="111" t="n"/>
      <c r="KG41" s="111" t="n"/>
      <c r="KH41" s="111" t="n"/>
      <c r="KI41" s="111" t="n"/>
      <c r="KJ41" s="111" t="n"/>
      <c r="KK41" s="111" t="n"/>
      <c r="KL41" s="111" t="n"/>
      <c r="KM41" s="111" t="n"/>
      <c r="KN41" s="111" t="n"/>
      <c r="KO41" s="111" t="n"/>
      <c r="KP41" s="111" t="n"/>
      <c r="KQ41" s="111" t="n"/>
      <c r="KR41" s="111" t="n"/>
      <c r="KS41" s="111" t="n"/>
      <c r="KT41" s="111" t="n"/>
      <c r="KU41" s="111" t="n"/>
      <c r="KV41" s="111" t="n"/>
      <c r="KW41" s="111" t="n"/>
      <c r="KX41" s="111" t="n"/>
      <c r="KY41" s="111" t="n"/>
      <c r="KZ41" s="111" t="n"/>
      <c r="LA41" s="111" t="n"/>
      <c r="LB41" s="111" t="n"/>
      <c r="LC41" s="111" t="n"/>
      <c r="LD41" s="111" t="n"/>
      <c r="LE41" s="111" t="n"/>
      <c r="LF41" s="111" t="n"/>
      <c r="LG41" s="111" t="n"/>
      <c r="LH41" s="111" t="n"/>
      <c r="LI41" s="111" t="n"/>
      <c r="LJ41" s="111" t="n"/>
      <c r="LK41" s="111" t="n"/>
      <c r="LL41" s="111" t="n"/>
      <c r="LM41" s="111" t="n"/>
      <c r="LN41" s="111" t="n"/>
      <c r="LO41" s="111" t="n"/>
      <c r="LP41" s="111" t="n"/>
      <c r="LQ41" s="111" t="n"/>
      <c r="LR41" s="111" t="n"/>
      <c r="LS41" s="111" t="n"/>
      <c r="LT41" s="111" t="n"/>
      <c r="LU41" s="111" t="n"/>
      <c r="LV41" s="111" t="n"/>
      <c r="LW41" s="111" t="n"/>
      <c r="LX41" s="111" t="n"/>
      <c r="LY41" s="111" t="n"/>
      <c r="LZ41" s="111" t="n"/>
      <c r="MA41" s="111" t="n"/>
      <c r="MB41" s="111" t="n"/>
      <c r="MC41" s="111" t="n"/>
      <c r="MD41" s="111" t="n"/>
      <c r="ME41" s="111" t="n"/>
      <c r="MF41" s="111" t="n"/>
      <c r="MG41" s="111" t="n"/>
      <c r="MH41" s="111" t="n"/>
      <c r="MI41" s="111" t="n"/>
      <c r="MJ41" s="111" t="n"/>
      <c r="MK41" s="111" t="n"/>
      <c r="ML41" s="111" t="n"/>
      <c r="MM41" s="111" t="n"/>
      <c r="MN41" s="111" t="n"/>
      <c r="MO41" s="111" t="n"/>
      <c r="MP41" s="111" t="n"/>
      <c r="MQ41" s="111" t="n"/>
      <c r="MR41" s="111" t="n"/>
      <c r="MS41" s="111" t="n"/>
      <c r="MT41" s="111" t="n"/>
      <c r="MU41" s="111" t="n"/>
      <c r="MV41" s="111" t="n"/>
      <c r="MW41" s="111" t="n"/>
      <c r="MX41" s="111" t="n"/>
      <c r="MY41" s="111" t="n"/>
      <c r="MZ41" s="111" t="n"/>
      <c r="NA41" s="111" t="n"/>
      <c r="NB41" s="111" t="n"/>
      <c r="NC41" s="111" t="n"/>
      <c r="ND41" s="111" t="n"/>
      <c r="NE41" s="111" t="n"/>
      <c r="NF41" s="111" t="n"/>
      <c r="NG41" s="111" t="n"/>
      <c r="NH41" s="111" t="n"/>
      <c r="NI41" s="111" t="n"/>
      <c r="NJ41" s="111" t="n"/>
      <c r="NK41" s="111" t="n"/>
      <c r="NL41" s="111" t="n"/>
      <c r="NM41" s="111" t="n"/>
      <c r="NN41" s="111" t="n"/>
      <c r="NO41" s="111" t="n"/>
      <c r="NP41" s="111" t="n"/>
      <c r="NQ41" s="111" t="n"/>
      <c r="NR41" s="111" t="n"/>
      <c r="NS41" s="111" t="n"/>
      <c r="NT41" s="111" t="n"/>
      <c r="NU41" s="111" t="n"/>
      <c r="NV41" s="111" t="n"/>
      <c r="NW41" s="111" t="n"/>
      <c r="NX41" s="111" t="n"/>
      <c r="NY41" s="111" t="n"/>
      <c r="NZ41" s="111" t="n"/>
      <c r="OA41" s="111" t="n"/>
      <c r="OB41" s="111" t="n"/>
      <c r="OC41" s="111" t="n"/>
      <c r="OD41" s="111" t="n"/>
      <c r="OE41" s="111" t="n"/>
      <c r="OF41" s="111" t="n"/>
      <c r="OG41" s="111" t="n"/>
      <c r="OH41" s="111" t="n"/>
      <c r="OI41" s="111" t="n"/>
      <c r="OJ41" s="111" t="n"/>
      <c r="OK41" s="111" t="n"/>
      <c r="OL41" s="111" t="n"/>
      <c r="OM41" s="111" t="n"/>
      <c r="ON41" s="111" t="n"/>
      <c r="OO41" s="111" t="n"/>
      <c r="OP41" s="111" t="n"/>
      <c r="OQ41" s="111" t="n"/>
      <c r="OR41" s="111" t="n"/>
      <c r="OS41" s="111" t="n"/>
      <c r="OT41" s="111" t="n"/>
      <c r="OU41" s="111" t="n"/>
      <c r="OV41" s="111" t="n"/>
      <c r="OW41" s="111" t="n"/>
      <c r="OX41" s="111" t="n"/>
      <c r="OY41" s="111" t="n"/>
      <c r="OZ41" s="111" t="n"/>
      <c r="PA41" s="111" t="n"/>
      <c r="PB41" s="111" t="n"/>
      <c r="PC41" s="111" t="n"/>
      <c r="PD41" s="111" t="n"/>
      <c r="PE41" s="111" t="n"/>
      <c r="PF41" s="111" t="n"/>
      <c r="PG41" s="111" t="n"/>
      <c r="PH41" s="111" t="n"/>
      <c r="PI41" s="111" t="n"/>
      <c r="PJ41" s="111" t="n"/>
      <c r="PK41" s="111" t="n"/>
      <c r="PL41" s="111" t="n"/>
      <c r="PM41" s="111" t="n"/>
      <c r="PN41" s="111" t="n"/>
      <c r="PO41" s="111" t="n"/>
      <c r="PP41" s="111" t="n"/>
      <c r="PQ41" s="111" t="n"/>
      <c r="PR41" s="111" t="n"/>
      <c r="PS41" s="111" t="n"/>
      <c r="PT41" s="111" t="n"/>
      <c r="PU41" s="111" t="n"/>
      <c r="PV41" s="111" t="n"/>
      <c r="PW41" s="111" t="n"/>
      <c r="PX41" s="111" t="n"/>
      <c r="PY41" s="111" t="n"/>
      <c r="PZ41" s="111" t="n"/>
      <c r="QA41" s="111" t="n"/>
      <c r="QB41" s="111" t="n"/>
      <c r="QC41" s="111" t="n"/>
      <c r="QD41" s="111" t="n"/>
      <c r="QE41" s="111" t="n"/>
      <c r="QF41" s="111" t="n"/>
      <c r="QG41" s="111" t="n"/>
      <c r="QH41" s="111" t="n"/>
      <c r="QI41" s="111" t="n"/>
      <c r="QJ41" s="111" t="n"/>
      <c r="QK41" s="111" t="n"/>
      <c r="QL41" s="111" t="n"/>
      <c r="QM41" s="111" t="n"/>
      <c r="QN41" s="111" t="n"/>
      <c r="QO41" s="111" t="n"/>
      <c r="QP41" s="111" t="n"/>
      <c r="QQ41" s="111" t="n"/>
      <c r="QR41" s="111" t="n"/>
      <c r="QS41" s="111" t="n"/>
      <c r="QT41" s="111" t="n"/>
      <c r="QU41" s="111" t="n"/>
      <c r="QV41" s="111" t="n"/>
      <c r="QW41" s="111" t="n"/>
      <c r="QX41" s="111" t="n"/>
      <c r="QY41" s="111" t="n"/>
      <c r="QZ41" s="111" t="n"/>
      <c r="RA41" s="111" t="n"/>
      <c r="RB41" s="111" t="n"/>
      <c r="RC41" s="111" t="n"/>
      <c r="RD41" s="111" t="n"/>
      <c r="RE41" s="111" t="n"/>
      <c r="RF41" s="111" t="n"/>
      <c r="RG41" s="111" t="n"/>
      <c r="RH41" s="111" t="n"/>
      <c r="RI41" s="111" t="n"/>
      <c r="RJ41" s="111" t="n"/>
      <c r="RK41" s="111" t="n"/>
      <c r="RL41" s="111" t="n"/>
      <c r="RM41" s="111" t="n"/>
      <c r="RN41" s="111" t="n"/>
      <c r="RO41" s="111" t="n"/>
      <c r="RP41" s="111" t="n"/>
      <c r="RQ41" s="111" t="n"/>
      <c r="RR41" s="111" t="n"/>
      <c r="RS41" s="111" t="n"/>
      <c r="RT41" s="111" t="n"/>
      <c r="RU41" s="111" t="n"/>
      <c r="RV41" s="111" t="n"/>
      <c r="RW41" s="111" t="n"/>
      <c r="RX41" s="111" t="n"/>
      <c r="RY41" s="111" t="n"/>
      <c r="RZ41" s="111" t="n"/>
      <c r="SA41" s="111" t="n"/>
      <c r="SB41" s="111" t="n"/>
      <c r="SC41" s="111" t="n"/>
      <c r="SD41" s="111" t="n"/>
      <c r="SE41" s="111" t="n"/>
      <c r="SF41" s="111" t="n"/>
      <c r="SG41" s="111" t="n"/>
      <c r="SH41" s="111" t="n"/>
      <c r="SI41" s="111" t="n"/>
      <c r="SJ41" s="111" t="n"/>
      <c r="SK41" s="111" t="n"/>
    </row>
    <row r="42" ht="12.75" customFormat="1" customHeight="1" s="137">
      <c r="A42" s="142" t="n"/>
      <c r="B42" s="154" t="n"/>
      <c r="C42" s="144" t="n"/>
      <c r="D42" s="142" t="n"/>
      <c r="E42" s="142" t="n"/>
      <c r="F42" s="142" t="n"/>
      <c r="G42" s="262" t="n"/>
      <c r="H42" s="262">
        <f>WORKDAY(G42,I42-1,holidays)</f>
        <v/>
      </c>
      <c r="I42" s="149" t="n"/>
      <c r="J42" s="150" t="n"/>
      <c r="K42" s="151">
        <f>IF(OR(G42=0,H42=0),0,H42-G42+1)</f>
        <v/>
      </c>
      <c r="L42" s="152">
        <f>MIN(K42,WORKDAY(G42,ROUNDDOWN(J42*I42,0),holidays)-G42)</f>
        <v/>
      </c>
      <c r="M42" s="151">
        <f>K42-L42</f>
        <v/>
      </c>
      <c r="N42" s="145" t="n"/>
      <c r="P42" s="111" t="n"/>
      <c r="Q42" s="111" t="n"/>
      <c r="R42" s="111" t="n"/>
      <c r="S42" s="111" t="n"/>
      <c r="T42" s="111" t="n"/>
      <c r="U42" s="111" t="n"/>
      <c r="V42" s="111" t="n"/>
      <c r="W42" s="111" t="n"/>
      <c r="X42" s="111" t="n"/>
      <c r="Y42" s="111" t="n"/>
      <c r="Z42" s="111" t="n"/>
      <c r="AA42" s="111" t="n"/>
      <c r="AB42" s="111" t="n"/>
      <c r="AC42" s="111" t="n"/>
      <c r="AD42" s="111" t="n"/>
      <c r="AE42" s="111" t="n"/>
      <c r="AF42" s="111" t="n"/>
      <c r="AG42" s="111" t="n"/>
      <c r="AH42" s="111" t="n"/>
      <c r="AI42" s="111" t="n"/>
      <c r="AJ42" s="111" t="n"/>
      <c r="AK42" s="111" t="n"/>
      <c r="AL42" s="111" t="n"/>
      <c r="AM42" s="111" t="n"/>
      <c r="AN42" s="111" t="n"/>
      <c r="AO42" s="111" t="n"/>
      <c r="AP42" s="111" t="n"/>
      <c r="AQ42" s="111" t="n"/>
      <c r="AR42" s="111" t="n"/>
      <c r="AS42" s="111" t="n"/>
      <c r="AT42" s="111" t="n"/>
      <c r="AU42" s="111" t="n"/>
      <c r="AV42" s="111" t="n"/>
      <c r="AW42" s="111" t="n"/>
      <c r="AX42" s="111" t="n"/>
      <c r="AY42" s="111" t="n"/>
      <c r="AZ42" s="111"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1" t="n"/>
      <c r="CF42" s="111" t="n"/>
      <c r="CG42" s="111" t="n"/>
      <c r="CH42" s="111" t="n"/>
      <c r="CI42" s="111" t="n"/>
      <c r="CJ42" s="111" t="n"/>
      <c r="CK42" s="111" t="n"/>
      <c r="CL42" s="111" t="n"/>
      <c r="CM42" s="111" t="n"/>
      <c r="CN42" s="111" t="n"/>
      <c r="CO42" s="111" t="n"/>
      <c r="CP42" s="111" t="n"/>
      <c r="CQ42" s="111" t="n"/>
      <c r="CR42" s="111" t="n"/>
      <c r="CS42" s="111" t="n"/>
      <c r="CT42" s="111" t="n"/>
      <c r="CU42" s="111" t="n"/>
      <c r="CV42" s="111" t="n"/>
      <c r="CW42" s="111" t="n"/>
      <c r="CX42" s="111" t="n"/>
      <c r="CY42" s="111" t="n"/>
      <c r="CZ42" s="111" t="n"/>
      <c r="DA42" s="111" t="n"/>
      <c r="DB42" s="111" t="n"/>
      <c r="DC42" s="111" t="n"/>
      <c r="DD42" s="111" t="n"/>
      <c r="DE42" s="111" t="n"/>
      <c r="DF42" s="111" t="n"/>
      <c r="DG42" s="111" t="n"/>
      <c r="DH42" s="111" t="n"/>
      <c r="DI42" s="111" t="n"/>
      <c r="DJ42" s="111" t="n"/>
      <c r="DK42" s="111" t="n"/>
      <c r="DL42" s="111" t="n"/>
      <c r="DM42" s="111" t="n"/>
      <c r="DN42" s="111" t="n"/>
      <c r="DO42" s="111" t="n"/>
      <c r="DP42" s="111" t="n"/>
      <c r="DQ42" s="111" t="n"/>
      <c r="DR42" s="111" t="n"/>
      <c r="DS42" s="111" t="n"/>
      <c r="DT42" s="111" t="n"/>
      <c r="DU42" s="111" t="n"/>
      <c r="DV42" s="111" t="n"/>
      <c r="DW42" s="111" t="n"/>
      <c r="DX42" s="111" t="n"/>
      <c r="DY42" s="111" t="n"/>
      <c r="DZ42" s="111" t="n"/>
      <c r="EA42" s="111" t="n"/>
      <c r="EB42" s="111" t="n"/>
      <c r="EC42" s="111" t="n"/>
      <c r="ED42" s="111" t="n"/>
      <c r="EE42" s="111" t="n"/>
      <c r="EF42" s="111" t="n"/>
      <c r="EG42" s="111" t="n"/>
      <c r="EH42" s="111" t="n"/>
      <c r="EI42" s="111" t="n"/>
      <c r="EJ42" s="111" t="n"/>
      <c r="EK42" s="111" t="n"/>
      <c r="EL42" s="111" t="n"/>
      <c r="EM42" s="111" t="n"/>
      <c r="EN42" s="111" t="n"/>
      <c r="EO42" s="111" t="n"/>
      <c r="EP42" s="111" t="n"/>
      <c r="EQ42" s="111" t="n"/>
      <c r="ER42" s="111" t="n"/>
      <c r="ES42" s="111" t="n"/>
      <c r="ET42" s="111" t="n"/>
      <c r="EU42" s="111" t="n"/>
      <c r="EV42" s="111" t="n"/>
      <c r="EW42" s="111" t="n"/>
      <c r="EX42" s="111" t="n"/>
      <c r="EY42" s="111" t="n"/>
      <c r="EZ42" s="111" t="n"/>
      <c r="FA42" s="111" t="n"/>
      <c r="FB42" s="111" t="n"/>
      <c r="FC42" s="111" t="n"/>
      <c r="FD42" s="111" t="n"/>
      <c r="FE42" s="111" t="n"/>
      <c r="FF42" s="111" t="n"/>
      <c r="FG42" s="111" t="n"/>
      <c r="FH42" s="111" t="n"/>
      <c r="FI42" s="111" t="n"/>
      <c r="FJ42" s="111" t="n"/>
      <c r="FK42" s="111" t="n"/>
      <c r="FL42" s="111" t="n"/>
      <c r="FM42" s="111" t="n"/>
      <c r="FN42" s="111" t="n"/>
      <c r="FO42" s="111" t="n"/>
      <c r="FP42" s="111" t="n"/>
      <c r="FQ42" s="111" t="n"/>
      <c r="FR42" s="111" t="n"/>
      <c r="FS42" s="111" t="n"/>
      <c r="FT42" s="111" t="n"/>
      <c r="FU42" s="111" t="n"/>
      <c r="FV42" s="111" t="n"/>
      <c r="FW42" s="111" t="n"/>
      <c r="FX42" s="111" t="n"/>
      <c r="FY42" s="111" t="n"/>
      <c r="FZ42" s="111" t="n"/>
      <c r="GA42" s="111" t="n"/>
      <c r="GB42" s="111" t="n"/>
      <c r="GC42" s="111" t="n"/>
      <c r="GD42" s="111" t="n"/>
      <c r="GE42" s="111" t="n"/>
      <c r="GF42" s="111" t="n"/>
      <c r="GG42" s="111" t="n"/>
      <c r="GH42" s="111" t="n"/>
      <c r="GI42" s="111" t="n"/>
      <c r="GJ42" s="111" t="n"/>
      <c r="GK42" s="111" t="n"/>
      <c r="GL42" s="111" t="n"/>
      <c r="GM42" s="111" t="n"/>
      <c r="GN42" s="111" t="n"/>
      <c r="GO42" s="111" t="n"/>
      <c r="GP42" s="111" t="n"/>
      <c r="GQ42" s="111" t="n"/>
      <c r="GR42" s="111" t="n"/>
      <c r="GS42" s="111" t="n"/>
      <c r="GT42" s="111" t="n"/>
      <c r="GU42" s="111" t="n"/>
      <c r="GV42" s="111" t="n"/>
      <c r="GW42" s="111" t="n"/>
      <c r="GX42" s="111" t="n"/>
      <c r="GY42" s="111" t="n"/>
      <c r="GZ42" s="111" t="n"/>
      <c r="HA42" s="111" t="n"/>
      <c r="HB42" s="111" t="n"/>
      <c r="HC42" s="111" t="n"/>
      <c r="HD42" s="111" t="n"/>
      <c r="HE42" s="111" t="n"/>
      <c r="HF42" s="111" t="n"/>
      <c r="HG42" s="111" t="n"/>
      <c r="HH42" s="111" t="n"/>
      <c r="HI42" s="111" t="n"/>
      <c r="HJ42" s="111" t="n"/>
      <c r="HK42" s="111" t="n"/>
      <c r="HL42" s="111" t="n"/>
      <c r="HM42" s="111" t="n"/>
      <c r="HN42" s="111" t="n"/>
      <c r="HO42" s="111" t="n"/>
      <c r="HP42" s="111" t="n"/>
      <c r="HQ42" s="111" t="n"/>
      <c r="HR42" s="111" t="n"/>
      <c r="HS42" s="111" t="n"/>
      <c r="HT42" s="111" t="n"/>
      <c r="HU42" s="111" t="n"/>
      <c r="HV42" s="111" t="n"/>
      <c r="HW42" s="111" t="n"/>
      <c r="HX42" s="111" t="n"/>
      <c r="HY42" s="111" t="n"/>
      <c r="HZ42" s="111" t="n"/>
      <c r="IA42" s="111" t="n"/>
      <c r="IB42" s="111" t="n"/>
      <c r="IC42" s="111" t="n"/>
      <c r="ID42" s="111" t="n"/>
      <c r="IE42" s="111" t="n"/>
      <c r="IF42" s="111" t="n"/>
      <c r="IG42" s="111" t="n"/>
      <c r="IH42" s="111" t="n"/>
      <c r="II42" s="111" t="n"/>
      <c r="IJ42" s="111" t="n"/>
      <c r="IK42" s="111" t="n"/>
      <c r="IL42" s="111" t="n"/>
      <c r="IM42" s="111" t="n"/>
      <c r="IN42" s="111" t="n"/>
      <c r="IO42" s="111" t="n"/>
      <c r="IP42" s="111" t="n"/>
      <c r="IQ42" s="111" t="n"/>
      <c r="IR42" s="111" t="n"/>
      <c r="IS42" s="111" t="n"/>
      <c r="IT42" s="111" t="n"/>
      <c r="IU42" s="111" t="n"/>
      <c r="IV42" s="111" t="n"/>
      <c r="IW42" s="111" t="n"/>
      <c r="IX42" s="111" t="n"/>
      <c r="IY42" s="111" t="n"/>
      <c r="IZ42" s="111" t="n"/>
      <c r="JA42" s="111" t="n"/>
      <c r="JB42" s="111" t="n"/>
      <c r="JC42" s="111" t="n"/>
      <c r="JD42" s="111" t="n"/>
      <c r="JE42" s="111" t="n"/>
      <c r="JF42" s="111" t="n"/>
      <c r="JG42" s="111" t="n"/>
      <c r="JH42" s="111" t="n"/>
      <c r="JI42" s="111" t="n"/>
      <c r="JJ42" s="111" t="n"/>
      <c r="JK42" s="111" t="n"/>
      <c r="JL42" s="111" t="n"/>
      <c r="JM42" s="111" t="n"/>
      <c r="JN42" s="111" t="n"/>
      <c r="JO42" s="111" t="n"/>
      <c r="JP42" s="111" t="n"/>
      <c r="JQ42" s="111" t="n"/>
      <c r="JR42" s="111" t="n"/>
      <c r="JS42" s="111" t="n"/>
      <c r="JT42" s="111" t="n"/>
      <c r="JU42" s="111" t="n"/>
      <c r="JV42" s="111" t="n"/>
      <c r="JW42" s="111" t="n"/>
      <c r="JX42" s="111" t="n"/>
      <c r="JY42" s="111" t="n"/>
      <c r="JZ42" s="111" t="n"/>
      <c r="KA42" s="111" t="n"/>
      <c r="KB42" s="111" t="n"/>
      <c r="KC42" s="111" t="n"/>
      <c r="KD42" s="111" t="n"/>
      <c r="KE42" s="111" t="n"/>
      <c r="KF42" s="111" t="n"/>
      <c r="KG42" s="111" t="n"/>
      <c r="KH42" s="111" t="n"/>
      <c r="KI42" s="111" t="n"/>
      <c r="KJ42" s="111" t="n"/>
      <c r="KK42" s="111" t="n"/>
      <c r="KL42" s="111" t="n"/>
      <c r="KM42" s="111" t="n"/>
      <c r="KN42" s="111" t="n"/>
      <c r="KO42" s="111" t="n"/>
      <c r="KP42" s="111" t="n"/>
      <c r="KQ42" s="111" t="n"/>
      <c r="KR42" s="111" t="n"/>
      <c r="KS42" s="111" t="n"/>
      <c r="KT42" s="111" t="n"/>
      <c r="KU42" s="111" t="n"/>
      <c r="KV42" s="111" t="n"/>
      <c r="KW42" s="111" t="n"/>
      <c r="KX42" s="111" t="n"/>
      <c r="KY42" s="111" t="n"/>
      <c r="KZ42" s="111" t="n"/>
      <c r="LA42" s="111" t="n"/>
      <c r="LB42" s="111" t="n"/>
      <c r="LC42" s="111" t="n"/>
      <c r="LD42" s="111" t="n"/>
      <c r="LE42" s="111" t="n"/>
      <c r="LF42" s="111" t="n"/>
      <c r="LG42" s="111" t="n"/>
      <c r="LH42" s="111" t="n"/>
      <c r="LI42" s="111" t="n"/>
      <c r="LJ42" s="111" t="n"/>
      <c r="LK42" s="111" t="n"/>
      <c r="LL42" s="111" t="n"/>
      <c r="LM42" s="111" t="n"/>
      <c r="LN42" s="111" t="n"/>
      <c r="LO42" s="111" t="n"/>
      <c r="LP42" s="111" t="n"/>
      <c r="LQ42" s="111" t="n"/>
      <c r="LR42" s="111" t="n"/>
      <c r="LS42" s="111" t="n"/>
      <c r="LT42" s="111" t="n"/>
      <c r="LU42" s="111" t="n"/>
      <c r="LV42" s="111" t="n"/>
      <c r="LW42" s="111" t="n"/>
      <c r="LX42" s="111" t="n"/>
      <c r="LY42" s="111" t="n"/>
      <c r="LZ42" s="111" t="n"/>
      <c r="MA42" s="111" t="n"/>
      <c r="MB42" s="111" t="n"/>
      <c r="MC42" s="111" t="n"/>
      <c r="MD42" s="111" t="n"/>
      <c r="ME42" s="111" t="n"/>
      <c r="MF42" s="111" t="n"/>
      <c r="MG42" s="111" t="n"/>
      <c r="MH42" s="111" t="n"/>
      <c r="MI42" s="111" t="n"/>
      <c r="MJ42" s="111" t="n"/>
      <c r="MK42" s="111" t="n"/>
      <c r="ML42" s="111" t="n"/>
      <c r="MM42" s="111" t="n"/>
      <c r="MN42" s="111" t="n"/>
      <c r="MO42" s="111" t="n"/>
      <c r="MP42" s="111" t="n"/>
      <c r="MQ42" s="111" t="n"/>
      <c r="MR42" s="111" t="n"/>
      <c r="MS42" s="111" t="n"/>
      <c r="MT42" s="111" t="n"/>
      <c r="MU42" s="111" t="n"/>
      <c r="MV42" s="111" t="n"/>
      <c r="MW42" s="111" t="n"/>
      <c r="MX42" s="111" t="n"/>
      <c r="MY42" s="111" t="n"/>
      <c r="MZ42" s="111" t="n"/>
      <c r="NA42" s="111" t="n"/>
      <c r="NB42" s="111" t="n"/>
      <c r="NC42" s="111" t="n"/>
      <c r="ND42" s="111" t="n"/>
      <c r="NE42" s="111" t="n"/>
      <c r="NF42" s="111" t="n"/>
      <c r="NG42" s="111" t="n"/>
      <c r="NH42" s="111" t="n"/>
      <c r="NI42" s="111" t="n"/>
      <c r="NJ42" s="111" t="n"/>
      <c r="NK42" s="111" t="n"/>
      <c r="NL42" s="111" t="n"/>
      <c r="NM42" s="111" t="n"/>
      <c r="NN42" s="111" t="n"/>
      <c r="NO42" s="111" t="n"/>
      <c r="NP42" s="111" t="n"/>
      <c r="NQ42" s="111" t="n"/>
      <c r="NR42" s="111" t="n"/>
      <c r="NS42" s="111" t="n"/>
      <c r="NT42" s="111" t="n"/>
      <c r="NU42" s="111" t="n"/>
      <c r="NV42" s="111" t="n"/>
      <c r="NW42" s="111" t="n"/>
      <c r="NX42" s="111" t="n"/>
      <c r="NY42" s="111" t="n"/>
      <c r="NZ42" s="111" t="n"/>
      <c r="OA42" s="111" t="n"/>
      <c r="OB42" s="111" t="n"/>
      <c r="OC42" s="111" t="n"/>
      <c r="OD42" s="111" t="n"/>
      <c r="OE42" s="111" t="n"/>
      <c r="OF42" s="111" t="n"/>
      <c r="OG42" s="111" t="n"/>
      <c r="OH42" s="111" t="n"/>
      <c r="OI42" s="111" t="n"/>
      <c r="OJ42" s="111" t="n"/>
      <c r="OK42" s="111" t="n"/>
      <c r="OL42" s="111" t="n"/>
      <c r="OM42" s="111" t="n"/>
      <c r="ON42" s="111" t="n"/>
      <c r="OO42" s="111" t="n"/>
      <c r="OP42" s="111" t="n"/>
      <c r="OQ42" s="111" t="n"/>
      <c r="OR42" s="111" t="n"/>
      <c r="OS42" s="111" t="n"/>
      <c r="OT42" s="111" t="n"/>
      <c r="OU42" s="111" t="n"/>
      <c r="OV42" s="111" t="n"/>
      <c r="OW42" s="111" t="n"/>
      <c r="OX42" s="111" t="n"/>
      <c r="OY42" s="111" t="n"/>
      <c r="OZ42" s="111" t="n"/>
      <c r="PA42" s="111" t="n"/>
      <c r="PB42" s="111" t="n"/>
      <c r="PC42" s="111" t="n"/>
      <c r="PD42" s="111" t="n"/>
      <c r="PE42" s="111" t="n"/>
      <c r="PF42" s="111" t="n"/>
      <c r="PG42" s="111" t="n"/>
      <c r="PH42" s="111" t="n"/>
      <c r="PI42" s="111" t="n"/>
      <c r="PJ42" s="111" t="n"/>
      <c r="PK42" s="111" t="n"/>
      <c r="PL42" s="111" t="n"/>
      <c r="PM42" s="111" t="n"/>
      <c r="PN42" s="111" t="n"/>
      <c r="PO42" s="111" t="n"/>
      <c r="PP42" s="111" t="n"/>
      <c r="PQ42" s="111" t="n"/>
      <c r="PR42" s="111" t="n"/>
      <c r="PS42" s="111" t="n"/>
      <c r="PT42" s="111" t="n"/>
      <c r="PU42" s="111" t="n"/>
      <c r="PV42" s="111" t="n"/>
      <c r="PW42" s="111" t="n"/>
      <c r="PX42" s="111" t="n"/>
      <c r="PY42" s="111" t="n"/>
      <c r="PZ42" s="111" t="n"/>
      <c r="QA42" s="111" t="n"/>
      <c r="QB42" s="111" t="n"/>
      <c r="QC42" s="111" t="n"/>
      <c r="QD42" s="111" t="n"/>
      <c r="QE42" s="111" t="n"/>
      <c r="QF42" s="111" t="n"/>
      <c r="QG42" s="111" t="n"/>
      <c r="QH42" s="111" t="n"/>
      <c r="QI42" s="111" t="n"/>
      <c r="QJ42" s="111" t="n"/>
      <c r="QK42" s="111" t="n"/>
      <c r="QL42" s="111" t="n"/>
      <c r="QM42" s="111" t="n"/>
      <c r="QN42" s="111" t="n"/>
      <c r="QO42" s="111" t="n"/>
      <c r="QP42" s="111" t="n"/>
      <c r="QQ42" s="111" t="n"/>
      <c r="QR42" s="111" t="n"/>
      <c r="QS42" s="111" t="n"/>
      <c r="QT42" s="111" t="n"/>
      <c r="QU42" s="111" t="n"/>
      <c r="QV42" s="111" t="n"/>
      <c r="QW42" s="111" t="n"/>
      <c r="QX42" s="111" t="n"/>
      <c r="QY42" s="111" t="n"/>
      <c r="QZ42" s="111" t="n"/>
      <c r="RA42" s="111" t="n"/>
      <c r="RB42" s="111" t="n"/>
      <c r="RC42" s="111" t="n"/>
      <c r="RD42" s="111" t="n"/>
      <c r="RE42" s="111" t="n"/>
      <c r="RF42" s="111" t="n"/>
      <c r="RG42" s="111" t="n"/>
      <c r="RH42" s="111" t="n"/>
      <c r="RI42" s="111" t="n"/>
      <c r="RJ42" s="111" t="n"/>
      <c r="RK42" s="111" t="n"/>
      <c r="RL42" s="111" t="n"/>
      <c r="RM42" s="111" t="n"/>
      <c r="RN42" s="111" t="n"/>
      <c r="RO42" s="111" t="n"/>
      <c r="RP42" s="111" t="n"/>
      <c r="RQ42" s="111" t="n"/>
      <c r="RR42" s="111" t="n"/>
      <c r="RS42" s="111" t="n"/>
      <c r="RT42" s="111" t="n"/>
      <c r="RU42" s="111" t="n"/>
      <c r="RV42" s="111" t="n"/>
      <c r="RW42" s="111" t="n"/>
      <c r="RX42" s="111" t="n"/>
      <c r="RY42" s="111" t="n"/>
      <c r="RZ42" s="111" t="n"/>
      <c r="SA42" s="111" t="n"/>
      <c r="SB42" s="111" t="n"/>
      <c r="SC42" s="111" t="n"/>
      <c r="SD42" s="111" t="n"/>
      <c r="SE42" s="111" t="n"/>
      <c r="SF42" s="111" t="n"/>
      <c r="SG42" s="111" t="n"/>
      <c r="SH42" s="111" t="n"/>
      <c r="SI42" s="111" t="n"/>
      <c r="SJ42" s="111" t="n"/>
      <c r="SK42" s="111" t="n"/>
    </row>
    <row r="43" ht="12.75" customFormat="1" customHeight="1" s="137">
      <c r="A43" s="142" t="n"/>
      <c r="B43" s="154" t="n"/>
      <c r="C43" s="144" t="n"/>
      <c r="D43" s="142" t="n"/>
      <c r="E43" s="142" t="n"/>
      <c r="F43" s="142" t="n"/>
      <c r="G43" s="262" t="n"/>
      <c r="H43" s="262">
        <f>WORKDAY(G43,I43-1,holidays)</f>
        <v/>
      </c>
      <c r="I43" s="149" t="n"/>
      <c r="J43" s="150" t="n"/>
      <c r="K43" s="151">
        <f>IF(OR(G43=0,H43=0),0,H43-G43+1)</f>
        <v/>
      </c>
      <c r="L43" s="152">
        <f>MIN(K43,WORKDAY(G43,ROUNDDOWN(J43*I43,0),holidays)-G43)</f>
        <v/>
      </c>
      <c r="M43" s="151">
        <f>K43-L43</f>
        <v/>
      </c>
      <c r="N43" s="145" t="n"/>
      <c r="P43" s="111" t="n"/>
      <c r="Q43" s="111" t="n"/>
      <c r="R43" s="111" t="n"/>
      <c r="S43" s="111" t="n"/>
      <c r="T43" s="111" t="n"/>
      <c r="U43" s="111" t="n"/>
      <c r="V43" s="111" t="n"/>
      <c r="W43" s="111" t="n"/>
      <c r="X43" s="111" t="n"/>
      <c r="Y43" s="111" t="n"/>
      <c r="Z43" s="111" t="n"/>
      <c r="AA43" s="111" t="n"/>
      <c r="AB43" s="111" t="n"/>
      <c r="AC43" s="111" t="n"/>
      <c r="AD43" s="111" t="n"/>
      <c r="AE43" s="111" t="n"/>
      <c r="AF43" s="111" t="n"/>
      <c r="AG43" s="111" t="n"/>
      <c r="AH43" s="111" t="n"/>
      <c r="AI43" s="111" t="n"/>
      <c r="AJ43" s="111" t="n"/>
      <c r="AK43" s="111" t="n"/>
      <c r="AL43" s="111" t="n"/>
      <c r="AM43" s="111" t="n"/>
      <c r="AN43" s="111" t="n"/>
      <c r="AO43" s="111" t="n"/>
      <c r="AP43" s="111" t="n"/>
      <c r="AQ43" s="111" t="n"/>
      <c r="AR43" s="111" t="n"/>
      <c r="AS43" s="111" t="n"/>
      <c r="AT43" s="111" t="n"/>
      <c r="AU43" s="111" t="n"/>
      <c r="AV43" s="111" t="n"/>
      <c r="AW43" s="111" t="n"/>
      <c r="AX43" s="111" t="n"/>
      <c r="AY43" s="111" t="n"/>
      <c r="AZ43" s="111"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1" t="n"/>
      <c r="CF43" s="111" t="n"/>
      <c r="CG43" s="111" t="n"/>
      <c r="CH43" s="111" t="n"/>
      <c r="CI43" s="111" t="n"/>
      <c r="CJ43" s="111" t="n"/>
      <c r="CK43" s="111" t="n"/>
      <c r="CL43" s="111" t="n"/>
      <c r="CM43" s="111" t="n"/>
      <c r="CN43" s="111" t="n"/>
      <c r="CO43" s="111" t="n"/>
      <c r="CP43" s="111" t="n"/>
      <c r="CQ43" s="111" t="n"/>
      <c r="CR43" s="111" t="n"/>
      <c r="CS43" s="111" t="n"/>
      <c r="CT43" s="111" t="n"/>
      <c r="CU43" s="111" t="n"/>
      <c r="CV43" s="111" t="n"/>
      <c r="CW43" s="111" t="n"/>
      <c r="CX43" s="111" t="n"/>
      <c r="CY43" s="111" t="n"/>
      <c r="CZ43" s="111" t="n"/>
      <c r="DA43" s="111" t="n"/>
      <c r="DB43" s="111" t="n"/>
      <c r="DC43" s="111" t="n"/>
      <c r="DD43" s="111" t="n"/>
      <c r="DE43" s="111" t="n"/>
      <c r="DF43" s="111" t="n"/>
      <c r="DG43" s="111" t="n"/>
      <c r="DH43" s="111" t="n"/>
      <c r="DI43" s="111" t="n"/>
      <c r="DJ43" s="111" t="n"/>
      <c r="DK43" s="111" t="n"/>
      <c r="DL43" s="111" t="n"/>
      <c r="DM43" s="111" t="n"/>
      <c r="DN43" s="111" t="n"/>
      <c r="DO43" s="111" t="n"/>
      <c r="DP43" s="111" t="n"/>
      <c r="DQ43" s="111" t="n"/>
      <c r="DR43" s="111" t="n"/>
      <c r="DS43" s="111" t="n"/>
      <c r="DT43" s="111" t="n"/>
      <c r="DU43" s="111" t="n"/>
      <c r="DV43" s="111" t="n"/>
      <c r="DW43" s="111" t="n"/>
      <c r="DX43" s="111" t="n"/>
      <c r="DY43" s="111" t="n"/>
      <c r="DZ43" s="111" t="n"/>
      <c r="EA43" s="111" t="n"/>
      <c r="EB43" s="111" t="n"/>
      <c r="EC43" s="111" t="n"/>
      <c r="ED43" s="111" t="n"/>
      <c r="EE43" s="111" t="n"/>
      <c r="EF43" s="111" t="n"/>
      <c r="EG43" s="111" t="n"/>
      <c r="EH43" s="111" t="n"/>
      <c r="EI43" s="111" t="n"/>
      <c r="EJ43" s="111" t="n"/>
      <c r="EK43" s="111" t="n"/>
      <c r="EL43" s="111" t="n"/>
      <c r="EM43" s="111" t="n"/>
      <c r="EN43" s="111" t="n"/>
      <c r="EO43" s="111" t="n"/>
      <c r="EP43" s="111" t="n"/>
      <c r="EQ43" s="111" t="n"/>
      <c r="ER43" s="111" t="n"/>
      <c r="ES43" s="111" t="n"/>
      <c r="ET43" s="111" t="n"/>
      <c r="EU43" s="111" t="n"/>
      <c r="EV43" s="111" t="n"/>
      <c r="EW43" s="111" t="n"/>
      <c r="EX43" s="111" t="n"/>
      <c r="EY43" s="111" t="n"/>
      <c r="EZ43" s="111" t="n"/>
      <c r="FA43" s="111" t="n"/>
      <c r="FB43" s="111" t="n"/>
      <c r="FC43" s="111" t="n"/>
      <c r="FD43" s="111" t="n"/>
      <c r="FE43" s="111" t="n"/>
      <c r="FF43" s="111" t="n"/>
      <c r="FG43" s="111" t="n"/>
      <c r="FH43" s="111" t="n"/>
      <c r="FI43" s="111" t="n"/>
      <c r="FJ43" s="111" t="n"/>
      <c r="FK43" s="111" t="n"/>
      <c r="FL43" s="111" t="n"/>
      <c r="FM43" s="111" t="n"/>
      <c r="FN43" s="111" t="n"/>
      <c r="FO43" s="111" t="n"/>
      <c r="FP43" s="111" t="n"/>
      <c r="FQ43" s="111" t="n"/>
      <c r="FR43" s="111" t="n"/>
      <c r="FS43" s="111" t="n"/>
      <c r="FT43" s="111" t="n"/>
      <c r="FU43" s="111" t="n"/>
      <c r="FV43" s="111" t="n"/>
      <c r="FW43" s="111" t="n"/>
      <c r="FX43" s="111" t="n"/>
      <c r="FY43" s="111" t="n"/>
      <c r="FZ43" s="111" t="n"/>
      <c r="GA43" s="111" t="n"/>
      <c r="GB43" s="111" t="n"/>
      <c r="GC43" s="111" t="n"/>
      <c r="GD43" s="111" t="n"/>
      <c r="GE43" s="111" t="n"/>
      <c r="GF43" s="111" t="n"/>
      <c r="GG43" s="111" t="n"/>
      <c r="GH43" s="111" t="n"/>
      <c r="GI43" s="111" t="n"/>
      <c r="GJ43" s="111" t="n"/>
      <c r="GK43" s="111" t="n"/>
      <c r="GL43" s="111" t="n"/>
      <c r="GM43" s="111" t="n"/>
      <c r="GN43" s="111" t="n"/>
      <c r="GO43" s="111" t="n"/>
      <c r="GP43" s="111" t="n"/>
      <c r="GQ43" s="111" t="n"/>
      <c r="GR43" s="111" t="n"/>
      <c r="GS43" s="111" t="n"/>
      <c r="GT43" s="111" t="n"/>
      <c r="GU43" s="111" t="n"/>
      <c r="GV43" s="111" t="n"/>
      <c r="GW43" s="111" t="n"/>
      <c r="GX43" s="111" t="n"/>
      <c r="GY43" s="111" t="n"/>
      <c r="GZ43" s="111" t="n"/>
      <c r="HA43" s="111" t="n"/>
      <c r="HB43" s="111" t="n"/>
      <c r="HC43" s="111" t="n"/>
      <c r="HD43" s="111" t="n"/>
      <c r="HE43" s="111" t="n"/>
      <c r="HF43" s="111" t="n"/>
      <c r="HG43" s="111" t="n"/>
      <c r="HH43" s="111" t="n"/>
      <c r="HI43" s="111" t="n"/>
      <c r="HJ43" s="111" t="n"/>
      <c r="HK43" s="111" t="n"/>
      <c r="HL43" s="111" t="n"/>
      <c r="HM43" s="111" t="n"/>
      <c r="HN43" s="111" t="n"/>
      <c r="HO43" s="111" t="n"/>
      <c r="HP43" s="111" t="n"/>
      <c r="HQ43" s="111" t="n"/>
      <c r="HR43" s="111" t="n"/>
      <c r="HS43" s="111" t="n"/>
      <c r="HT43" s="111" t="n"/>
      <c r="HU43" s="111" t="n"/>
      <c r="HV43" s="111" t="n"/>
      <c r="HW43" s="111" t="n"/>
      <c r="HX43" s="111" t="n"/>
      <c r="HY43" s="111" t="n"/>
      <c r="HZ43" s="111" t="n"/>
      <c r="IA43" s="111" t="n"/>
      <c r="IB43" s="111" t="n"/>
      <c r="IC43" s="111" t="n"/>
      <c r="ID43" s="111" t="n"/>
      <c r="IE43" s="111" t="n"/>
      <c r="IF43" s="111" t="n"/>
      <c r="IG43" s="111" t="n"/>
      <c r="IH43" s="111" t="n"/>
      <c r="II43" s="111" t="n"/>
      <c r="IJ43" s="111" t="n"/>
      <c r="IK43" s="111" t="n"/>
      <c r="IL43" s="111" t="n"/>
      <c r="IM43" s="111" t="n"/>
      <c r="IN43" s="111" t="n"/>
      <c r="IO43" s="111" t="n"/>
      <c r="IP43" s="111" t="n"/>
      <c r="IQ43" s="111" t="n"/>
      <c r="IR43" s="111" t="n"/>
      <c r="IS43" s="111" t="n"/>
      <c r="IT43" s="111" t="n"/>
      <c r="IU43" s="111" t="n"/>
      <c r="IV43" s="111" t="n"/>
      <c r="IW43" s="111" t="n"/>
      <c r="IX43" s="111" t="n"/>
      <c r="IY43" s="111" t="n"/>
      <c r="IZ43" s="111" t="n"/>
      <c r="JA43" s="111" t="n"/>
      <c r="JB43" s="111" t="n"/>
      <c r="JC43" s="111" t="n"/>
      <c r="JD43" s="111" t="n"/>
      <c r="JE43" s="111" t="n"/>
      <c r="JF43" s="111" t="n"/>
      <c r="JG43" s="111" t="n"/>
      <c r="JH43" s="111" t="n"/>
      <c r="JI43" s="111" t="n"/>
      <c r="JJ43" s="111" t="n"/>
      <c r="JK43" s="111" t="n"/>
      <c r="JL43" s="111" t="n"/>
      <c r="JM43" s="111" t="n"/>
      <c r="JN43" s="111" t="n"/>
      <c r="JO43" s="111" t="n"/>
      <c r="JP43" s="111" t="n"/>
      <c r="JQ43" s="111" t="n"/>
      <c r="JR43" s="111" t="n"/>
      <c r="JS43" s="111" t="n"/>
      <c r="JT43" s="111" t="n"/>
      <c r="JU43" s="111" t="n"/>
      <c r="JV43" s="111" t="n"/>
      <c r="JW43" s="111" t="n"/>
      <c r="JX43" s="111" t="n"/>
      <c r="JY43" s="111" t="n"/>
      <c r="JZ43" s="111" t="n"/>
      <c r="KA43" s="111" t="n"/>
      <c r="KB43" s="111" t="n"/>
      <c r="KC43" s="111" t="n"/>
      <c r="KD43" s="111" t="n"/>
      <c r="KE43" s="111" t="n"/>
      <c r="KF43" s="111" t="n"/>
      <c r="KG43" s="111" t="n"/>
      <c r="KH43" s="111" t="n"/>
      <c r="KI43" s="111" t="n"/>
      <c r="KJ43" s="111" t="n"/>
      <c r="KK43" s="111" t="n"/>
      <c r="KL43" s="111" t="n"/>
      <c r="KM43" s="111" t="n"/>
      <c r="KN43" s="111" t="n"/>
      <c r="KO43" s="111" t="n"/>
      <c r="KP43" s="111" t="n"/>
      <c r="KQ43" s="111" t="n"/>
      <c r="KR43" s="111" t="n"/>
      <c r="KS43" s="111" t="n"/>
      <c r="KT43" s="111" t="n"/>
      <c r="KU43" s="111" t="n"/>
      <c r="KV43" s="111" t="n"/>
      <c r="KW43" s="111" t="n"/>
      <c r="KX43" s="111" t="n"/>
      <c r="KY43" s="111" t="n"/>
      <c r="KZ43" s="111" t="n"/>
      <c r="LA43" s="111" t="n"/>
      <c r="LB43" s="111" t="n"/>
      <c r="LC43" s="111" t="n"/>
      <c r="LD43" s="111" t="n"/>
      <c r="LE43" s="111" t="n"/>
      <c r="LF43" s="111" t="n"/>
      <c r="LG43" s="111" t="n"/>
      <c r="LH43" s="111" t="n"/>
      <c r="LI43" s="111" t="n"/>
      <c r="LJ43" s="111" t="n"/>
      <c r="LK43" s="111" t="n"/>
      <c r="LL43" s="111" t="n"/>
      <c r="LM43" s="111" t="n"/>
      <c r="LN43" s="111" t="n"/>
      <c r="LO43" s="111" t="n"/>
      <c r="LP43" s="111" t="n"/>
      <c r="LQ43" s="111" t="n"/>
      <c r="LR43" s="111" t="n"/>
      <c r="LS43" s="111" t="n"/>
      <c r="LT43" s="111" t="n"/>
      <c r="LU43" s="111" t="n"/>
      <c r="LV43" s="111" t="n"/>
      <c r="LW43" s="111" t="n"/>
      <c r="LX43" s="111" t="n"/>
      <c r="LY43" s="111" t="n"/>
      <c r="LZ43" s="111" t="n"/>
      <c r="MA43" s="111" t="n"/>
      <c r="MB43" s="111" t="n"/>
      <c r="MC43" s="111" t="n"/>
      <c r="MD43" s="111" t="n"/>
      <c r="ME43" s="111" t="n"/>
      <c r="MF43" s="111" t="n"/>
      <c r="MG43" s="111" t="n"/>
      <c r="MH43" s="111" t="n"/>
      <c r="MI43" s="111" t="n"/>
      <c r="MJ43" s="111" t="n"/>
      <c r="MK43" s="111" t="n"/>
      <c r="ML43" s="111" t="n"/>
      <c r="MM43" s="111" t="n"/>
      <c r="MN43" s="111" t="n"/>
      <c r="MO43" s="111" t="n"/>
      <c r="MP43" s="111" t="n"/>
      <c r="MQ43" s="111" t="n"/>
      <c r="MR43" s="111" t="n"/>
      <c r="MS43" s="111" t="n"/>
      <c r="MT43" s="111" t="n"/>
      <c r="MU43" s="111" t="n"/>
      <c r="MV43" s="111" t="n"/>
      <c r="MW43" s="111" t="n"/>
      <c r="MX43" s="111" t="n"/>
      <c r="MY43" s="111" t="n"/>
      <c r="MZ43" s="111" t="n"/>
      <c r="NA43" s="111" t="n"/>
      <c r="NB43" s="111" t="n"/>
      <c r="NC43" s="111" t="n"/>
      <c r="ND43" s="111" t="n"/>
      <c r="NE43" s="111" t="n"/>
      <c r="NF43" s="111" t="n"/>
      <c r="NG43" s="111" t="n"/>
      <c r="NH43" s="111" t="n"/>
      <c r="NI43" s="111" t="n"/>
      <c r="NJ43" s="111" t="n"/>
      <c r="NK43" s="111" t="n"/>
      <c r="NL43" s="111" t="n"/>
      <c r="NM43" s="111" t="n"/>
      <c r="NN43" s="111" t="n"/>
      <c r="NO43" s="111" t="n"/>
      <c r="NP43" s="111" t="n"/>
      <c r="NQ43" s="111" t="n"/>
      <c r="NR43" s="111" t="n"/>
      <c r="NS43" s="111" t="n"/>
      <c r="NT43" s="111" t="n"/>
      <c r="NU43" s="111" t="n"/>
      <c r="NV43" s="111" t="n"/>
      <c r="NW43" s="111" t="n"/>
      <c r="NX43" s="111" t="n"/>
      <c r="NY43" s="111" t="n"/>
      <c r="NZ43" s="111" t="n"/>
      <c r="OA43" s="111" t="n"/>
      <c r="OB43" s="111" t="n"/>
      <c r="OC43" s="111" t="n"/>
      <c r="OD43" s="111" t="n"/>
      <c r="OE43" s="111" t="n"/>
      <c r="OF43" s="111" t="n"/>
      <c r="OG43" s="111" t="n"/>
      <c r="OH43" s="111" t="n"/>
      <c r="OI43" s="111" t="n"/>
      <c r="OJ43" s="111" t="n"/>
      <c r="OK43" s="111" t="n"/>
      <c r="OL43" s="111" t="n"/>
      <c r="OM43" s="111" t="n"/>
      <c r="ON43" s="111" t="n"/>
      <c r="OO43" s="111" t="n"/>
      <c r="OP43" s="111" t="n"/>
      <c r="OQ43" s="111" t="n"/>
      <c r="OR43" s="111" t="n"/>
      <c r="OS43" s="111" t="n"/>
      <c r="OT43" s="111" t="n"/>
      <c r="OU43" s="111" t="n"/>
      <c r="OV43" s="111" t="n"/>
      <c r="OW43" s="111" t="n"/>
      <c r="OX43" s="111" t="n"/>
      <c r="OY43" s="111" t="n"/>
      <c r="OZ43" s="111" t="n"/>
      <c r="PA43" s="111" t="n"/>
      <c r="PB43" s="111" t="n"/>
      <c r="PC43" s="111" t="n"/>
      <c r="PD43" s="111" t="n"/>
      <c r="PE43" s="111" t="n"/>
      <c r="PF43" s="111" t="n"/>
      <c r="PG43" s="111" t="n"/>
      <c r="PH43" s="111" t="n"/>
      <c r="PI43" s="111" t="n"/>
      <c r="PJ43" s="111" t="n"/>
      <c r="PK43" s="111" t="n"/>
      <c r="PL43" s="111" t="n"/>
      <c r="PM43" s="111" t="n"/>
      <c r="PN43" s="111" t="n"/>
      <c r="PO43" s="111" t="n"/>
      <c r="PP43" s="111" t="n"/>
      <c r="PQ43" s="111" t="n"/>
      <c r="PR43" s="111" t="n"/>
      <c r="PS43" s="111" t="n"/>
      <c r="PT43" s="111" t="n"/>
      <c r="PU43" s="111" t="n"/>
      <c r="PV43" s="111" t="n"/>
      <c r="PW43" s="111" t="n"/>
      <c r="PX43" s="111" t="n"/>
      <c r="PY43" s="111" t="n"/>
      <c r="PZ43" s="111" t="n"/>
      <c r="QA43" s="111" t="n"/>
      <c r="QB43" s="111" t="n"/>
      <c r="QC43" s="111" t="n"/>
      <c r="QD43" s="111" t="n"/>
      <c r="QE43" s="111" t="n"/>
      <c r="QF43" s="111" t="n"/>
      <c r="QG43" s="111" t="n"/>
      <c r="QH43" s="111" t="n"/>
      <c r="QI43" s="111" t="n"/>
      <c r="QJ43" s="111" t="n"/>
      <c r="QK43" s="111" t="n"/>
      <c r="QL43" s="111" t="n"/>
      <c r="QM43" s="111" t="n"/>
      <c r="QN43" s="111" t="n"/>
      <c r="QO43" s="111" t="n"/>
      <c r="QP43" s="111" t="n"/>
      <c r="QQ43" s="111" t="n"/>
      <c r="QR43" s="111" t="n"/>
      <c r="QS43" s="111" t="n"/>
      <c r="QT43" s="111" t="n"/>
      <c r="QU43" s="111" t="n"/>
      <c r="QV43" s="111" t="n"/>
      <c r="QW43" s="111" t="n"/>
      <c r="QX43" s="111" t="n"/>
      <c r="QY43" s="111" t="n"/>
      <c r="QZ43" s="111" t="n"/>
      <c r="RA43" s="111" t="n"/>
      <c r="RB43" s="111" t="n"/>
      <c r="RC43" s="111" t="n"/>
      <c r="RD43" s="111" t="n"/>
      <c r="RE43" s="111" t="n"/>
      <c r="RF43" s="111" t="n"/>
      <c r="RG43" s="111" t="n"/>
      <c r="RH43" s="111" t="n"/>
      <c r="RI43" s="111" t="n"/>
      <c r="RJ43" s="111" t="n"/>
      <c r="RK43" s="111" t="n"/>
      <c r="RL43" s="111" t="n"/>
      <c r="RM43" s="111" t="n"/>
      <c r="RN43" s="111" t="n"/>
      <c r="RO43" s="111" t="n"/>
      <c r="RP43" s="111" t="n"/>
      <c r="RQ43" s="111" t="n"/>
      <c r="RR43" s="111" t="n"/>
      <c r="RS43" s="111" t="n"/>
      <c r="RT43" s="111" t="n"/>
      <c r="RU43" s="111" t="n"/>
      <c r="RV43" s="111" t="n"/>
      <c r="RW43" s="111" t="n"/>
      <c r="RX43" s="111" t="n"/>
      <c r="RY43" s="111" t="n"/>
      <c r="RZ43" s="111" t="n"/>
      <c r="SA43" s="111" t="n"/>
      <c r="SB43" s="111" t="n"/>
      <c r="SC43" s="111" t="n"/>
      <c r="SD43" s="111" t="n"/>
      <c r="SE43" s="111" t="n"/>
      <c r="SF43" s="111" t="n"/>
      <c r="SG43" s="111" t="n"/>
      <c r="SH43" s="111" t="n"/>
      <c r="SI43" s="111" t="n"/>
      <c r="SJ43" s="111" t="n"/>
      <c r="SK43" s="111" t="n"/>
    </row>
    <row r="44" ht="12.75" customFormat="1" customHeight="1" s="137">
      <c r="A44" s="142" t="n"/>
      <c r="B44" s="154" t="n"/>
      <c r="C44" s="144" t="n"/>
      <c r="D44" s="142" t="n"/>
      <c r="E44" s="142" t="n"/>
      <c r="F44" s="142" t="n"/>
      <c r="G44" s="262" t="n"/>
      <c r="H44" s="262">
        <f>WORKDAY(G44,I44-1,holidays)</f>
        <v/>
      </c>
      <c r="I44" s="149" t="n"/>
      <c r="J44" s="150" t="n"/>
      <c r="K44" s="151">
        <f>IF(OR(G44=0,H44=0),0,H44-G44+1)</f>
        <v/>
      </c>
      <c r="L44" s="152">
        <f>MIN(K44,WORKDAY(G44,ROUNDDOWN(J44*I44,0),holidays)-G44)</f>
        <v/>
      </c>
      <c r="M44" s="151">
        <f>K44-L44</f>
        <v/>
      </c>
      <c r="N44" s="145" t="n"/>
      <c r="P44" s="111" t="n"/>
      <c r="Q44" s="111"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1" t="n"/>
      <c r="CF44" s="111" t="n"/>
      <c r="CG44" s="111" t="n"/>
      <c r="CH44" s="111" t="n"/>
      <c r="CI44" s="111" t="n"/>
      <c r="CJ44" s="111" t="n"/>
      <c r="CK44" s="111" t="n"/>
      <c r="CL44" s="111" t="n"/>
      <c r="CM44" s="111" t="n"/>
      <c r="CN44" s="111" t="n"/>
      <c r="CO44" s="111" t="n"/>
      <c r="CP44" s="111" t="n"/>
      <c r="CQ44" s="111" t="n"/>
      <c r="CR44" s="111" t="n"/>
      <c r="CS44" s="111" t="n"/>
      <c r="CT44" s="111" t="n"/>
      <c r="CU44" s="111" t="n"/>
      <c r="CV44" s="111" t="n"/>
      <c r="CW44" s="111" t="n"/>
      <c r="CX44" s="111" t="n"/>
      <c r="CY44" s="111" t="n"/>
      <c r="CZ44" s="111" t="n"/>
      <c r="DA44" s="111" t="n"/>
      <c r="DB44" s="111" t="n"/>
      <c r="DC44" s="111" t="n"/>
      <c r="DD44" s="111" t="n"/>
      <c r="DE44" s="111" t="n"/>
      <c r="DF44" s="111" t="n"/>
      <c r="DG44" s="111" t="n"/>
      <c r="DH44" s="111" t="n"/>
      <c r="DI44" s="111" t="n"/>
      <c r="DJ44" s="111" t="n"/>
      <c r="DK44" s="111" t="n"/>
      <c r="DL44" s="111" t="n"/>
      <c r="DM44" s="111" t="n"/>
      <c r="DN44" s="111" t="n"/>
      <c r="DO44" s="111" t="n"/>
      <c r="DP44" s="111" t="n"/>
      <c r="DQ44" s="111" t="n"/>
      <c r="DR44" s="111" t="n"/>
      <c r="DS44" s="111" t="n"/>
      <c r="DT44" s="111" t="n"/>
      <c r="DU44" s="111" t="n"/>
      <c r="DV44" s="111" t="n"/>
      <c r="DW44" s="111" t="n"/>
      <c r="DX44" s="111" t="n"/>
      <c r="DY44" s="111" t="n"/>
      <c r="DZ44" s="111" t="n"/>
      <c r="EA44" s="111" t="n"/>
      <c r="EB44" s="111" t="n"/>
      <c r="EC44" s="111" t="n"/>
      <c r="ED44" s="111" t="n"/>
      <c r="EE44" s="111" t="n"/>
      <c r="EF44" s="111" t="n"/>
      <c r="EG44" s="111" t="n"/>
      <c r="EH44" s="111" t="n"/>
      <c r="EI44" s="111" t="n"/>
      <c r="EJ44" s="111" t="n"/>
      <c r="EK44" s="111" t="n"/>
      <c r="EL44" s="111" t="n"/>
      <c r="EM44" s="111" t="n"/>
      <c r="EN44" s="111" t="n"/>
      <c r="EO44" s="111" t="n"/>
      <c r="EP44" s="111" t="n"/>
      <c r="EQ44" s="111" t="n"/>
      <c r="ER44" s="111" t="n"/>
      <c r="ES44" s="111" t="n"/>
      <c r="ET44" s="111" t="n"/>
      <c r="EU44" s="111" t="n"/>
      <c r="EV44" s="111" t="n"/>
      <c r="EW44" s="111" t="n"/>
      <c r="EX44" s="111" t="n"/>
      <c r="EY44" s="111" t="n"/>
      <c r="EZ44" s="111" t="n"/>
      <c r="FA44" s="111" t="n"/>
      <c r="FB44" s="111" t="n"/>
      <c r="FC44" s="111" t="n"/>
      <c r="FD44" s="111" t="n"/>
      <c r="FE44" s="111" t="n"/>
      <c r="FF44" s="111" t="n"/>
      <c r="FG44" s="111" t="n"/>
      <c r="FH44" s="111" t="n"/>
      <c r="FI44" s="111" t="n"/>
      <c r="FJ44" s="111" t="n"/>
      <c r="FK44" s="111" t="n"/>
      <c r="FL44" s="111" t="n"/>
      <c r="FM44" s="111" t="n"/>
      <c r="FN44" s="111" t="n"/>
      <c r="FO44" s="111" t="n"/>
      <c r="FP44" s="111" t="n"/>
      <c r="FQ44" s="111" t="n"/>
      <c r="FR44" s="111" t="n"/>
      <c r="FS44" s="111" t="n"/>
      <c r="FT44" s="111" t="n"/>
      <c r="FU44" s="111" t="n"/>
      <c r="FV44" s="111" t="n"/>
      <c r="FW44" s="111" t="n"/>
      <c r="FX44" s="111" t="n"/>
      <c r="FY44" s="111" t="n"/>
      <c r="FZ44" s="111" t="n"/>
      <c r="GA44" s="111" t="n"/>
      <c r="GB44" s="111" t="n"/>
      <c r="GC44" s="111" t="n"/>
      <c r="GD44" s="111" t="n"/>
      <c r="GE44" s="111" t="n"/>
      <c r="GF44" s="111" t="n"/>
      <c r="GG44" s="111" t="n"/>
      <c r="GH44" s="111" t="n"/>
      <c r="GI44" s="111" t="n"/>
      <c r="GJ44" s="111" t="n"/>
      <c r="GK44" s="111" t="n"/>
      <c r="GL44" s="111" t="n"/>
      <c r="GM44" s="111" t="n"/>
      <c r="GN44" s="111" t="n"/>
      <c r="GO44" s="111" t="n"/>
      <c r="GP44" s="111" t="n"/>
      <c r="GQ44" s="111" t="n"/>
      <c r="GR44" s="111" t="n"/>
      <c r="GS44" s="111" t="n"/>
      <c r="GT44" s="111" t="n"/>
      <c r="GU44" s="111" t="n"/>
      <c r="GV44" s="111" t="n"/>
      <c r="GW44" s="111" t="n"/>
      <c r="GX44" s="111" t="n"/>
      <c r="GY44" s="111" t="n"/>
      <c r="GZ44" s="111" t="n"/>
      <c r="HA44" s="111" t="n"/>
      <c r="HB44" s="111" t="n"/>
      <c r="HC44" s="111" t="n"/>
      <c r="HD44" s="111" t="n"/>
      <c r="HE44" s="111" t="n"/>
      <c r="HF44" s="111" t="n"/>
      <c r="HG44" s="111" t="n"/>
      <c r="HH44" s="111" t="n"/>
      <c r="HI44" s="111" t="n"/>
      <c r="HJ44" s="111" t="n"/>
      <c r="HK44" s="111" t="n"/>
      <c r="HL44" s="111" t="n"/>
      <c r="HM44" s="111" t="n"/>
      <c r="HN44" s="111" t="n"/>
      <c r="HO44" s="111" t="n"/>
      <c r="HP44" s="111" t="n"/>
      <c r="HQ44" s="111" t="n"/>
      <c r="HR44" s="111" t="n"/>
      <c r="HS44" s="111" t="n"/>
      <c r="HT44" s="111" t="n"/>
      <c r="HU44" s="111" t="n"/>
      <c r="HV44" s="111" t="n"/>
      <c r="HW44" s="111" t="n"/>
      <c r="HX44" s="111" t="n"/>
      <c r="HY44" s="111" t="n"/>
      <c r="HZ44" s="111" t="n"/>
      <c r="IA44" s="111" t="n"/>
      <c r="IB44" s="111" t="n"/>
      <c r="IC44" s="111" t="n"/>
      <c r="ID44" s="111" t="n"/>
      <c r="IE44" s="111" t="n"/>
      <c r="IF44" s="111" t="n"/>
      <c r="IG44" s="111" t="n"/>
      <c r="IH44" s="111" t="n"/>
      <c r="II44" s="111" t="n"/>
      <c r="IJ44" s="111" t="n"/>
      <c r="IK44" s="111" t="n"/>
      <c r="IL44" s="111" t="n"/>
      <c r="IM44" s="111" t="n"/>
      <c r="IN44" s="111" t="n"/>
      <c r="IO44" s="111" t="n"/>
      <c r="IP44" s="111" t="n"/>
      <c r="IQ44" s="111" t="n"/>
      <c r="IR44" s="111" t="n"/>
      <c r="IS44" s="111" t="n"/>
      <c r="IT44" s="111" t="n"/>
      <c r="IU44" s="111" t="n"/>
      <c r="IV44" s="111" t="n"/>
      <c r="IW44" s="111" t="n"/>
      <c r="IX44" s="111" t="n"/>
      <c r="IY44" s="111" t="n"/>
      <c r="IZ44" s="111" t="n"/>
      <c r="JA44" s="111" t="n"/>
      <c r="JB44" s="111" t="n"/>
      <c r="JC44" s="111" t="n"/>
      <c r="JD44" s="111" t="n"/>
      <c r="JE44" s="111" t="n"/>
      <c r="JF44" s="111" t="n"/>
      <c r="JG44" s="111" t="n"/>
      <c r="JH44" s="111" t="n"/>
      <c r="JI44" s="111" t="n"/>
      <c r="JJ44" s="111" t="n"/>
      <c r="JK44" s="111" t="n"/>
      <c r="JL44" s="111" t="n"/>
      <c r="JM44" s="111" t="n"/>
      <c r="JN44" s="111" t="n"/>
      <c r="JO44" s="111" t="n"/>
      <c r="JP44" s="111" t="n"/>
      <c r="JQ44" s="111" t="n"/>
      <c r="JR44" s="111" t="n"/>
      <c r="JS44" s="111" t="n"/>
      <c r="JT44" s="111" t="n"/>
      <c r="JU44" s="111" t="n"/>
      <c r="JV44" s="111" t="n"/>
      <c r="JW44" s="111" t="n"/>
      <c r="JX44" s="111" t="n"/>
      <c r="JY44" s="111" t="n"/>
      <c r="JZ44" s="111" t="n"/>
      <c r="KA44" s="111" t="n"/>
      <c r="KB44" s="111" t="n"/>
      <c r="KC44" s="111" t="n"/>
      <c r="KD44" s="111" t="n"/>
      <c r="KE44" s="111" t="n"/>
      <c r="KF44" s="111" t="n"/>
      <c r="KG44" s="111" t="n"/>
      <c r="KH44" s="111" t="n"/>
      <c r="KI44" s="111" t="n"/>
      <c r="KJ44" s="111" t="n"/>
      <c r="KK44" s="111" t="n"/>
      <c r="KL44" s="111" t="n"/>
      <c r="KM44" s="111" t="n"/>
      <c r="KN44" s="111" t="n"/>
      <c r="KO44" s="111" t="n"/>
      <c r="KP44" s="111" t="n"/>
      <c r="KQ44" s="111" t="n"/>
      <c r="KR44" s="111" t="n"/>
      <c r="KS44" s="111" t="n"/>
      <c r="KT44" s="111" t="n"/>
      <c r="KU44" s="111" t="n"/>
      <c r="KV44" s="111" t="n"/>
      <c r="KW44" s="111" t="n"/>
      <c r="KX44" s="111" t="n"/>
      <c r="KY44" s="111" t="n"/>
      <c r="KZ44" s="111" t="n"/>
      <c r="LA44" s="111" t="n"/>
      <c r="LB44" s="111" t="n"/>
      <c r="LC44" s="111" t="n"/>
      <c r="LD44" s="111" t="n"/>
      <c r="LE44" s="111" t="n"/>
      <c r="LF44" s="111" t="n"/>
      <c r="LG44" s="111" t="n"/>
      <c r="LH44" s="111" t="n"/>
      <c r="LI44" s="111" t="n"/>
      <c r="LJ44" s="111" t="n"/>
      <c r="LK44" s="111" t="n"/>
      <c r="LL44" s="111" t="n"/>
      <c r="LM44" s="111" t="n"/>
      <c r="LN44" s="111" t="n"/>
      <c r="LO44" s="111" t="n"/>
      <c r="LP44" s="111" t="n"/>
      <c r="LQ44" s="111" t="n"/>
      <c r="LR44" s="111" t="n"/>
      <c r="LS44" s="111" t="n"/>
      <c r="LT44" s="111" t="n"/>
      <c r="LU44" s="111" t="n"/>
      <c r="LV44" s="111" t="n"/>
      <c r="LW44" s="111" t="n"/>
      <c r="LX44" s="111" t="n"/>
      <c r="LY44" s="111" t="n"/>
      <c r="LZ44" s="111" t="n"/>
      <c r="MA44" s="111" t="n"/>
      <c r="MB44" s="111" t="n"/>
      <c r="MC44" s="111" t="n"/>
      <c r="MD44" s="111" t="n"/>
      <c r="ME44" s="111" t="n"/>
      <c r="MF44" s="111" t="n"/>
      <c r="MG44" s="111" t="n"/>
      <c r="MH44" s="111" t="n"/>
      <c r="MI44" s="111" t="n"/>
      <c r="MJ44" s="111" t="n"/>
      <c r="MK44" s="111" t="n"/>
      <c r="ML44" s="111" t="n"/>
      <c r="MM44" s="111" t="n"/>
      <c r="MN44" s="111" t="n"/>
      <c r="MO44" s="111" t="n"/>
      <c r="MP44" s="111" t="n"/>
      <c r="MQ44" s="111" t="n"/>
      <c r="MR44" s="111" t="n"/>
      <c r="MS44" s="111" t="n"/>
      <c r="MT44" s="111" t="n"/>
      <c r="MU44" s="111" t="n"/>
      <c r="MV44" s="111" t="n"/>
      <c r="MW44" s="111" t="n"/>
      <c r="MX44" s="111" t="n"/>
      <c r="MY44" s="111" t="n"/>
      <c r="MZ44" s="111" t="n"/>
      <c r="NA44" s="111" t="n"/>
      <c r="NB44" s="111" t="n"/>
      <c r="NC44" s="111" t="n"/>
      <c r="ND44" s="111" t="n"/>
      <c r="NE44" s="111" t="n"/>
      <c r="NF44" s="111" t="n"/>
      <c r="NG44" s="111" t="n"/>
      <c r="NH44" s="111" t="n"/>
      <c r="NI44" s="111" t="n"/>
      <c r="NJ44" s="111" t="n"/>
      <c r="NK44" s="111" t="n"/>
      <c r="NL44" s="111" t="n"/>
      <c r="NM44" s="111" t="n"/>
      <c r="NN44" s="111" t="n"/>
      <c r="NO44" s="111" t="n"/>
      <c r="NP44" s="111" t="n"/>
      <c r="NQ44" s="111" t="n"/>
      <c r="NR44" s="111" t="n"/>
      <c r="NS44" s="111" t="n"/>
      <c r="NT44" s="111" t="n"/>
      <c r="NU44" s="111" t="n"/>
      <c r="NV44" s="111" t="n"/>
      <c r="NW44" s="111" t="n"/>
      <c r="NX44" s="111" t="n"/>
      <c r="NY44" s="111" t="n"/>
      <c r="NZ44" s="111" t="n"/>
      <c r="OA44" s="111" t="n"/>
      <c r="OB44" s="111" t="n"/>
      <c r="OC44" s="111" t="n"/>
      <c r="OD44" s="111" t="n"/>
      <c r="OE44" s="111" t="n"/>
      <c r="OF44" s="111" t="n"/>
      <c r="OG44" s="111" t="n"/>
      <c r="OH44" s="111" t="n"/>
      <c r="OI44" s="111" t="n"/>
      <c r="OJ44" s="111" t="n"/>
      <c r="OK44" s="111" t="n"/>
      <c r="OL44" s="111" t="n"/>
      <c r="OM44" s="111" t="n"/>
      <c r="ON44" s="111" t="n"/>
      <c r="OO44" s="111" t="n"/>
      <c r="OP44" s="111" t="n"/>
      <c r="OQ44" s="111" t="n"/>
      <c r="OR44" s="111" t="n"/>
      <c r="OS44" s="111" t="n"/>
      <c r="OT44" s="111" t="n"/>
      <c r="OU44" s="111" t="n"/>
      <c r="OV44" s="111" t="n"/>
      <c r="OW44" s="111" t="n"/>
      <c r="OX44" s="111" t="n"/>
      <c r="OY44" s="111" t="n"/>
      <c r="OZ44" s="111" t="n"/>
      <c r="PA44" s="111" t="n"/>
      <c r="PB44" s="111" t="n"/>
      <c r="PC44" s="111" t="n"/>
      <c r="PD44" s="111" t="n"/>
      <c r="PE44" s="111" t="n"/>
      <c r="PF44" s="111" t="n"/>
      <c r="PG44" s="111" t="n"/>
      <c r="PH44" s="111" t="n"/>
      <c r="PI44" s="111" t="n"/>
      <c r="PJ44" s="111" t="n"/>
      <c r="PK44" s="111" t="n"/>
      <c r="PL44" s="111" t="n"/>
      <c r="PM44" s="111" t="n"/>
      <c r="PN44" s="111" t="n"/>
      <c r="PO44" s="111" t="n"/>
      <c r="PP44" s="111" t="n"/>
      <c r="PQ44" s="111" t="n"/>
      <c r="PR44" s="111" t="n"/>
      <c r="PS44" s="111" t="n"/>
      <c r="PT44" s="111" t="n"/>
      <c r="PU44" s="111" t="n"/>
      <c r="PV44" s="111" t="n"/>
      <c r="PW44" s="111" t="n"/>
      <c r="PX44" s="111" t="n"/>
      <c r="PY44" s="111" t="n"/>
      <c r="PZ44" s="111" t="n"/>
      <c r="QA44" s="111" t="n"/>
      <c r="QB44" s="111" t="n"/>
      <c r="QC44" s="111" t="n"/>
      <c r="QD44" s="111" t="n"/>
      <c r="QE44" s="111" t="n"/>
      <c r="QF44" s="111" t="n"/>
      <c r="QG44" s="111" t="n"/>
      <c r="QH44" s="111" t="n"/>
      <c r="QI44" s="111" t="n"/>
      <c r="QJ44" s="111" t="n"/>
      <c r="QK44" s="111" t="n"/>
      <c r="QL44" s="111" t="n"/>
      <c r="QM44" s="111" t="n"/>
      <c r="QN44" s="111" t="n"/>
      <c r="QO44" s="111" t="n"/>
      <c r="QP44" s="111" t="n"/>
      <c r="QQ44" s="111" t="n"/>
      <c r="QR44" s="111" t="n"/>
      <c r="QS44" s="111" t="n"/>
      <c r="QT44" s="111" t="n"/>
      <c r="QU44" s="111" t="n"/>
      <c r="QV44" s="111" t="n"/>
      <c r="QW44" s="111" t="n"/>
      <c r="QX44" s="111" t="n"/>
      <c r="QY44" s="111" t="n"/>
      <c r="QZ44" s="111" t="n"/>
      <c r="RA44" s="111" t="n"/>
      <c r="RB44" s="111" t="n"/>
      <c r="RC44" s="111" t="n"/>
      <c r="RD44" s="111" t="n"/>
      <c r="RE44" s="111" t="n"/>
      <c r="RF44" s="111" t="n"/>
      <c r="RG44" s="111" t="n"/>
      <c r="RH44" s="111" t="n"/>
      <c r="RI44" s="111" t="n"/>
      <c r="RJ44" s="111" t="n"/>
      <c r="RK44" s="111" t="n"/>
      <c r="RL44" s="111" t="n"/>
      <c r="RM44" s="111" t="n"/>
      <c r="RN44" s="111" t="n"/>
      <c r="RO44" s="111" t="n"/>
      <c r="RP44" s="111" t="n"/>
      <c r="RQ44" s="111" t="n"/>
      <c r="RR44" s="111" t="n"/>
      <c r="RS44" s="111" t="n"/>
      <c r="RT44" s="111" t="n"/>
      <c r="RU44" s="111" t="n"/>
      <c r="RV44" s="111" t="n"/>
      <c r="RW44" s="111" t="n"/>
      <c r="RX44" s="111" t="n"/>
      <c r="RY44" s="111" t="n"/>
      <c r="RZ44" s="111" t="n"/>
      <c r="SA44" s="111" t="n"/>
      <c r="SB44" s="111" t="n"/>
      <c r="SC44" s="111" t="n"/>
      <c r="SD44" s="111" t="n"/>
      <c r="SE44" s="111" t="n"/>
      <c r="SF44" s="111" t="n"/>
      <c r="SG44" s="111" t="n"/>
      <c r="SH44" s="111" t="n"/>
      <c r="SI44" s="111" t="n"/>
      <c r="SJ44" s="111" t="n"/>
      <c r="SK44" s="111" t="n"/>
    </row>
    <row r="45" ht="12.75" customFormat="1" customHeight="1" s="137">
      <c r="A45" s="142" t="n"/>
      <c r="B45" s="154" t="n"/>
      <c r="C45" s="144" t="n"/>
      <c r="D45" s="142" t="n"/>
      <c r="E45" s="142" t="n"/>
      <c r="F45" s="142" t="n"/>
      <c r="G45" s="262" t="n"/>
      <c r="H45" s="262">
        <f>WORKDAY(G45,I45-1,holidays)</f>
        <v/>
      </c>
      <c r="I45" s="149" t="n"/>
      <c r="J45" s="150" t="n"/>
      <c r="K45" s="151">
        <f>IF(OR(G45=0,H45=0),0,H45-G45+1)</f>
        <v/>
      </c>
      <c r="L45" s="152">
        <f>MIN(K45,WORKDAY(G45,ROUNDDOWN(J45*I45,0),holidays)-G45)</f>
        <v/>
      </c>
      <c r="M45" s="151">
        <f>K45-L45</f>
        <v/>
      </c>
      <c r="N45" s="145" t="n"/>
      <c r="P45" s="111" t="n"/>
      <c r="Q45" s="111" t="n"/>
      <c r="R45" s="111" t="n"/>
      <c r="S45" s="111" t="n"/>
      <c r="T45" s="111" t="n"/>
      <c r="U45" s="111" t="n"/>
      <c r="V45" s="111" t="n"/>
      <c r="W45" s="111" t="n"/>
      <c r="X45" s="111" t="n"/>
      <c r="Y45" s="111" t="n"/>
      <c r="Z45" s="111" t="n"/>
      <c r="AA45" s="111" t="n"/>
      <c r="AB45" s="111" t="n"/>
      <c r="AC45" s="111" t="n"/>
      <c r="AD45" s="111" t="n"/>
      <c r="AE45" s="111" t="n"/>
      <c r="AF45" s="111" t="n"/>
      <c r="AG45" s="111" t="n"/>
      <c r="AH45" s="111" t="n"/>
      <c r="AI45" s="111" t="n"/>
      <c r="AJ45" s="111" t="n"/>
      <c r="AK45" s="111" t="n"/>
      <c r="AL45" s="111" t="n"/>
      <c r="AM45" s="111" t="n"/>
      <c r="AN45" s="111" t="n"/>
      <c r="AO45" s="111" t="n"/>
      <c r="AP45" s="111" t="n"/>
      <c r="AQ45" s="111" t="n"/>
      <c r="AR45" s="111" t="n"/>
      <c r="AS45" s="111" t="n"/>
      <c r="AT45" s="111" t="n"/>
      <c r="AU45" s="111" t="n"/>
      <c r="AV45" s="111" t="n"/>
      <c r="AW45" s="111" t="n"/>
      <c r="AX45" s="111" t="n"/>
      <c r="AY45" s="111" t="n"/>
      <c r="AZ45" s="111"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1" t="n"/>
      <c r="CF45" s="111" t="n"/>
      <c r="CG45" s="111" t="n"/>
      <c r="CH45" s="111" t="n"/>
      <c r="CI45" s="111" t="n"/>
      <c r="CJ45" s="111" t="n"/>
      <c r="CK45" s="111" t="n"/>
      <c r="CL45" s="111" t="n"/>
      <c r="CM45" s="111" t="n"/>
      <c r="CN45" s="111" t="n"/>
      <c r="CO45" s="111" t="n"/>
      <c r="CP45" s="111" t="n"/>
      <c r="CQ45" s="111" t="n"/>
      <c r="CR45" s="111" t="n"/>
      <c r="CS45" s="111" t="n"/>
      <c r="CT45" s="111" t="n"/>
      <c r="CU45" s="111" t="n"/>
      <c r="CV45" s="111" t="n"/>
      <c r="CW45" s="111" t="n"/>
      <c r="CX45" s="111" t="n"/>
      <c r="CY45" s="111" t="n"/>
      <c r="CZ45" s="111" t="n"/>
      <c r="DA45" s="111" t="n"/>
      <c r="DB45" s="111" t="n"/>
      <c r="DC45" s="111" t="n"/>
      <c r="DD45" s="111" t="n"/>
      <c r="DE45" s="111" t="n"/>
      <c r="DF45" s="111" t="n"/>
      <c r="DG45" s="111" t="n"/>
      <c r="DH45" s="111" t="n"/>
      <c r="DI45" s="111" t="n"/>
      <c r="DJ45" s="111" t="n"/>
      <c r="DK45" s="111" t="n"/>
      <c r="DL45" s="111" t="n"/>
      <c r="DM45" s="111" t="n"/>
      <c r="DN45" s="111" t="n"/>
      <c r="DO45" s="111" t="n"/>
      <c r="DP45" s="111" t="n"/>
      <c r="DQ45" s="111" t="n"/>
      <c r="DR45" s="111" t="n"/>
      <c r="DS45" s="111" t="n"/>
      <c r="DT45" s="111" t="n"/>
      <c r="DU45" s="111" t="n"/>
      <c r="DV45" s="111" t="n"/>
      <c r="DW45" s="111" t="n"/>
      <c r="DX45" s="111" t="n"/>
      <c r="DY45" s="111" t="n"/>
      <c r="DZ45" s="111" t="n"/>
      <c r="EA45" s="111" t="n"/>
      <c r="EB45" s="111" t="n"/>
      <c r="EC45" s="111" t="n"/>
      <c r="ED45" s="111" t="n"/>
      <c r="EE45" s="111" t="n"/>
      <c r="EF45" s="111" t="n"/>
      <c r="EG45" s="111" t="n"/>
      <c r="EH45" s="111" t="n"/>
      <c r="EI45" s="111" t="n"/>
      <c r="EJ45" s="111" t="n"/>
      <c r="EK45" s="111" t="n"/>
      <c r="EL45" s="111" t="n"/>
      <c r="EM45" s="111" t="n"/>
      <c r="EN45" s="111" t="n"/>
      <c r="EO45" s="111" t="n"/>
      <c r="EP45" s="111" t="n"/>
      <c r="EQ45" s="111" t="n"/>
      <c r="ER45" s="111" t="n"/>
      <c r="ES45" s="111" t="n"/>
      <c r="ET45" s="111" t="n"/>
      <c r="EU45" s="111" t="n"/>
      <c r="EV45" s="111" t="n"/>
      <c r="EW45" s="111" t="n"/>
      <c r="EX45" s="111" t="n"/>
      <c r="EY45" s="111" t="n"/>
      <c r="EZ45" s="111" t="n"/>
      <c r="FA45" s="111" t="n"/>
      <c r="FB45" s="111" t="n"/>
      <c r="FC45" s="111" t="n"/>
      <c r="FD45" s="111" t="n"/>
      <c r="FE45" s="111" t="n"/>
      <c r="FF45" s="111" t="n"/>
      <c r="FG45" s="111" t="n"/>
      <c r="FH45" s="111" t="n"/>
      <c r="FI45" s="111" t="n"/>
      <c r="FJ45" s="111" t="n"/>
      <c r="FK45" s="111" t="n"/>
      <c r="FL45" s="111" t="n"/>
      <c r="FM45" s="111" t="n"/>
      <c r="FN45" s="111" t="n"/>
      <c r="FO45" s="111" t="n"/>
      <c r="FP45" s="111" t="n"/>
      <c r="FQ45" s="111" t="n"/>
      <c r="FR45" s="111" t="n"/>
      <c r="FS45" s="111" t="n"/>
      <c r="FT45" s="111" t="n"/>
      <c r="FU45" s="111" t="n"/>
      <c r="FV45" s="111" t="n"/>
      <c r="FW45" s="111" t="n"/>
      <c r="FX45" s="111" t="n"/>
      <c r="FY45" s="111" t="n"/>
      <c r="FZ45" s="111" t="n"/>
      <c r="GA45" s="111" t="n"/>
      <c r="GB45" s="111" t="n"/>
      <c r="GC45" s="111" t="n"/>
      <c r="GD45" s="111" t="n"/>
      <c r="GE45" s="111" t="n"/>
      <c r="GF45" s="111" t="n"/>
      <c r="GG45" s="111" t="n"/>
      <c r="GH45" s="111" t="n"/>
      <c r="GI45" s="111" t="n"/>
      <c r="GJ45" s="111" t="n"/>
      <c r="GK45" s="111" t="n"/>
      <c r="GL45" s="111" t="n"/>
      <c r="GM45" s="111" t="n"/>
      <c r="GN45" s="111" t="n"/>
      <c r="GO45" s="111" t="n"/>
      <c r="GP45" s="111" t="n"/>
      <c r="GQ45" s="111" t="n"/>
      <c r="GR45" s="111" t="n"/>
      <c r="GS45" s="111" t="n"/>
      <c r="GT45" s="111" t="n"/>
      <c r="GU45" s="111" t="n"/>
      <c r="GV45" s="111" t="n"/>
      <c r="GW45" s="111" t="n"/>
      <c r="GX45" s="111" t="n"/>
      <c r="GY45" s="111" t="n"/>
      <c r="GZ45" s="111" t="n"/>
      <c r="HA45" s="111" t="n"/>
      <c r="HB45" s="111" t="n"/>
      <c r="HC45" s="111" t="n"/>
      <c r="HD45" s="111" t="n"/>
      <c r="HE45" s="111" t="n"/>
      <c r="HF45" s="111" t="n"/>
      <c r="HG45" s="111" t="n"/>
      <c r="HH45" s="111" t="n"/>
      <c r="HI45" s="111" t="n"/>
      <c r="HJ45" s="111" t="n"/>
      <c r="HK45" s="111" t="n"/>
      <c r="HL45" s="111" t="n"/>
      <c r="HM45" s="111" t="n"/>
      <c r="HN45" s="111" t="n"/>
      <c r="HO45" s="111" t="n"/>
      <c r="HP45" s="111" t="n"/>
      <c r="HQ45" s="111" t="n"/>
      <c r="HR45" s="111" t="n"/>
      <c r="HS45" s="111" t="n"/>
      <c r="HT45" s="111" t="n"/>
      <c r="HU45" s="111" t="n"/>
      <c r="HV45" s="111" t="n"/>
      <c r="HW45" s="111" t="n"/>
      <c r="HX45" s="111" t="n"/>
      <c r="HY45" s="111" t="n"/>
      <c r="HZ45" s="111" t="n"/>
      <c r="IA45" s="111" t="n"/>
      <c r="IB45" s="111" t="n"/>
      <c r="IC45" s="111" t="n"/>
      <c r="ID45" s="111" t="n"/>
      <c r="IE45" s="111" t="n"/>
      <c r="IF45" s="111" t="n"/>
      <c r="IG45" s="111" t="n"/>
      <c r="IH45" s="111" t="n"/>
      <c r="II45" s="111" t="n"/>
      <c r="IJ45" s="111" t="n"/>
      <c r="IK45" s="111" t="n"/>
      <c r="IL45" s="111" t="n"/>
      <c r="IM45" s="111" t="n"/>
      <c r="IN45" s="111" t="n"/>
      <c r="IO45" s="111" t="n"/>
      <c r="IP45" s="111" t="n"/>
      <c r="IQ45" s="111" t="n"/>
      <c r="IR45" s="111" t="n"/>
      <c r="IS45" s="111" t="n"/>
      <c r="IT45" s="111" t="n"/>
      <c r="IU45" s="111" t="n"/>
      <c r="IV45" s="111" t="n"/>
      <c r="IW45" s="111" t="n"/>
      <c r="IX45" s="111" t="n"/>
      <c r="IY45" s="111" t="n"/>
      <c r="IZ45" s="111" t="n"/>
      <c r="JA45" s="111" t="n"/>
      <c r="JB45" s="111" t="n"/>
      <c r="JC45" s="111" t="n"/>
      <c r="JD45" s="111" t="n"/>
      <c r="JE45" s="111" t="n"/>
      <c r="JF45" s="111" t="n"/>
      <c r="JG45" s="111" t="n"/>
      <c r="JH45" s="111" t="n"/>
      <c r="JI45" s="111" t="n"/>
      <c r="JJ45" s="111" t="n"/>
      <c r="JK45" s="111" t="n"/>
      <c r="JL45" s="111" t="n"/>
      <c r="JM45" s="111" t="n"/>
      <c r="JN45" s="111" t="n"/>
      <c r="JO45" s="111" t="n"/>
      <c r="JP45" s="111" t="n"/>
      <c r="JQ45" s="111" t="n"/>
      <c r="JR45" s="111" t="n"/>
      <c r="JS45" s="111" t="n"/>
      <c r="JT45" s="111" t="n"/>
      <c r="JU45" s="111" t="n"/>
      <c r="JV45" s="111" t="n"/>
      <c r="JW45" s="111" t="n"/>
      <c r="JX45" s="111" t="n"/>
      <c r="JY45" s="111" t="n"/>
      <c r="JZ45" s="111" t="n"/>
      <c r="KA45" s="111" t="n"/>
      <c r="KB45" s="111" t="n"/>
      <c r="KC45" s="111" t="n"/>
      <c r="KD45" s="111" t="n"/>
      <c r="KE45" s="111" t="n"/>
      <c r="KF45" s="111" t="n"/>
      <c r="KG45" s="111" t="n"/>
      <c r="KH45" s="111" t="n"/>
      <c r="KI45" s="111" t="n"/>
      <c r="KJ45" s="111" t="n"/>
      <c r="KK45" s="111" t="n"/>
      <c r="KL45" s="111" t="n"/>
      <c r="KM45" s="111" t="n"/>
      <c r="KN45" s="111" t="n"/>
      <c r="KO45" s="111" t="n"/>
      <c r="KP45" s="111" t="n"/>
      <c r="KQ45" s="111" t="n"/>
      <c r="KR45" s="111" t="n"/>
      <c r="KS45" s="111" t="n"/>
      <c r="KT45" s="111" t="n"/>
      <c r="KU45" s="111" t="n"/>
      <c r="KV45" s="111" t="n"/>
      <c r="KW45" s="111" t="n"/>
      <c r="KX45" s="111" t="n"/>
      <c r="KY45" s="111" t="n"/>
      <c r="KZ45" s="111" t="n"/>
      <c r="LA45" s="111" t="n"/>
      <c r="LB45" s="111" t="n"/>
      <c r="LC45" s="111" t="n"/>
      <c r="LD45" s="111" t="n"/>
      <c r="LE45" s="111" t="n"/>
      <c r="LF45" s="111" t="n"/>
      <c r="LG45" s="111" t="n"/>
      <c r="LH45" s="111" t="n"/>
      <c r="LI45" s="111" t="n"/>
      <c r="LJ45" s="111" t="n"/>
      <c r="LK45" s="111" t="n"/>
      <c r="LL45" s="111" t="n"/>
      <c r="LM45" s="111" t="n"/>
      <c r="LN45" s="111" t="n"/>
      <c r="LO45" s="111" t="n"/>
      <c r="LP45" s="111" t="n"/>
      <c r="LQ45" s="111" t="n"/>
      <c r="LR45" s="111" t="n"/>
      <c r="LS45" s="111" t="n"/>
      <c r="LT45" s="111" t="n"/>
      <c r="LU45" s="111" t="n"/>
      <c r="LV45" s="111" t="n"/>
      <c r="LW45" s="111" t="n"/>
      <c r="LX45" s="111" t="n"/>
      <c r="LY45" s="111" t="n"/>
      <c r="LZ45" s="111" t="n"/>
      <c r="MA45" s="111" t="n"/>
      <c r="MB45" s="111" t="n"/>
      <c r="MC45" s="111" t="n"/>
      <c r="MD45" s="111" t="n"/>
      <c r="ME45" s="111" t="n"/>
      <c r="MF45" s="111" t="n"/>
      <c r="MG45" s="111" t="n"/>
      <c r="MH45" s="111" t="n"/>
      <c r="MI45" s="111" t="n"/>
      <c r="MJ45" s="111" t="n"/>
      <c r="MK45" s="111" t="n"/>
      <c r="ML45" s="111" t="n"/>
      <c r="MM45" s="111" t="n"/>
      <c r="MN45" s="111" t="n"/>
      <c r="MO45" s="111" t="n"/>
      <c r="MP45" s="111" t="n"/>
      <c r="MQ45" s="111" t="n"/>
      <c r="MR45" s="111" t="n"/>
      <c r="MS45" s="111" t="n"/>
      <c r="MT45" s="111" t="n"/>
      <c r="MU45" s="111" t="n"/>
      <c r="MV45" s="111" t="n"/>
      <c r="MW45" s="111" t="n"/>
      <c r="MX45" s="111" t="n"/>
      <c r="MY45" s="111" t="n"/>
      <c r="MZ45" s="111" t="n"/>
      <c r="NA45" s="111" t="n"/>
      <c r="NB45" s="111" t="n"/>
      <c r="NC45" s="111" t="n"/>
      <c r="ND45" s="111" t="n"/>
      <c r="NE45" s="111" t="n"/>
      <c r="NF45" s="111" t="n"/>
      <c r="NG45" s="111" t="n"/>
      <c r="NH45" s="111" t="n"/>
      <c r="NI45" s="111" t="n"/>
      <c r="NJ45" s="111" t="n"/>
      <c r="NK45" s="111" t="n"/>
      <c r="NL45" s="111" t="n"/>
      <c r="NM45" s="111" t="n"/>
      <c r="NN45" s="111" t="n"/>
      <c r="NO45" s="111" t="n"/>
      <c r="NP45" s="111" t="n"/>
      <c r="NQ45" s="111" t="n"/>
      <c r="NR45" s="111" t="n"/>
      <c r="NS45" s="111" t="n"/>
      <c r="NT45" s="111" t="n"/>
      <c r="NU45" s="111" t="n"/>
      <c r="NV45" s="111" t="n"/>
      <c r="NW45" s="111" t="n"/>
      <c r="NX45" s="111" t="n"/>
      <c r="NY45" s="111" t="n"/>
      <c r="NZ45" s="111" t="n"/>
      <c r="OA45" s="111" t="n"/>
      <c r="OB45" s="111" t="n"/>
      <c r="OC45" s="111" t="n"/>
      <c r="OD45" s="111" t="n"/>
      <c r="OE45" s="111" t="n"/>
      <c r="OF45" s="111" t="n"/>
      <c r="OG45" s="111" t="n"/>
      <c r="OH45" s="111" t="n"/>
      <c r="OI45" s="111" t="n"/>
      <c r="OJ45" s="111" t="n"/>
      <c r="OK45" s="111" t="n"/>
      <c r="OL45" s="111" t="n"/>
      <c r="OM45" s="111" t="n"/>
      <c r="ON45" s="111" t="n"/>
      <c r="OO45" s="111" t="n"/>
      <c r="OP45" s="111" t="n"/>
      <c r="OQ45" s="111" t="n"/>
      <c r="OR45" s="111" t="n"/>
      <c r="OS45" s="111" t="n"/>
      <c r="OT45" s="111" t="n"/>
      <c r="OU45" s="111" t="n"/>
      <c r="OV45" s="111" t="n"/>
      <c r="OW45" s="111" t="n"/>
      <c r="OX45" s="111" t="n"/>
      <c r="OY45" s="111" t="n"/>
      <c r="OZ45" s="111" t="n"/>
      <c r="PA45" s="111" t="n"/>
      <c r="PB45" s="111" t="n"/>
      <c r="PC45" s="111" t="n"/>
      <c r="PD45" s="111" t="n"/>
      <c r="PE45" s="111" t="n"/>
      <c r="PF45" s="111" t="n"/>
      <c r="PG45" s="111" t="n"/>
      <c r="PH45" s="111" t="n"/>
      <c r="PI45" s="111" t="n"/>
      <c r="PJ45" s="111" t="n"/>
      <c r="PK45" s="111" t="n"/>
      <c r="PL45" s="111" t="n"/>
      <c r="PM45" s="111" t="n"/>
      <c r="PN45" s="111" t="n"/>
      <c r="PO45" s="111" t="n"/>
      <c r="PP45" s="111" t="n"/>
      <c r="PQ45" s="111" t="n"/>
      <c r="PR45" s="111" t="n"/>
      <c r="PS45" s="111" t="n"/>
      <c r="PT45" s="111" t="n"/>
      <c r="PU45" s="111" t="n"/>
      <c r="PV45" s="111" t="n"/>
      <c r="PW45" s="111" t="n"/>
      <c r="PX45" s="111" t="n"/>
      <c r="PY45" s="111" t="n"/>
      <c r="PZ45" s="111" t="n"/>
      <c r="QA45" s="111" t="n"/>
      <c r="QB45" s="111" t="n"/>
      <c r="QC45" s="111" t="n"/>
      <c r="QD45" s="111" t="n"/>
      <c r="QE45" s="111" t="n"/>
      <c r="QF45" s="111" t="n"/>
      <c r="QG45" s="111" t="n"/>
      <c r="QH45" s="111" t="n"/>
      <c r="QI45" s="111" t="n"/>
      <c r="QJ45" s="111" t="n"/>
      <c r="QK45" s="111" t="n"/>
      <c r="QL45" s="111" t="n"/>
      <c r="QM45" s="111" t="n"/>
      <c r="QN45" s="111" t="n"/>
      <c r="QO45" s="111" t="n"/>
      <c r="QP45" s="111" t="n"/>
      <c r="QQ45" s="111" t="n"/>
      <c r="QR45" s="111" t="n"/>
      <c r="QS45" s="111" t="n"/>
      <c r="QT45" s="111" t="n"/>
      <c r="QU45" s="111" t="n"/>
      <c r="QV45" s="111" t="n"/>
      <c r="QW45" s="111" t="n"/>
      <c r="QX45" s="111" t="n"/>
      <c r="QY45" s="111" t="n"/>
      <c r="QZ45" s="111" t="n"/>
      <c r="RA45" s="111" t="n"/>
      <c r="RB45" s="111" t="n"/>
      <c r="RC45" s="111" t="n"/>
      <c r="RD45" s="111" t="n"/>
      <c r="RE45" s="111" t="n"/>
      <c r="RF45" s="111" t="n"/>
      <c r="RG45" s="111" t="n"/>
      <c r="RH45" s="111" t="n"/>
      <c r="RI45" s="111" t="n"/>
      <c r="RJ45" s="111" t="n"/>
      <c r="RK45" s="111" t="n"/>
      <c r="RL45" s="111" t="n"/>
      <c r="RM45" s="111" t="n"/>
      <c r="RN45" s="111" t="n"/>
      <c r="RO45" s="111" t="n"/>
      <c r="RP45" s="111" t="n"/>
      <c r="RQ45" s="111" t="n"/>
      <c r="RR45" s="111" t="n"/>
      <c r="RS45" s="111" t="n"/>
      <c r="RT45" s="111" t="n"/>
      <c r="RU45" s="111" t="n"/>
      <c r="RV45" s="111" t="n"/>
      <c r="RW45" s="111" t="n"/>
      <c r="RX45" s="111" t="n"/>
      <c r="RY45" s="111" t="n"/>
      <c r="RZ45" s="111" t="n"/>
      <c r="SA45" s="111" t="n"/>
      <c r="SB45" s="111" t="n"/>
      <c r="SC45" s="111" t="n"/>
      <c r="SD45" s="111" t="n"/>
      <c r="SE45" s="111" t="n"/>
      <c r="SF45" s="111" t="n"/>
      <c r="SG45" s="111" t="n"/>
      <c r="SH45" s="111" t="n"/>
      <c r="SI45" s="111" t="n"/>
      <c r="SJ45" s="111" t="n"/>
      <c r="SK45" s="111" t="n"/>
    </row>
    <row r="46" ht="12.75" customHeight="1" s="99">
      <c r="A46" s="142" t="n"/>
      <c r="B46" s="264" t="n"/>
      <c r="C46" s="265" t="n"/>
      <c r="D46" s="142" t="n"/>
      <c r="E46" s="142" t="n"/>
      <c r="F46" s="142" t="n"/>
      <c r="G46" s="262" t="n"/>
      <c r="H46" s="262">
        <f>WORKDAY(G46,I46-1,holidays)</f>
        <v/>
      </c>
      <c r="I46" s="266" t="n"/>
      <c r="J46" s="267" t="n"/>
      <c r="K46" s="151">
        <f>IF(OR(G46=0,H46=0),0,H46-G46+1)</f>
        <v/>
      </c>
      <c r="L46" s="151">
        <f>MIN(K46,WORKDAY(G46,ROUNDDOWN(J46*I46,0),holidays)-G46)</f>
        <v/>
      </c>
      <c r="M46" s="151">
        <f>K46-L46</f>
        <v/>
      </c>
      <c r="N46" s="145" t="n"/>
    </row>
    <row r="47" ht="12.75" customHeight="1" s="99">
      <c r="A47" s="142" t="n"/>
      <c r="B47" s="264" t="n"/>
      <c r="C47" s="265" t="n"/>
      <c r="D47" s="142" t="n"/>
      <c r="E47" s="142" t="n"/>
      <c r="F47" s="142" t="n"/>
      <c r="G47" s="262" t="n"/>
      <c r="H47" s="262">
        <f>WORKDAY(G47,I47-1,holidays)</f>
        <v/>
      </c>
      <c r="I47" s="266" t="n"/>
      <c r="J47" s="267" t="n"/>
      <c r="K47" s="151">
        <f>IF(OR(G47=0,H47=0),0,H47-G47+1)</f>
        <v/>
      </c>
      <c r="L47" s="151">
        <f>MIN(K47,WORKDAY(G47,ROUNDDOWN(J47*I47,0),holidays)-G47)</f>
        <v/>
      </c>
      <c r="M47" s="151">
        <f>K47-L47</f>
        <v/>
      </c>
      <c r="N47" s="145" t="n"/>
    </row>
    <row r="48" ht="12.75" customHeight="1" s="99">
      <c r="A48" s="142" t="n"/>
      <c r="B48" s="264" t="n"/>
      <c r="C48" s="265" t="n"/>
      <c r="D48" s="142" t="n"/>
      <c r="E48" s="142" t="n"/>
      <c r="F48" s="142" t="n"/>
      <c r="G48" s="262" t="n"/>
      <c r="H48" s="262">
        <f>WORKDAY(G48,I48-1,holidays)</f>
        <v/>
      </c>
      <c r="I48" s="266" t="n"/>
      <c r="J48" s="267" t="n"/>
      <c r="K48" s="151">
        <f>IF(OR(G48=0,H48=0),0,H48-G48+1)</f>
        <v/>
      </c>
      <c r="L48" s="151">
        <f>MIN(K48,WORKDAY(G48,ROUNDDOWN(J48*I48,0),holidays)-G48)</f>
        <v/>
      </c>
      <c r="M48" s="151">
        <f>K48-L48</f>
        <v/>
      </c>
      <c r="N48" s="145" t="n"/>
    </row>
    <row r="49" ht="12.75" customHeight="1" s="99">
      <c r="A49" s="142" t="n"/>
      <c r="B49" s="264" t="n"/>
      <c r="C49" s="265" t="n"/>
      <c r="D49" s="142" t="n"/>
      <c r="E49" s="142" t="n"/>
      <c r="F49" s="142" t="n"/>
      <c r="G49" s="262" t="n"/>
      <c r="H49" s="262">
        <f>WORKDAY(G49,I49-1,holidays)</f>
        <v/>
      </c>
      <c r="I49" s="266" t="n"/>
      <c r="J49" s="267" t="n"/>
      <c r="K49" s="151">
        <f>IF(OR(G49=0,H49=0),0,H49-G49+1)</f>
        <v/>
      </c>
      <c r="L49" s="151">
        <f>MIN(K49,WORKDAY(G49,ROUNDDOWN(J49*I49,0),holidays)-G49)</f>
        <v/>
      </c>
      <c r="M49" s="151">
        <f>K49-L49</f>
        <v/>
      </c>
      <c r="N49" s="145" t="n"/>
    </row>
    <row r="50" ht="12.75" customHeight="1" s="99">
      <c r="A50" s="142" t="n"/>
      <c r="B50" s="264" t="n"/>
      <c r="C50" s="265" t="n"/>
      <c r="D50" s="142" t="n"/>
      <c r="E50" s="142" t="n"/>
      <c r="F50" s="142" t="n"/>
      <c r="G50" s="262" t="n"/>
      <c r="H50" s="262">
        <f>WORKDAY(G50,I50-1,holidays)</f>
        <v/>
      </c>
      <c r="I50" s="266" t="n"/>
      <c r="J50" s="267" t="n"/>
      <c r="K50" s="151">
        <f>IF(OR(G50=0,H50=0),0,H50-G50+1)</f>
        <v/>
      </c>
      <c r="L50" s="151">
        <f>MIN(K50,WORKDAY(G50,ROUNDDOWN(J50*I50,0),holidays)-G50)</f>
        <v/>
      </c>
      <c r="M50" s="151">
        <f>K50-L50</f>
        <v/>
      </c>
      <c r="N50" s="145" t="n"/>
    </row>
    <row r="51" ht="12.75" customHeight="1" s="99">
      <c r="A51" s="142" t="n"/>
      <c r="B51" s="264" t="n"/>
      <c r="C51" s="265" t="n"/>
      <c r="D51" s="142" t="n"/>
      <c r="E51" s="142" t="n"/>
      <c r="F51" s="142" t="n"/>
      <c r="G51" s="262" t="n"/>
      <c r="H51" s="262">
        <f>WORKDAY(G51,I51-1,holidays)</f>
        <v/>
      </c>
      <c r="I51" s="266" t="n"/>
      <c r="J51" s="267" t="n"/>
      <c r="K51" s="151">
        <f>IF(OR(G51=0,H51=0),0,H51-G51+1)</f>
        <v/>
      </c>
      <c r="L51" s="151">
        <f>MIN(K51,WORKDAY(G51,ROUNDDOWN(J51*I51,0),holidays)-G51)</f>
        <v/>
      </c>
      <c r="M51" s="151">
        <f>K51-L51</f>
        <v/>
      </c>
      <c r="N51" s="145" t="n"/>
    </row>
    <row r="52" ht="12.75" customHeight="1" s="99">
      <c r="A52" s="142" t="n"/>
      <c r="B52" s="264" t="n"/>
      <c r="C52" s="265" t="n"/>
      <c r="D52" s="142" t="n"/>
      <c r="E52" s="142" t="n"/>
      <c r="F52" s="142" t="n"/>
      <c r="G52" s="262" t="n"/>
      <c r="H52" s="262">
        <f>WORKDAY(G52,I52-1,holidays)</f>
        <v/>
      </c>
      <c r="I52" s="266" t="n"/>
      <c r="J52" s="267" t="n"/>
      <c r="K52" s="151">
        <f>IF(OR(G52=0,H52=0),0,H52-G52+1)</f>
        <v/>
      </c>
      <c r="L52" s="151">
        <f>MIN(K52,WORKDAY(G52,ROUNDDOWN(J52*I52,0),holidays)-G52)</f>
        <v/>
      </c>
      <c r="M52" s="151">
        <f>K52-L52</f>
        <v/>
      </c>
      <c r="N52" s="145" t="n"/>
    </row>
    <row r="53" ht="12.75" customHeight="1" s="99">
      <c r="A53" s="142" t="n"/>
      <c r="B53" s="264" t="n"/>
      <c r="C53" s="265" t="n"/>
      <c r="D53" s="142" t="n"/>
      <c r="E53" s="142" t="n"/>
      <c r="F53" s="142" t="n"/>
      <c r="G53" s="262" t="n"/>
      <c r="H53" s="262">
        <f>WORKDAY(G53,I53-1,holidays)</f>
        <v/>
      </c>
      <c r="I53" s="266" t="n"/>
      <c r="J53" s="267" t="n"/>
      <c r="K53" s="151">
        <f>IF(OR(G53=0,H53=0),0,H53-G53+1)</f>
        <v/>
      </c>
      <c r="L53" s="151">
        <f>MIN(K53,WORKDAY(G53,ROUNDDOWN(J53*I53,0),holidays)-G53)</f>
        <v/>
      </c>
      <c r="M53" s="151">
        <f>K53-L53</f>
        <v/>
      </c>
      <c r="N53" s="145" t="n"/>
    </row>
    <row r="54" ht="12.75" customHeight="1" s="99">
      <c r="A54" s="142" t="n"/>
      <c r="B54" s="264" t="n"/>
      <c r="C54" s="265" t="n"/>
      <c r="D54" s="142" t="n"/>
      <c r="E54" s="142" t="n"/>
      <c r="F54" s="142" t="n"/>
      <c r="G54" s="262" t="n"/>
      <c r="H54" s="262">
        <f>WORKDAY(G54,I54-1,holidays)</f>
        <v/>
      </c>
      <c r="I54" s="266" t="n"/>
      <c r="J54" s="267" t="n"/>
      <c r="K54" s="151">
        <f>IF(OR(G54=0,H54=0),0,H54-G54+1)</f>
        <v/>
      </c>
      <c r="L54" s="151">
        <f>MIN(K54,WORKDAY(G54,ROUNDDOWN(J54*I54,0),holidays)-G54)</f>
        <v/>
      </c>
      <c r="M54" s="151">
        <f>K54-L54</f>
        <v/>
      </c>
      <c r="N54" s="145" t="n"/>
    </row>
    <row r="55" ht="12.75" customHeight="1" s="99">
      <c r="A55" s="142" t="n"/>
      <c r="B55" s="264" t="n"/>
      <c r="C55" s="265" t="n"/>
      <c r="D55" s="142" t="n"/>
      <c r="E55" s="142" t="n"/>
      <c r="F55" s="142" t="n"/>
      <c r="G55" s="262" t="n"/>
      <c r="H55" s="262">
        <f>WORKDAY(G55,I55-1,holidays)</f>
        <v/>
      </c>
      <c r="I55" s="266" t="n"/>
      <c r="J55" s="267" t="n"/>
      <c r="K55" s="151">
        <f>IF(OR(G55=0,H55=0),0,H55-G55+1)</f>
        <v/>
      </c>
      <c r="L55" s="151">
        <f>MIN(K55,WORKDAY(G55,ROUNDDOWN(J55*I55,0),holidays)-G55)</f>
        <v/>
      </c>
      <c r="M55" s="151">
        <f>K55-L55</f>
        <v/>
      </c>
      <c r="N55" s="145" t="n"/>
    </row>
    <row r="56" ht="12.75" customHeight="1" s="99">
      <c r="A56" s="142" t="n"/>
      <c r="B56" s="264" t="n"/>
      <c r="C56" s="265" t="n"/>
      <c r="D56" s="142" t="n"/>
      <c r="E56" s="142" t="n"/>
      <c r="F56" s="142" t="n"/>
      <c r="G56" s="262" t="n"/>
      <c r="H56" s="262">
        <f>WORKDAY(G56,I56-1,holidays)</f>
        <v/>
      </c>
      <c r="I56" s="266" t="n"/>
      <c r="J56" s="267" t="n"/>
      <c r="K56" s="151">
        <f>IF(OR(G56=0,H56=0),0,H56-G56+1)</f>
        <v/>
      </c>
      <c r="L56" s="151">
        <f>MIN(K56,WORKDAY(G56,ROUNDDOWN(J56*I56,0),holidays)-G56)</f>
        <v/>
      </c>
      <c r="M56" s="151">
        <f>K56-L56</f>
        <v/>
      </c>
      <c r="N56" s="145" t="n"/>
    </row>
    <row r="57" ht="12.75" customHeight="1" s="99">
      <c r="A57" s="142" t="n"/>
      <c r="B57" s="264" t="n"/>
      <c r="C57" s="265" t="n"/>
      <c r="D57" s="142" t="n"/>
      <c r="E57" s="142" t="n"/>
      <c r="F57" s="142" t="n"/>
      <c r="G57" s="262" t="n"/>
      <c r="H57" s="262">
        <f>WORKDAY(G57,I57-1,holidays)</f>
        <v/>
      </c>
      <c r="I57" s="266" t="n"/>
      <c r="J57" s="267" t="n"/>
      <c r="K57" s="151">
        <f>IF(OR(G57=0,H57=0),0,H57-G57+1)</f>
        <v/>
      </c>
      <c r="L57" s="151">
        <f>MIN(K57,WORKDAY(G57,ROUNDDOWN(J57*I57,0),holidays)-G57)</f>
        <v/>
      </c>
      <c r="M57" s="151">
        <f>K57-L57</f>
        <v/>
      </c>
      <c r="N57" s="145" t="n"/>
    </row>
    <row r="58" ht="12.75" customHeight="1" s="99">
      <c r="A58" s="142" t="n"/>
      <c r="B58" s="264" t="n"/>
      <c r="C58" s="265" t="n"/>
      <c r="D58" s="142" t="n"/>
      <c r="E58" s="142" t="n"/>
      <c r="F58" s="142" t="n"/>
      <c r="G58" s="262" t="n"/>
      <c r="H58" s="262">
        <f>WORKDAY(G58,I58-1,holidays)</f>
        <v/>
      </c>
      <c r="I58" s="266" t="n"/>
      <c r="J58" s="267" t="n"/>
      <c r="K58" s="151">
        <f>IF(OR(G58=0,H58=0),0,H58-G58+1)</f>
        <v/>
      </c>
      <c r="L58" s="151">
        <f>MIN(K58,WORKDAY(G58,ROUNDDOWN(J58*I58,0),holidays)-G58)</f>
        <v/>
      </c>
      <c r="M58" s="151">
        <f>K58-L58</f>
        <v/>
      </c>
      <c r="N58" s="145" t="n"/>
    </row>
    <row r="59" ht="12.75" customHeight="1" s="99">
      <c r="A59" s="142" t="n"/>
      <c r="B59" s="264" t="n"/>
      <c r="C59" s="265" t="n"/>
      <c r="D59" s="142" t="n"/>
      <c r="E59" s="142" t="n"/>
      <c r="F59" s="142" t="n"/>
      <c r="G59" s="262" t="n"/>
      <c r="H59" s="262">
        <f>WORKDAY(G59,I59-1,holidays)</f>
        <v/>
      </c>
      <c r="I59" s="266" t="n"/>
      <c r="J59" s="267" t="n"/>
      <c r="K59" s="151">
        <f>IF(OR(G59=0,H59=0),0,H59-G59+1)</f>
        <v/>
      </c>
      <c r="L59" s="151">
        <f>MIN(K59,WORKDAY(G59,ROUNDDOWN(J59*I59,0),holidays)-G59)</f>
        <v/>
      </c>
      <c r="M59" s="151">
        <f>K59-L59</f>
        <v/>
      </c>
      <c r="N59" s="145" t="n"/>
    </row>
    <row r="60" ht="12.75" customHeight="1" s="99">
      <c r="A60" s="142" t="n"/>
      <c r="B60" s="264" t="n"/>
      <c r="C60" s="265" t="n"/>
      <c r="D60" s="142" t="n"/>
      <c r="E60" s="142" t="n"/>
      <c r="F60" s="142" t="n"/>
      <c r="G60" s="262" t="n"/>
      <c r="H60" s="262">
        <f>WORKDAY(G60,I60-1,holidays)</f>
        <v/>
      </c>
      <c r="I60" s="266" t="n"/>
      <c r="J60" s="267" t="n"/>
      <c r="K60" s="151">
        <f>IF(OR(G60=0,H60=0),0,H60-G60+1)</f>
        <v/>
      </c>
      <c r="L60" s="151">
        <f>MIN(K60,WORKDAY(G60,ROUNDDOWN(J60*I60,0),holidays)-G60)</f>
        <v/>
      </c>
      <c r="M60" s="151">
        <f>K60-L60</f>
        <v/>
      </c>
      <c r="N60" s="145" t="n"/>
    </row>
    <row r="61" ht="12.75" customHeight="1" s="99">
      <c r="A61" s="142" t="n"/>
      <c r="B61" s="264" t="n"/>
      <c r="C61" s="265" t="n"/>
      <c r="D61" s="142" t="n"/>
      <c r="E61" s="142" t="n"/>
      <c r="F61" s="142" t="n"/>
      <c r="G61" s="262" t="n"/>
      <c r="H61" s="262">
        <f>WORKDAY(G61,I61-1,holidays)</f>
        <v/>
      </c>
      <c r="I61" s="266" t="n"/>
      <c r="J61" s="267" t="n"/>
      <c r="K61" s="151">
        <f>IF(OR(G61=0,H61=0),0,H61-G61+1)</f>
        <v/>
      </c>
      <c r="L61" s="151">
        <f>MIN(K61,WORKDAY(G61,ROUNDDOWN(J61*I61,0),holidays)-G61)</f>
        <v/>
      </c>
      <c r="M61" s="151">
        <f>K61-L61</f>
        <v/>
      </c>
      <c r="N61" s="145" t="n"/>
    </row>
    <row r="62" ht="12.75" customHeight="1" s="99">
      <c r="A62" s="142" t="n"/>
      <c r="B62" s="264" t="n"/>
      <c r="C62" s="265" t="n"/>
      <c r="D62" s="142" t="n"/>
      <c r="E62" s="142" t="n"/>
      <c r="F62" s="142" t="n"/>
      <c r="G62" s="262" t="n"/>
      <c r="H62" s="262">
        <f>WORKDAY(G62,I62-1,holidays)</f>
        <v/>
      </c>
      <c r="I62" s="266" t="n"/>
      <c r="J62" s="267" t="n"/>
      <c r="K62" s="151">
        <f>IF(OR(G62=0,H62=0),0,H62-G62+1)</f>
        <v/>
      </c>
      <c r="L62" s="151">
        <f>MIN(K62,WORKDAY(G62,ROUNDDOWN(J62*I62,0),holidays)-G62)</f>
        <v/>
      </c>
      <c r="M62" s="151">
        <f>K62-L62</f>
        <v/>
      </c>
      <c r="N62" s="145" t="n"/>
    </row>
    <row r="63" ht="12.75" customHeight="1" s="99">
      <c r="A63" s="142" t="n"/>
      <c r="B63" s="264" t="n"/>
      <c r="C63" s="265" t="n"/>
      <c r="D63" s="142" t="n"/>
      <c r="E63" s="142" t="n"/>
      <c r="F63" s="142" t="n"/>
      <c r="G63" s="262" t="n"/>
      <c r="H63" s="262">
        <f>WORKDAY(G63,I63-1,holidays)</f>
        <v/>
      </c>
      <c r="I63" s="266" t="n"/>
      <c r="J63" s="267" t="n"/>
      <c r="K63" s="151">
        <f>IF(OR(G63=0,H63=0),0,H63-G63+1)</f>
        <v/>
      </c>
      <c r="L63" s="151">
        <f>MIN(K63,WORKDAY(G63,ROUNDDOWN(J63*I63,0),holidays)-G63)</f>
        <v/>
      </c>
      <c r="M63" s="151">
        <f>K63-L63</f>
        <v/>
      </c>
      <c r="N63" s="145" t="n"/>
    </row>
  </sheetData>
  <sheetProtection selectLockedCells="0" selectUnlockedCells="0" algorithmName="SHA-512" sheet="1" objects="1" insertRows="1" insertHyperlinks="1" autoFilter="1" scenarios="1" formatColumns="1" deleteColumns="1" insertColumns="1" pivotTables="1" deleteRows="1" formatCells="1" saltValue="czCJTe7dw8iQbPKif6kR4A==" formatRows="1" sort="1" spinCount="100000" hashValue="HrMoUH/57b/TklWAW/douYM6VBVdHXgvsrpBCAQcfFQr+gGJtmmTJxg38yainyDuP/csDOIILDDtE66Cc/3+Tg=="/>
  <mergeCells count="230">
    <mergeCell ref="EZ9:FF9"/>
    <mergeCell ref="B7:F7"/>
    <mergeCell ref="AY10:BE10"/>
    <mergeCell ref="QH9:QN9"/>
    <mergeCell ref="GI11:GO11"/>
    <mergeCell ref="JA9:JG9"/>
    <mergeCell ref="IM11:IS11"/>
    <mergeCell ref="EZ11:FF11"/>
    <mergeCell ref="GW10:HC10"/>
    <mergeCell ref="L9:L11"/>
    <mergeCell ref="FG10:FM10"/>
    <mergeCell ref="N9:N11"/>
    <mergeCell ref="HK10:HQ10"/>
    <mergeCell ref="NW10:OC10"/>
    <mergeCell ref="DQ10:DW10"/>
    <mergeCell ref="LS9:LY9"/>
    <mergeCell ref="RX11:SD11"/>
    <mergeCell ref="DC9:DI9"/>
    <mergeCell ref="HR10:HX10"/>
    <mergeCell ref="FU10:GA10"/>
    <mergeCell ref="JV10:KB10"/>
    <mergeCell ref="DQ9:DW9"/>
    <mergeCell ref="IF10:IL10"/>
    <mergeCell ref="P10:V10"/>
    <mergeCell ref="HR9:HX9"/>
    <mergeCell ref="DC11:DI11"/>
    <mergeCell ref="BM11:BS11"/>
    <mergeCell ref="RC9:RI9"/>
    <mergeCell ref="D9:F11"/>
    <mergeCell ref="JV9:KB9"/>
    <mergeCell ref="HD11:HJ11"/>
    <mergeCell ref="AK9:AQ9"/>
    <mergeCell ref="FG11:FM11"/>
    <mergeCell ref="P9:V9"/>
    <mergeCell ref="GB9:GH9"/>
    <mergeCell ref="DQ11:DW11"/>
    <mergeCell ref="JH11:JN11"/>
    <mergeCell ref="CO9:CU9"/>
    <mergeCell ref="FU11:GA11"/>
    <mergeCell ref="RX9:SD9"/>
    <mergeCell ref="P11:V11"/>
    <mergeCell ref="B6:F6"/>
    <mergeCell ref="EL10:ER10"/>
    <mergeCell ref="GP11:GV11"/>
    <mergeCell ref="CV10:DB10"/>
    <mergeCell ref="MN9:MT9"/>
    <mergeCell ref="IM10:IS10"/>
    <mergeCell ref="EZ10:FF10"/>
    <mergeCell ref="AD11:AJ11"/>
    <mergeCell ref="RX10:SD10"/>
    <mergeCell ref="QH10:QN10"/>
    <mergeCell ref="EL9:ER9"/>
    <mergeCell ref="AK10:AQ10"/>
    <mergeCell ref="MN11:MT11"/>
    <mergeCell ref="CH11:CN11"/>
    <mergeCell ref="BF9:BL9"/>
    <mergeCell ref="EL11:ER11"/>
    <mergeCell ref="DX10:ED10"/>
    <mergeCell ref="AR11:AX11"/>
    <mergeCell ref="DJ9:DP9"/>
    <mergeCell ref="W11:AC11"/>
    <mergeCell ref="OR9:OX9"/>
    <mergeCell ref="HK9:HQ9"/>
    <mergeCell ref="RJ10:RP10"/>
    <mergeCell ref="CV11:DB11"/>
    <mergeCell ref="BF11:BL11"/>
    <mergeCell ref="QV9:RB9"/>
    <mergeCell ref="GW11:HC11"/>
    <mergeCell ref="MU10:NA10"/>
    <mergeCell ref="G7:H7"/>
    <mergeCell ref="DJ11:DP11"/>
    <mergeCell ref="OR11:OX11"/>
    <mergeCell ref="RJ9:RP9"/>
    <mergeCell ref="HK11:HQ11"/>
    <mergeCell ref="NI10:NO10"/>
    <mergeCell ref="QV11:RB11"/>
    <mergeCell ref="RC10:RI10"/>
    <mergeCell ref="CA10:CG10"/>
    <mergeCell ref="MG11:MM11"/>
    <mergeCell ref="KQ11:KW11"/>
    <mergeCell ref="JO9:JU9"/>
    <mergeCell ref="GP9:GV9"/>
    <mergeCell ref="EE10:EK10"/>
    <mergeCell ref="CO10:CU10"/>
    <mergeCell ref="PM10:PS10"/>
    <mergeCell ref="CA9:CG9"/>
    <mergeCell ref="ES10:EY10"/>
    <mergeCell ref="RQ10:RW10"/>
    <mergeCell ref="QA10:QG10"/>
    <mergeCell ref="EE9:EK9"/>
    <mergeCell ref="AD10:AJ10"/>
    <mergeCell ref="PM9:PS9"/>
    <mergeCell ref="NW9:OC9"/>
    <mergeCell ref="SE10:SK10"/>
    <mergeCell ref="CA11:CG11"/>
    <mergeCell ref="BM10:BS10"/>
    <mergeCell ref="RQ9:RW9"/>
    <mergeCell ref="AR10:AX10"/>
    <mergeCell ref="LS11:LY11"/>
    <mergeCell ref="QA9:QG9"/>
    <mergeCell ref="A3:G3"/>
    <mergeCell ref="AY9:BE9"/>
    <mergeCell ref="LZ10:MF10"/>
    <mergeCell ref="EE11:EK11"/>
    <mergeCell ref="B5:F5"/>
    <mergeCell ref="MG9:MM9"/>
    <mergeCell ref="PM11:PS11"/>
    <mergeCell ref="BM9:BS9"/>
    <mergeCell ref="OK9:OQ9"/>
    <mergeCell ref="RQ11:RW11"/>
    <mergeCell ref="C9:C11"/>
    <mergeCell ref="QA11:QG11"/>
    <mergeCell ref="AY11:BE11"/>
    <mergeCell ref="OY9:PE9"/>
    <mergeCell ref="LL11:LR11"/>
    <mergeCell ref="KJ9:KP9"/>
    <mergeCell ref="OK11:OQ11"/>
    <mergeCell ref="DJ10:DP10"/>
    <mergeCell ref="NB10:NH10"/>
    <mergeCell ref="JV11:KB11"/>
    <mergeCell ref="IF11:IL11"/>
    <mergeCell ref="FN10:FT10"/>
    <mergeCell ref="FU9:GA9"/>
    <mergeCell ref="QV10:RB10"/>
    <mergeCell ref="BT10:BZ10"/>
    <mergeCell ref="KJ11:KP11"/>
    <mergeCell ref="G9:G11"/>
    <mergeCell ref="CH10:CN10"/>
    <mergeCell ref="NP10:NV10"/>
    <mergeCell ref="BT9:BZ9"/>
    <mergeCell ref="AD9:AJ9"/>
    <mergeCell ref="NB9:NH9"/>
    <mergeCell ref="QH11:QN11"/>
    <mergeCell ref="PT10:PZ10"/>
    <mergeCell ref="W10:AC10"/>
    <mergeCell ref="CH9:CN9"/>
    <mergeCell ref="PF9:PL9"/>
    <mergeCell ref="K9:K11"/>
    <mergeCell ref="LE10:LK10"/>
    <mergeCell ref="NP9:NV9"/>
    <mergeCell ref="M9:M11"/>
    <mergeCell ref="JO10:JU10"/>
    <mergeCell ref="BT11:BZ11"/>
    <mergeCell ref="NB11:NH11"/>
    <mergeCell ref="PT9:PZ9"/>
    <mergeCell ref="LS10:LY10"/>
    <mergeCell ref="LE9:LK9"/>
    <mergeCell ref="PF11:PL11"/>
    <mergeCell ref="JA11:JG11"/>
    <mergeCell ref="SE9:SK9"/>
    <mergeCell ref="PT11:PZ11"/>
    <mergeCell ref="HY9:IE9"/>
    <mergeCell ref="H9:H11"/>
    <mergeCell ref="KQ10:KW10"/>
    <mergeCell ref="LE11:LK11"/>
    <mergeCell ref="J9:J11"/>
    <mergeCell ref="KC9:KI9"/>
    <mergeCell ref="DC10:DI10"/>
    <mergeCell ref="OK10:OQ10"/>
    <mergeCell ref="HY11:IE11"/>
    <mergeCell ref="KQ9:KW9"/>
    <mergeCell ref="QO10:QU10"/>
    <mergeCell ref="OY10:PE10"/>
    <mergeCell ref="AK11:AQ11"/>
    <mergeCell ref="GI10:GO10"/>
    <mergeCell ref="KC11:KI11"/>
    <mergeCell ref="KJ10:KP10"/>
    <mergeCell ref="CO11:CU11"/>
    <mergeCell ref="NW11:OC11"/>
    <mergeCell ref="QO9:QU9"/>
    <mergeCell ref="MN10:MT10"/>
    <mergeCell ref="W9:AC9"/>
    <mergeCell ref="MU9:NA9"/>
    <mergeCell ref="IT10:IZ10"/>
    <mergeCell ref="RJ11:RP11"/>
    <mergeCell ref="G8:H8"/>
    <mergeCell ref="KX10:LD10"/>
    <mergeCell ref="NI9:NO9"/>
    <mergeCell ref="ES9:EY9"/>
    <mergeCell ref="QO11:QU11"/>
    <mergeCell ref="JH10:JN10"/>
    <mergeCell ref="IT9:IZ9"/>
    <mergeCell ref="MU11:NA11"/>
    <mergeCell ref="HD9:HJ9"/>
    <mergeCell ref="LL10:LR10"/>
    <mergeCell ref="LZ11:MF11"/>
    <mergeCell ref="FG9:FM9"/>
    <mergeCell ref="KX9:LD9"/>
    <mergeCell ref="OY11:PE11"/>
    <mergeCell ref="BF10:BL10"/>
    <mergeCell ref="JH9:JN9"/>
    <mergeCell ref="NI11:NO11"/>
    <mergeCell ref="ES11:EY11"/>
    <mergeCell ref="PF10:PL10"/>
    <mergeCell ref="IT11:IZ11"/>
    <mergeCell ref="LL9:LR9"/>
    <mergeCell ref="G6:H6"/>
    <mergeCell ref="I9:I11"/>
    <mergeCell ref="A9:A11"/>
    <mergeCell ref="HD10:HJ10"/>
    <mergeCell ref="KX11:LD11"/>
    <mergeCell ref="IF9:IL9"/>
    <mergeCell ref="OD10:OJ10"/>
    <mergeCell ref="AR9:AX9"/>
    <mergeCell ref="HR11:HX11"/>
    <mergeCell ref="G5:H5"/>
    <mergeCell ref="LZ9:MF9"/>
    <mergeCell ref="SE11:SK11"/>
    <mergeCell ref="HY10:IE10"/>
    <mergeCell ref="OR10:OX10"/>
    <mergeCell ref="GB10:GH10"/>
    <mergeCell ref="OD9:OJ9"/>
    <mergeCell ref="FN9:FT9"/>
    <mergeCell ref="KC10:KI10"/>
    <mergeCell ref="DX9:ED9"/>
    <mergeCell ref="NP11:NV11"/>
    <mergeCell ref="GP10:GV10"/>
    <mergeCell ref="MG10:MM10"/>
    <mergeCell ref="RC11:RI11"/>
    <mergeCell ref="OD11:OJ11"/>
    <mergeCell ref="FN11:FT11"/>
    <mergeCell ref="B9:B11"/>
    <mergeCell ref="GI9:GO9"/>
    <mergeCell ref="DX11:ED11"/>
    <mergeCell ref="JO11:JU11"/>
    <mergeCell ref="JA10:JG10"/>
    <mergeCell ref="CV9:DB9"/>
    <mergeCell ref="IM9:IS9"/>
    <mergeCell ref="GB11:GH11"/>
    <mergeCell ref="GW9:HC9"/>
  </mergeCells>
  <conditionalFormatting sqref="P9:NO11 OD9:SK11">
    <cfRule type="expression" priority="899" dxfId="16">
      <formula>OR($L$1&gt;=3,WEEKDAY(P$7,1)=$M$1)</formula>
    </cfRule>
  </conditionalFormatting>
  <conditionalFormatting sqref="P12:NO12 P14:SJ15 P17:SJ63 OD12:SJ12">
    <cfRule type="expression" priority="900" dxfId="15" stopIfTrue="1">
      <formula>AND($G$7&gt;=P$7,$G$7&lt;Q$7)</formula>
    </cfRule>
    <cfRule type="expression" priority="901" dxfId="14">
      <formula>AND(OR(P$7&lt;$G12,P$7&gt;$H12),AND($L$1&lt;&gt;3,WEEKDAY(P$10,1)=$M$1))</formula>
    </cfRule>
    <cfRule type="expression" priority="902" stopIfTrue="1">
      <formula>IF($L$1=3,OR(Q$7&lt;=$G12,P$7&gt;$H12),OR(P$7&gt;$H12,P$7&lt;$G12))</formula>
    </cfRule>
    <cfRule type="expression" priority="903" dxfId="13" stopIfTrue="1">
      <formula>OR($J12&gt;=1,IF($L$1=3,Q$7&lt;=$G12+$L12,P$7&lt;$G12+$L12))</formula>
    </cfRule>
    <cfRule type="expression" priority="904" dxfId="12" stopIfTrue="1">
      <formula>$N12="k"</formula>
    </cfRule>
    <cfRule type="expression" priority="905" dxfId="11" stopIfTrue="1">
      <formula>$N12="o"</formula>
    </cfRule>
    <cfRule type="expression" priority="906" dxfId="10" stopIfTrue="1">
      <formula>$N12="y"</formula>
    </cfRule>
    <cfRule type="expression" priority="907" dxfId="9" stopIfTrue="1">
      <formula>$N12="p"</formula>
    </cfRule>
    <cfRule type="expression" priority="908" dxfId="8" stopIfTrue="1">
      <formula>$N12="g"</formula>
    </cfRule>
    <cfRule type="expression" priority="909" dxfId="7" stopIfTrue="1">
      <formula>$N12="r"</formula>
    </cfRule>
    <cfRule type="expression" priority="910" dxfId="6" stopIfTrue="1">
      <formula>$N12=1</formula>
    </cfRule>
    <cfRule type="expression" priority="911" dxfId="5" stopIfTrue="1">
      <formula>$N12=2</formula>
    </cfRule>
    <cfRule type="expression" priority="912" dxfId="4" stopIfTrue="1">
      <formula>$N12=3</formula>
    </cfRule>
    <cfRule type="expression" priority="913" dxfId="3" stopIfTrue="1">
      <formula>$N12=4</formula>
    </cfRule>
    <cfRule type="expression" priority="914" dxfId="2" stopIfTrue="1">
      <formula>$N12=5</formula>
    </cfRule>
    <cfRule type="expression" priority="915" dxfId="1" stopIfTrue="1">
      <formula>$N12=6</formula>
    </cfRule>
    <cfRule type="expression" priority="916" dxfId="0" stopIfTrue="1">
      <formula>TRUE</formula>
    </cfRule>
  </conditionalFormatting>
  <conditionalFormatting sqref="P9:NO9">
    <cfRule type="expression" priority="500" dxfId="101">
      <formula>$L$1&gt;=3</formula>
    </cfRule>
  </conditionalFormatting>
  <conditionalFormatting sqref="P13:NO13 OD13:SJ13">
    <cfRule type="expression" priority="934" dxfId="15" stopIfTrue="1">
      <formula>AND($G$7&gt;=P$7,$G$7&lt;Q$7)</formula>
    </cfRule>
    <cfRule type="expression" priority="935" dxfId="14">
      <formula>AND(OR(P$7&lt;$G13,P$7&gt;$H13),AND($L$1&lt;&gt;3,WEEKDAY(P$10,1)=$M$1))</formula>
    </cfRule>
    <cfRule type="expression" priority="936" stopIfTrue="1">
      <formula>IF($L$1=3,OR(Q$7&lt;=$G13,P$7&gt;$H13),OR(P$7&gt;$H13,P$7&lt;$G13))</formula>
    </cfRule>
    <cfRule type="expression" priority="937" dxfId="13" stopIfTrue="1">
      <formula>OR(#REF!&gt;=1,IF($L$1=3,Q$7&lt;=$G13+$L13,P$7&lt;$G13+$L13))</formula>
    </cfRule>
    <cfRule type="expression" priority="938" dxfId="12" stopIfTrue="1">
      <formula>$N13="k"</formula>
    </cfRule>
    <cfRule type="expression" priority="939" dxfId="11" stopIfTrue="1">
      <formula>$N13="o"</formula>
    </cfRule>
    <cfRule type="expression" priority="940" dxfId="10" stopIfTrue="1">
      <formula>$N13="y"</formula>
    </cfRule>
    <cfRule type="expression" priority="941" dxfId="9" stopIfTrue="1">
      <formula>$N13="p"</formula>
    </cfRule>
    <cfRule type="expression" priority="942" dxfId="8" stopIfTrue="1">
      <formula>$N13="g"</formula>
    </cfRule>
    <cfRule type="expression" priority="943" dxfId="7" stopIfTrue="1">
      <formula>$N13="r"</formula>
    </cfRule>
    <cfRule type="expression" priority="944" dxfId="6" stopIfTrue="1">
      <formula>$N13=1</formula>
    </cfRule>
    <cfRule type="expression" priority="945" dxfId="5" stopIfTrue="1">
      <formula>$N13=2</formula>
    </cfRule>
    <cfRule type="expression" priority="946" dxfId="4" stopIfTrue="1">
      <formula>$N13=3</formula>
    </cfRule>
    <cfRule type="expression" priority="947" dxfId="3" stopIfTrue="1">
      <formula>$N13=4</formula>
    </cfRule>
    <cfRule type="expression" priority="948" dxfId="2" stopIfTrue="1">
      <formula>$N13=5</formula>
    </cfRule>
    <cfRule type="expression" priority="949" dxfId="1" stopIfTrue="1">
      <formula>$N13=6</formula>
    </cfRule>
    <cfRule type="expression" priority="950" dxfId="0" stopIfTrue="1">
      <formula>TRUE</formula>
    </cfRule>
  </conditionalFormatting>
  <conditionalFormatting sqref="NP9:NV11">
    <cfRule type="expression" priority="193" dxfId="16">
      <formula>OR($L$1&gt;=3,WEEKDAY(NP$7,1)=$M$1)</formula>
    </cfRule>
  </conditionalFormatting>
  <conditionalFormatting sqref="NP12:NV12">
    <cfRule type="expression" priority="194" dxfId="15" stopIfTrue="1">
      <formula>AND($G$7&gt;=NP$7,$G$7&lt;NQ$7)</formula>
    </cfRule>
    <cfRule type="expression" priority="195" dxfId="14">
      <formula>AND(OR(NP$7&lt;$G12,NP$7&gt;$H12),AND($L$1&lt;&gt;3,WEEKDAY(NP$10,1)=$M$1))</formula>
    </cfRule>
    <cfRule type="expression" priority="196" stopIfTrue="1">
      <formula>IF($L$1=3,OR(NQ$7&lt;=$G12,NP$7&gt;$H12),OR(NP$7&gt;$H12,NP$7&lt;$G12))</formula>
    </cfRule>
    <cfRule type="expression" priority="197" dxfId="13" stopIfTrue="1">
      <formula>OR($J12&gt;=1,IF($L$1=3,NQ$7&lt;=$G12+$L12,NP$7&lt;$G12+$L12))</formula>
    </cfRule>
    <cfRule type="expression" priority="198" dxfId="12" stopIfTrue="1">
      <formula>$N12="k"</formula>
    </cfRule>
    <cfRule type="expression" priority="199" dxfId="11" stopIfTrue="1">
      <formula>$N12="o"</formula>
    </cfRule>
    <cfRule type="expression" priority="200" dxfId="10" stopIfTrue="1">
      <formula>$N12="y"</formula>
    </cfRule>
    <cfRule type="expression" priority="201" dxfId="9" stopIfTrue="1">
      <formula>$N12="p"</formula>
    </cfRule>
    <cfRule type="expression" priority="202" dxfId="8" stopIfTrue="1">
      <formula>$N12="g"</formula>
    </cfRule>
    <cfRule type="expression" priority="203" dxfId="7" stopIfTrue="1">
      <formula>$N12="r"</formula>
    </cfRule>
    <cfRule type="expression" priority="204" dxfId="6" stopIfTrue="1">
      <formula>$N12=1</formula>
    </cfRule>
    <cfRule type="expression" priority="205" dxfId="5" stopIfTrue="1">
      <formula>$N12=2</formula>
    </cfRule>
    <cfRule type="expression" priority="206" dxfId="4" stopIfTrue="1">
      <formula>$N12=3</formula>
    </cfRule>
    <cfRule type="expression" priority="207" dxfId="3" stopIfTrue="1">
      <formula>$N12=4</formula>
    </cfRule>
    <cfRule type="expression" priority="208" dxfId="2" stopIfTrue="1">
      <formula>$N12=5</formula>
    </cfRule>
    <cfRule type="expression" priority="209" dxfId="1" stopIfTrue="1">
      <formula>$N12=6</formula>
    </cfRule>
    <cfRule type="expression" priority="210" dxfId="0" stopIfTrue="1">
      <formula>TRUE</formula>
    </cfRule>
  </conditionalFormatting>
  <conditionalFormatting sqref="NP9:NV9">
    <cfRule type="expression" priority="192" dxfId="101">
      <formula>$L$1&gt;=3</formula>
    </cfRule>
  </conditionalFormatting>
  <conditionalFormatting sqref="NP13:NV13">
    <cfRule type="expression" priority="211" dxfId="15" stopIfTrue="1">
      <formula>AND($G$7&gt;=NP$7,$G$7&lt;NQ$7)</formula>
    </cfRule>
    <cfRule type="expression" priority="212" dxfId="14">
      <formula>AND(OR(NP$7&lt;$G13,NP$7&gt;$H13),AND($L$1&lt;&gt;3,WEEKDAY(NP$10,1)=$M$1))</formula>
    </cfRule>
    <cfRule type="expression" priority="213" stopIfTrue="1">
      <formula>IF($L$1=3,OR(NQ$7&lt;=$G13,NP$7&gt;$H13),OR(NP$7&gt;$H13,NP$7&lt;$G13))</formula>
    </cfRule>
    <cfRule type="expression" priority="214" dxfId="13" stopIfTrue="1">
      <formula>OR(#REF!&gt;=1,IF($L$1=3,NQ$7&lt;=$G13+$L13,NP$7&lt;$G13+$L13))</formula>
    </cfRule>
    <cfRule type="expression" priority="215" dxfId="12" stopIfTrue="1">
      <formula>$N13="k"</formula>
    </cfRule>
    <cfRule type="expression" priority="216" dxfId="11" stopIfTrue="1">
      <formula>$N13="o"</formula>
    </cfRule>
    <cfRule type="expression" priority="217" dxfId="10" stopIfTrue="1">
      <formula>$N13="y"</formula>
    </cfRule>
    <cfRule type="expression" priority="218" dxfId="9" stopIfTrue="1">
      <formula>$N13="p"</formula>
    </cfRule>
    <cfRule type="expression" priority="219" dxfId="8" stopIfTrue="1">
      <formula>$N13="g"</formula>
    </cfRule>
    <cfRule type="expression" priority="220" dxfId="7" stopIfTrue="1">
      <formula>$N13="r"</formula>
    </cfRule>
    <cfRule type="expression" priority="221" dxfId="6" stopIfTrue="1">
      <formula>$N13=1</formula>
    </cfRule>
    <cfRule type="expression" priority="222" dxfId="5" stopIfTrue="1">
      <formula>$N13=2</formula>
    </cfRule>
    <cfRule type="expression" priority="223" dxfId="4" stopIfTrue="1">
      <formula>$N13=3</formula>
    </cfRule>
    <cfRule type="expression" priority="224" dxfId="3" stopIfTrue="1">
      <formula>$N13=4</formula>
    </cfRule>
    <cfRule type="expression" priority="225" dxfId="2" stopIfTrue="1">
      <formula>$N13=5</formula>
    </cfRule>
    <cfRule type="expression" priority="226" dxfId="1" stopIfTrue="1">
      <formula>$N13=6</formula>
    </cfRule>
    <cfRule type="expression" priority="227" dxfId="0" stopIfTrue="1">
      <formula>TRUE</formula>
    </cfRule>
  </conditionalFormatting>
  <conditionalFormatting sqref="NW9:OC11">
    <cfRule type="expression" priority="157" dxfId="16">
      <formula>OR($L$1&gt;=3,WEEKDAY(NW$7,1)=$M$1)</formula>
    </cfRule>
  </conditionalFormatting>
  <conditionalFormatting sqref="NW12:OC12">
    <cfRule type="expression" priority="158" dxfId="15" stopIfTrue="1">
      <formula>AND($G$7&gt;=NW$7,$G$7&lt;NX$7)</formula>
    </cfRule>
    <cfRule type="expression" priority="159" dxfId="14">
      <formula>AND(OR(NW$7&lt;$G12,NW$7&gt;$H12),AND($L$1&lt;&gt;3,WEEKDAY(NW$10,1)=$M$1))</formula>
    </cfRule>
    <cfRule type="expression" priority="160" stopIfTrue="1">
      <formula>IF($L$1=3,OR(NX$7&lt;=$G12,NW$7&gt;$H12),OR(NW$7&gt;$H12,NW$7&lt;$G12))</formula>
    </cfRule>
    <cfRule type="expression" priority="161" dxfId="13" stopIfTrue="1">
      <formula>OR($J12&gt;=1,IF($L$1=3,NX$7&lt;=$G12+$L12,NW$7&lt;$G12+$L12))</formula>
    </cfRule>
    <cfRule type="expression" priority="162" dxfId="12" stopIfTrue="1">
      <formula>$N12="k"</formula>
    </cfRule>
    <cfRule type="expression" priority="163" dxfId="11" stopIfTrue="1">
      <formula>$N12="o"</formula>
    </cfRule>
    <cfRule type="expression" priority="164" dxfId="10" stopIfTrue="1">
      <formula>$N12="y"</formula>
    </cfRule>
    <cfRule type="expression" priority="165" dxfId="9" stopIfTrue="1">
      <formula>$N12="p"</formula>
    </cfRule>
    <cfRule type="expression" priority="166" dxfId="8" stopIfTrue="1">
      <formula>$N12="g"</formula>
    </cfRule>
    <cfRule type="expression" priority="167" dxfId="7" stopIfTrue="1">
      <formula>$N12="r"</formula>
    </cfRule>
    <cfRule type="expression" priority="168" dxfId="6" stopIfTrue="1">
      <formula>$N12=1</formula>
    </cfRule>
    <cfRule type="expression" priority="169" dxfId="5" stopIfTrue="1">
      <formula>$N12=2</formula>
    </cfRule>
    <cfRule type="expression" priority="170" dxfId="4" stopIfTrue="1">
      <formula>$N12=3</formula>
    </cfRule>
    <cfRule type="expression" priority="171" dxfId="3" stopIfTrue="1">
      <formula>$N12=4</formula>
    </cfRule>
    <cfRule type="expression" priority="172" dxfId="2" stopIfTrue="1">
      <formula>$N12=5</formula>
    </cfRule>
    <cfRule type="expression" priority="173" dxfId="1" stopIfTrue="1">
      <formula>$N12=6</formula>
    </cfRule>
    <cfRule type="expression" priority="174" dxfId="0" stopIfTrue="1">
      <formula>TRUE</formula>
    </cfRule>
  </conditionalFormatting>
  <conditionalFormatting sqref="NW9:OC9">
    <cfRule type="expression" priority="156" dxfId="101">
      <formula>$L$1&gt;=3</formula>
    </cfRule>
  </conditionalFormatting>
  <conditionalFormatting sqref="NW13:OC13">
    <cfRule type="expression" priority="175" dxfId="15" stopIfTrue="1">
      <formula>AND($G$7&gt;=NW$7,$G$7&lt;NX$7)</formula>
    </cfRule>
    <cfRule type="expression" priority="176" dxfId="14">
      <formula>AND(OR(NW$7&lt;$G13,NW$7&gt;$H13),AND($L$1&lt;&gt;3,WEEKDAY(NW$10,1)=$M$1))</formula>
    </cfRule>
    <cfRule type="expression" priority="177" stopIfTrue="1">
      <formula>IF($L$1=3,OR(NX$7&lt;=$G13,NW$7&gt;$H13),OR(NW$7&gt;$H13,NW$7&lt;$G13))</formula>
    </cfRule>
    <cfRule type="expression" priority="178" dxfId="13" stopIfTrue="1">
      <formula>OR(#REF!&gt;=1,IF($L$1=3,NX$7&lt;=$G13+$L13,NW$7&lt;$G13+$L13))</formula>
    </cfRule>
    <cfRule type="expression" priority="179" dxfId="12" stopIfTrue="1">
      <formula>$N13="k"</formula>
    </cfRule>
    <cfRule type="expression" priority="180" dxfId="11" stopIfTrue="1">
      <formula>$N13="o"</formula>
    </cfRule>
    <cfRule type="expression" priority="181" dxfId="10" stopIfTrue="1">
      <formula>$N13="y"</formula>
    </cfRule>
    <cfRule type="expression" priority="182" dxfId="9" stopIfTrue="1">
      <formula>$N13="p"</formula>
    </cfRule>
    <cfRule type="expression" priority="183" dxfId="8" stopIfTrue="1">
      <formula>$N13="g"</formula>
    </cfRule>
    <cfRule type="expression" priority="184" dxfId="7" stopIfTrue="1">
      <formula>$N13="r"</formula>
    </cfRule>
    <cfRule type="expression" priority="185" dxfId="6" stopIfTrue="1">
      <formula>$N13=1</formula>
    </cfRule>
    <cfRule type="expression" priority="186" dxfId="5" stopIfTrue="1">
      <formula>$N13=2</formula>
    </cfRule>
    <cfRule type="expression" priority="187" dxfId="4" stopIfTrue="1">
      <formula>$N13=3</formula>
    </cfRule>
    <cfRule type="expression" priority="188" dxfId="3" stopIfTrue="1">
      <formula>$N13=4</formula>
    </cfRule>
    <cfRule type="expression" priority="189" dxfId="2" stopIfTrue="1">
      <formula>$N13=5</formula>
    </cfRule>
    <cfRule type="expression" priority="190" dxfId="1" stopIfTrue="1">
      <formula>$N13=6</formula>
    </cfRule>
    <cfRule type="expression" priority="191" dxfId="0" stopIfTrue="1">
      <formula>TRUE</formula>
    </cfRule>
  </conditionalFormatting>
  <conditionalFormatting sqref="OD9:SK9">
    <cfRule type="expression" priority="120" dxfId="101">
      <formula>$L$1&gt;=3</formula>
    </cfRule>
  </conditionalFormatting>
  <conditionalFormatting sqref="SK12 SK14:SK15 SK17:SK63">
    <cfRule type="expression" priority="969" dxfId="15" stopIfTrue="1">
      <formula>AND($G$7&gt;=SK$7,$G$7&lt;#REF!)</formula>
    </cfRule>
    <cfRule type="expression" priority="970" dxfId="14">
      <formula>AND(OR(SK$7&lt;$G12,SK$7&gt;$H12),AND($L$1&lt;&gt;3,WEEKDAY(SK$10,1)=$M$1))</formula>
    </cfRule>
    <cfRule type="expression" priority="971" stopIfTrue="1">
      <formula>IF($L$1=3,OR(#REF!&lt;=$G12,SK$7&gt;$H12),OR(SK$7&gt;$H12,SK$7&lt;$G12))</formula>
    </cfRule>
    <cfRule type="expression" priority="972" dxfId="13" stopIfTrue="1">
      <formula>OR($J12&gt;=1,IF($L$1=3,#REF!&lt;=$G12+$L12,SK$7&lt;$G12+$L12))</formula>
    </cfRule>
    <cfRule type="expression" priority="973" dxfId="12" stopIfTrue="1">
      <formula>$N12="k"</formula>
    </cfRule>
    <cfRule type="expression" priority="974" dxfId="11" stopIfTrue="1">
      <formula>$N12="o"</formula>
    </cfRule>
    <cfRule type="expression" priority="975" dxfId="10" stopIfTrue="1">
      <formula>$N12="y"</formula>
    </cfRule>
    <cfRule type="expression" priority="976" dxfId="9" stopIfTrue="1">
      <formula>$N12="p"</formula>
    </cfRule>
    <cfRule type="expression" priority="977" dxfId="8" stopIfTrue="1">
      <formula>$N12="g"</formula>
    </cfRule>
    <cfRule type="expression" priority="978" dxfId="7" stopIfTrue="1">
      <formula>$N12="r"</formula>
    </cfRule>
    <cfRule type="expression" priority="979" dxfId="6" stopIfTrue="1">
      <formula>$N12=1</formula>
    </cfRule>
    <cfRule type="expression" priority="980" dxfId="5" stopIfTrue="1">
      <formula>$N12=2</formula>
    </cfRule>
    <cfRule type="expression" priority="981" dxfId="4" stopIfTrue="1">
      <formula>$N12=3</formula>
    </cfRule>
    <cfRule type="expression" priority="982" dxfId="3" stopIfTrue="1">
      <formula>$N12=4</formula>
    </cfRule>
    <cfRule type="expression" priority="983" dxfId="2" stopIfTrue="1">
      <formula>$N12=5</formula>
    </cfRule>
    <cfRule type="expression" priority="984" dxfId="1" stopIfTrue="1">
      <formula>$N12=6</formula>
    </cfRule>
    <cfRule type="expression" priority="985" dxfId="0" stopIfTrue="1">
      <formula>TRUE</formula>
    </cfRule>
  </conditionalFormatting>
  <conditionalFormatting sqref="SK13">
    <cfRule type="expression" priority="1037" dxfId="15" stopIfTrue="1">
      <formula>AND($G$7&gt;=SK$7,$G$7&lt;#REF!)</formula>
    </cfRule>
    <cfRule type="expression" priority="1038" dxfId="14">
      <formula>AND(OR(SK$7&lt;$G13,SK$7&gt;$H13),AND($L$1&lt;&gt;3,WEEKDAY(SK$10,1)=$M$1))</formula>
    </cfRule>
    <cfRule type="expression" priority="1039" stopIfTrue="1">
      <formula>IF($L$1=3,OR(#REF!&lt;=$G13,SK$7&gt;$H13),OR(SK$7&gt;$H13,SK$7&lt;$G13))</formula>
    </cfRule>
    <cfRule type="expression" priority="1040" dxfId="13" stopIfTrue="1">
      <formula>OR(#REF!&gt;=1,IF($L$1=3,#REF!&lt;=$G13+$L13,SK$7&lt;$G13+$L13))</formula>
    </cfRule>
    <cfRule type="expression" priority="1041" dxfId="12" stopIfTrue="1">
      <formula>$N13="k"</formula>
    </cfRule>
    <cfRule type="expression" priority="1042" dxfId="11" stopIfTrue="1">
      <formula>$N13="o"</formula>
    </cfRule>
    <cfRule type="expression" priority="1043" dxfId="10" stopIfTrue="1">
      <formula>$N13="y"</formula>
    </cfRule>
    <cfRule type="expression" priority="1044" dxfId="9" stopIfTrue="1">
      <formula>$N13="p"</formula>
    </cfRule>
    <cfRule type="expression" priority="1045" dxfId="8" stopIfTrue="1">
      <formula>$N13="g"</formula>
    </cfRule>
    <cfRule type="expression" priority="1046" dxfId="7" stopIfTrue="1">
      <formula>$N13="r"</formula>
    </cfRule>
    <cfRule type="expression" priority="1047" dxfId="6" stopIfTrue="1">
      <formula>$N13=1</formula>
    </cfRule>
    <cfRule type="expression" priority="1048" dxfId="5" stopIfTrue="1">
      <formula>$N13=2</formula>
    </cfRule>
    <cfRule type="expression" priority="1049" dxfId="4" stopIfTrue="1">
      <formula>$N13=3</formula>
    </cfRule>
    <cfRule type="expression" priority="1050" dxfId="3" stopIfTrue="1">
      <formula>$N13=4</formula>
    </cfRule>
    <cfRule type="expression" priority="1051" dxfId="2" stopIfTrue="1">
      <formula>$N13=5</formula>
    </cfRule>
    <cfRule type="expression" priority="1052" dxfId="1" stopIfTrue="1">
      <formula>$N13=6</formula>
    </cfRule>
    <cfRule type="expression" priority="1053" dxfId="0" stopIfTrue="1">
      <formula>TRUE</formula>
    </cfRule>
  </conditionalFormatting>
  <conditionalFormatting sqref="P16:SJ16">
    <cfRule type="expression" priority="1088" dxfId="15" stopIfTrue="1">
      <formula>AND($G$7&gt;=P$7,$G$7&lt;Q$7)</formula>
    </cfRule>
    <cfRule type="expression" priority="1089" dxfId="14">
      <formula>AND(OR(P$7&lt;$G16,P$7&gt;$H16),AND($L$1&lt;&gt;3,WEEKDAY(P$10,1)=$M$1))</formula>
    </cfRule>
    <cfRule type="expression" priority="1090" stopIfTrue="1">
      <formula>IF($L$1=3,OR(Q$7&lt;=$G16,P$7&gt;$H16),OR(P$7&gt;$H16,P$7&lt;$G16))</formula>
    </cfRule>
    <cfRule type="expression" priority="1091" dxfId="13" stopIfTrue="1">
      <formula>OR($J16&gt;=1,IF($L$1=3,Q$7&lt;=$G16+#REF!,P$7&lt;$G16+#REF!))</formula>
    </cfRule>
    <cfRule type="expression" priority="1092" dxfId="12" stopIfTrue="1">
      <formula>$N16="k"</formula>
    </cfRule>
    <cfRule type="expression" priority="1093" dxfId="11" stopIfTrue="1">
      <formula>$N16="o"</formula>
    </cfRule>
    <cfRule type="expression" priority="1094" dxfId="10" stopIfTrue="1">
      <formula>$N16="y"</formula>
    </cfRule>
    <cfRule type="expression" priority="1095" dxfId="9" stopIfTrue="1">
      <formula>$N16="p"</formula>
    </cfRule>
    <cfRule type="expression" priority="1096" dxfId="8" stopIfTrue="1">
      <formula>$N16="g"</formula>
    </cfRule>
    <cfRule type="expression" priority="1097" dxfId="7" stopIfTrue="1">
      <formula>$N16="r"</formula>
    </cfRule>
    <cfRule type="expression" priority="1098" dxfId="6" stopIfTrue="1">
      <formula>$N16=1</formula>
    </cfRule>
    <cfRule type="expression" priority="1099" dxfId="5" stopIfTrue="1">
      <formula>$N16=2</formula>
    </cfRule>
    <cfRule type="expression" priority="1100" dxfId="4" stopIfTrue="1">
      <formula>$N16=3</formula>
    </cfRule>
    <cfRule type="expression" priority="1101" dxfId="3" stopIfTrue="1">
      <formula>$N16=4</formula>
    </cfRule>
    <cfRule type="expression" priority="1102" dxfId="2" stopIfTrue="1">
      <formula>$N16=5</formula>
    </cfRule>
    <cfRule type="expression" priority="1103" dxfId="1" stopIfTrue="1">
      <formula>$N16=6</formula>
    </cfRule>
    <cfRule type="expression" priority="1104" dxfId="0" stopIfTrue="1">
      <formula>TRUE</formula>
    </cfRule>
  </conditionalFormatting>
  <conditionalFormatting sqref="SK16">
    <cfRule type="expression" priority="1190" dxfId="15" stopIfTrue="1">
      <formula>AND($G$7&gt;=SK$7,$G$7&lt;#REF!)</formula>
    </cfRule>
    <cfRule type="expression" priority="1191" dxfId="14">
      <formula>AND(OR(SK$7&lt;$G16,SK$7&gt;$H16),AND($L$1&lt;&gt;3,WEEKDAY(SK$10,1)=$M$1))</formula>
    </cfRule>
    <cfRule type="expression" priority="1192" stopIfTrue="1">
      <formula>IF($L$1=3,OR(#REF!&lt;=$G16,SK$7&gt;$H16),OR(SK$7&gt;$H16,SK$7&lt;$G16))</formula>
    </cfRule>
    <cfRule type="expression" priority="1193" dxfId="13" stopIfTrue="1">
      <formula>OR($J16&gt;=1,IF($L$1=3,#REF!&lt;=$G16+#REF!,SK$7&lt;$G16+#REF!))</formula>
    </cfRule>
    <cfRule type="expression" priority="1194" dxfId="12" stopIfTrue="1">
      <formula>$N16="k"</formula>
    </cfRule>
    <cfRule type="expression" priority="1195" dxfId="11" stopIfTrue="1">
      <formula>$N16="o"</formula>
    </cfRule>
    <cfRule type="expression" priority="1196" dxfId="10" stopIfTrue="1">
      <formula>$N16="y"</formula>
    </cfRule>
    <cfRule type="expression" priority="1197" dxfId="9" stopIfTrue="1">
      <formula>$N16="p"</formula>
    </cfRule>
    <cfRule type="expression" priority="1198" dxfId="8" stopIfTrue="1">
      <formula>$N16="g"</formula>
    </cfRule>
    <cfRule type="expression" priority="1199" dxfId="7" stopIfTrue="1">
      <formula>$N16="r"</formula>
    </cfRule>
    <cfRule type="expression" priority="1200" dxfId="6" stopIfTrue="1">
      <formula>$N16=1</formula>
    </cfRule>
    <cfRule type="expression" priority="1201" dxfId="5" stopIfTrue="1">
      <formula>$N16=2</formula>
    </cfRule>
    <cfRule type="expression" priority="1202" dxfId="4" stopIfTrue="1">
      <formula>$N16=3</formula>
    </cfRule>
    <cfRule type="expression" priority="1203" dxfId="3" stopIfTrue="1">
      <formula>$N16=4</formula>
    </cfRule>
    <cfRule type="expression" priority="1204" dxfId="2" stopIfTrue="1">
      <formula>$N16=5</formula>
    </cfRule>
    <cfRule type="expression" priority="1205" dxfId="1" stopIfTrue="1">
      <formula>$N16=6</formula>
    </cfRule>
    <cfRule type="expression" priority="1206" dxfId="0" stopIfTrue="1">
      <formula>TRUE</formula>
    </cfRule>
  </conditionalFormatting>
  <pageMargins left="0.25" right="0.25" top="0.5" bottom="0.5" header="0.5" footer="0.25"/>
  <pageSetup orientation="landscape" paperSize="258" fitToHeight="0" horizontalDpi="4294967293" verticalDpi="429496729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NQ88"/>
  <sheetViews>
    <sheetView showGridLines="0" topLeftCell="I1" zoomScaleNormal="100" workbookViewId="0">
      <pane ySplit="10" topLeftCell="A12" activePane="bottomLeft" state="frozen"/>
      <selection pane="bottomLeft" activeCell="DZ8" sqref="DZ8:EF8"/>
      <selection activeCell="I1" sqref="I1"/>
    </sheetView>
  </sheetViews>
  <sheetFormatPr baseColWidth="8" defaultColWidth="9.140625" defaultRowHeight="12.75"/>
  <cols>
    <col width="5.7109375" customWidth="1" style="99" min="1" max="1"/>
    <col width="21.7109375" customWidth="1" style="99" min="2" max="2"/>
    <col width="6.42578125" customWidth="1" style="99" min="3" max="3"/>
    <col hidden="1" width="5.28515625" customWidth="1" style="99" min="4" max="6"/>
    <col width="10.7109375" customWidth="1" style="99" min="7" max="8"/>
    <col width="7.85546875" customWidth="1" style="99" min="9" max="10"/>
    <col width="5.42578125" customWidth="1" style="99" min="11" max="11"/>
    <col width="5.85546875" customWidth="1" style="99" min="12" max="12"/>
    <col width="4.85546875" customWidth="1" style="99" min="13" max="13"/>
    <col hidden="1" width="4.85546875" customWidth="1" style="99" min="14" max="15"/>
    <col width="3.5703125" customWidth="1" style="99" min="16" max="16"/>
    <col width="1.7109375" customWidth="1" style="99" min="17" max="17"/>
    <col width="0.42578125" customWidth="1" style="99" min="18" max="233"/>
    <col width="0.42578125" customWidth="1" style="99" min="234" max="255"/>
    <col width="0.42578125" customWidth="1" style="99" min="256" max="261"/>
    <col width="0.42578125" customWidth="1" style="99" min="262" max="297"/>
    <col width="0.42578125" customWidth="1" style="99" min="298" max="303"/>
    <col width="0.42578125" customWidth="1" style="99" min="304" max="339"/>
    <col width="0.42578125" customWidth="1" style="99" min="340" max="345"/>
    <col width="0.42578125" customWidth="1" style="99" min="346" max="381"/>
    <col width="9.140625" customWidth="1" style="99" min="382" max="16384"/>
  </cols>
  <sheetData>
    <row r="1" hidden="1" ht="18.75" customHeight="1" s="99">
      <c r="A1" s="40" t="inlineStr">
        <is>
          <t>Gantt Chart Template</t>
        </is>
      </c>
      <c r="B1" s="1" t="n"/>
      <c r="C1" s="112" t="n"/>
      <c r="D1" s="112" t="n"/>
      <c r="E1" s="112" t="n"/>
      <c r="F1" s="112" t="n"/>
      <c r="G1" s="31" t="n"/>
      <c r="H1" s="112" t="n"/>
      <c r="I1" s="114" t="b">
        <v>1</v>
      </c>
      <c r="J1" s="112" t="n"/>
      <c r="K1" s="31" t="inlineStr">
        <is>
          <t>© 2013 Vertex42.com</t>
        </is>
      </c>
      <c r="L1" s="114" t="b">
        <v>0</v>
      </c>
      <c r="M1" s="115" t="n">
        <v>1</v>
      </c>
      <c r="N1" s="115" t="n">
        <v>2</v>
      </c>
      <c r="O1" s="115" t="n">
        <v>2</v>
      </c>
      <c r="P1" s="120" t="inlineStr">
        <is>
          <t>[Hide this row]</t>
        </is>
      </c>
    </row>
    <row r="2" hidden="1" ht="12.75" customHeight="1" s="99">
      <c r="N2" s="25" t="n"/>
    </row>
    <row r="3" ht="18" customHeight="1" s="99">
      <c r="A3" s="23" t="inlineStr">
        <is>
          <t>[Project Name] Project Schedule</t>
        </is>
      </c>
    </row>
    <row r="4">
      <c r="A4" s="134" t="inlineStr">
        <is>
          <t>[Company Name]</t>
        </is>
      </c>
      <c r="I4" s="227" t="n"/>
      <c r="J4" s="227" t="n"/>
    </row>
    <row r="5">
      <c r="B5" s="247" t="inlineStr">
        <is>
          <t xml:space="preserve">Project Lead: </t>
        </is>
      </c>
      <c r="G5" s="213" t="inlineStr">
        <is>
          <t>[ Name of Lead ]</t>
        </is>
      </c>
      <c r="H5" s="249" t="n"/>
      <c r="I5" s="268" t="n"/>
      <c r="J5" s="268" t="n"/>
    </row>
    <row r="6" s="99">
      <c r="B6" s="247" t="inlineStr">
        <is>
          <t xml:space="preserve">Project Start Date: </t>
        </is>
      </c>
      <c r="G6" s="269" t="n">
        <v>41640</v>
      </c>
      <c r="H6" s="251" t="n"/>
      <c r="I6" s="270" t="n"/>
      <c r="J6" s="270" t="n"/>
      <c r="K6" s="69" t="n"/>
      <c r="M6" s="26" t="n"/>
    </row>
    <row r="7">
      <c r="B7" s="247" t="inlineStr">
        <is>
          <t xml:space="preserve">Today's Date: </t>
        </is>
      </c>
      <c r="G7" s="252">
        <f>TODAY()</f>
        <v/>
      </c>
      <c r="H7" s="253" t="n"/>
      <c r="O7" s="118" t="inlineStr">
        <is>
          <t>[42]</t>
        </is>
      </c>
      <c r="R7" s="6">
        <f>IF($N$1=1,(G6-WEEKDAY(G6,1)+O1)+7*(M1-1),IF($N$1=2,(G6-WEEKDAY(G6,1)+O1)+7*(M1-1),IF($N$1=3,DATE(YEAR(G6),MONTH(G6)+M1-1,1),0)))</f>
        <v/>
      </c>
      <c r="S7" s="6">
        <f>IF($N$1=1,R7,IF($N$1=2,R7+1,IF($N$1=3,R7+4,1)))</f>
        <v/>
      </c>
      <c r="T7" s="6">
        <f>IF($N$1=1,S7,IF($N$1=2,S7+1,IF($N$1=3,S7+4,1)))</f>
        <v/>
      </c>
      <c r="U7" s="6">
        <f>IF($N$1=1,T7,IF($N$1=2,T7+1,IF($N$1=3,T7+4,1)))</f>
        <v/>
      </c>
      <c r="V7" s="6">
        <f>IF($N$1=1,U7,IF($N$1=2,U7+1,IF($N$1=3,U7+4,1)))</f>
        <v/>
      </c>
      <c r="W7" s="6">
        <f>IF($N$1=1,V7,IF($N$1=2,V7+1,IF($N$1=3,V7+4,1)))</f>
        <v/>
      </c>
      <c r="X7" s="6">
        <f>IF($N$1=1,W7,IF($N$1=2,W7+1,IF($N$1=3,W7+4,1)))</f>
        <v/>
      </c>
      <c r="Y7" s="6">
        <f>IF($N$1=1,IF(AND(NOT($L$1),WEEKDAY(X7,$O$1+1)=4),X7+3,X7+1),IF($N$1=2,X7+1,IF($N$1=3,DATE(YEAR(R7),MONTH(R7)+1,1),1)))</f>
        <v/>
      </c>
      <c r="Z7" s="6">
        <f>IF($N$1=1,Y7,IF($N$1=2,Y7+1,IF($N$1=3,Y7+4,1)))</f>
        <v/>
      </c>
      <c r="AA7" s="6">
        <f>IF($N$1=1,Z7,IF($N$1=2,Z7+1,IF($N$1=3,Z7+4,1)))</f>
        <v/>
      </c>
      <c r="AB7" s="6">
        <f>IF($N$1=1,AA7,IF($N$1=2,AA7+1,IF($N$1=3,AA7+4,1)))</f>
        <v/>
      </c>
      <c r="AC7" s="6">
        <f>IF($N$1=1,AB7,IF($N$1=2,AB7+1,IF($N$1=3,AB7+4,1)))</f>
        <v/>
      </c>
      <c r="AD7" s="6">
        <f>IF($N$1=1,AC7,IF($N$1=2,AC7+1,IF($N$1=3,AC7+4,1)))</f>
        <v/>
      </c>
      <c r="AE7" s="6">
        <f>IF($N$1=1,AD7,IF($N$1=2,AD7+1,IF($N$1=3,AD7+4,1)))</f>
        <v/>
      </c>
      <c r="AF7" s="6">
        <f>IF($N$1=1,IF(AND(NOT($L$1),WEEKDAY(AE7,$O$1+1)=4),AE7+3,AE7+1),IF($N$1=2,AE7+1,IF($N$1=3,DATE(YEAR(Y7),MONTH(Y7)+1,1),1)))</f>
        <v/>
      </c>
      <c r="AG7" s="6">
        <f>IF($N$1=1,AF7,IF($N$1=2,AF7+1,IF($N$1=3,AF7+4,1)))</f>
        <v/>
      </c>
      <c r="AH7" s="6">
        <f>IF($N$1=1,AG7,IF($N$1=2,AG7+1,IF($N$1=3,AG7+4,1)))</f>
        <v/>
      </c>
      <c r="AI7" s="6">
        <f>IF($N$1=1,AH7,IF($N$1=2,AH7+1,IF($N$1=3,AH7+4,1)))</f>
        <v/>
      </c>
      <c r="AJ7" s="6">
        <f>IF($N$1=1,AI7,IF($N$1=2,AI7+1,IF($N$1=3,AI7+4,1)))</f>
        <v/>
      </c>
      <c r="AK7" s="6">
        <f>IF($N$1=1,AJ7,IF($N$1=2,AJ7+1,IF($N$1=3,AJ7+4,1)))</f>
        <v/>
      </c>
      <c r="AL7" s="6">
        <f>IF($N$1=1,AK7,IF($N$1=2,AK7+1,IF($N$1=3,AK7+4,1)))</f>
        <v/>
      </c>
      <c r="AM7" s="6">
        <f>IF($N$1=1,IF(AND(NOT($L$1),WEEKDAY(AL7,$O$1+1)=4),AL7+3,AL7+1),IF($N$1=2,AL7+1,IF($N$1=3,DATE(YEAR(AF7),MONTH(AF7)+1,1),1)))</f>
        <v/>
      </c>
      <c r="AN7" s="6">
        <f>IF($N$1=1,AM7,IF($N$1=2,AM7+1,IF($N$1=3,AM7+4,1)))</f>
        <v/>
      </c>
      <c r="AO7" s="6">
        <f>IF($N$1=1,AN7,IF($N$1=2,AN7+1,IF($N$1=3,AN7+4,1)))</f>
        <v/>
      </c>
      <c r="AP7" s="6">
        <f>IF($N$1=1,AO7,IF($N$1=2,AO7+1,IF($N$1=3,AO7+4,1)))</f>
        <v/>
      </c>
      <c r="AQ7" s="6">
        <f>IF($N$1=1,AP7,IF($N$1=2,AP7+1,IF($N$1=3,AP7+4,1)))</f>
        <v/>
      </c>
      <c r="AR7" s="6">
        <f>IF($N$1=1,AQ7,IF($N$1=2,AQ7+1,IF($N$1=3,AQ7+4,1)))</f>
        <v/>
      </c>
      <c r="AS7" s="6">
        <f>IF($N$1=1,AR7,IF($N$1=2,AR7+1,IF($N$1=3,AR7+4,1)))</f>
        <v/>
      </c>
      <c r="AT7" s="6">
        <f>IF($N$1=1,IF(AND(NOT($L$1),WEEKDAY(AS7,$O$1+1)=4),AS7+3,AS7+1),IF($N$1=2,AS7+1,IF($N$1=3,DATE(YEAR(AM7),MONTH(AM7)+1,1),1)))</f>
        <v/>
      </c>
      <c r="AU7" s="6">
        <f>IF($N$1=1,AT7,IF($N$1=2,AT7+1,IF($N$1=3,AT7+4,1)))</f>
        <v/>
      </c>
      <c r="AV7" s="6">
        <f>IF($N$1=1,AU7,IF($N$1=2,AU7+1,IF($N$1=3,AU7+4,1)))</f>
        <v/>
      </c>
      <c r="AW7" s="6">
        <f>IF($N$1=1,AV7,IF($N$1=2,AV7+1,IF($N$1=3,AV7+4,1)))</f>
        <v/>
      </c>
      <c r="AX7" s="6">
        <f>IF($N$1=1,AW7,IF($N$1=2,AW7+1,IF($N$1=3,AW7+4,1)))</f>
        <v/>
      </c>
      <c r="AY7" s="6">
        <f>IF($N$1=1,AX7,IF($N$1=2,AX7+1,IF($N$1=3,AX7+4,1)))</f>
        <v/>
      </c>
      <c r="AZ7" s="6">
        <f>IF($N$1=1,AY7,IF($N$1=2,AY7+1,IF($N$1=3,AY7+4,1)))</f>
        <v/>
      </c>
      <c r="BA7" s="6">
        <f>IF($N$1=1,IF(AND(NOT($L$1),WEEKDAY(AZ7,$O$1+1)=4),AZ7+3,AZ7+1),IF($N$1=2,AZ7+1,IF($N$1=3,DATE(YEAR(AT7),MONTH(AT7)+1,1),1)))</f>
        <v/>
      </c>
      <c r="BB7" s="6">
        <f>IF($N$1=1,BA7,IF($N$1=2,BA7+1,IF($N$1=3,BA7+4,1)))</f>
        <v/>
      </c>
      <c r="BC7" s="6">
        <f>IF($N$1=1,BB7,IF($N$1=2,BB7+1,IF($N$1=3,BB7+4,1)))</f>
        <v/>
      </c>
      <c r="BD7" s="6">
        <f>IF($N$1=1,BC7,IF($N$1=2,BC7+1,IF($N$1=3,BC7+4,1)))</f>
        <v/>
      </c>
      <c r="BE7" s="6">
        <f>IF($N$1=1,BD7,IF($N$1=2,BD7+1,IF($N$1=3,BD7+4,1)))</f>
        <v/>
      </c>
      <c r="BF7" s="6">
        <f>IF($N$1=1,BE7,IF($N$1=2,BE7+1,IF($N$1=3,BE7+4,1)))</f>
        <v/>
      </c>
      <c r="BG7" s="6">
        <f>IF($N$1=1,BF7,IF($N$1=2,BF7+1,IF($N$1=3,BF7+4,1)))</f>
        <v/>
      </c>
      <c r="BH7" s="6">
        <f>IF($N$1=1,IF(AND(NOT($L$1),WEEKDAY(BG7,$O$1+1)=4),BG7+3,BG7+1),IF($N$1=2,BG7+1,IF($N$1=3,DATE(YEAR(BA7),MONTH(BA7)+1,1),1)))</f>
        <v/>
      </c>
      <c r="BI7" s="6">
        <f>IF($N$1=1,BH7,IF($N$1=2,BH7+1,IF($N$1=3,BH7+4,1)))</f>
        <v/>
      </c>
      <c r="BJ7" s="6">
        <f>IF($N$1=1,BI7,IF($N$1=2,BI7+1,IF($N$1=3,BI7+4,1)))</f>
        <v/>
      </c>
      <c r="BK7" s="6">
        <f>IF($N$1=1,BJ7,IF($N$1=2,BJ7+1,IF($N$1=3,BJ7+4,1)))</f>
        <v/>
      </c>
      <c r="BL7" s="6">
        <f>IF($N$1=1,BK7,IF($N$1=2,BK7+1,IF($N$1=3,BK7+4,1)))</f>
        <v/>
      </c>
      <c r="BM7" s="6">
        <f>IF($N$1=1,BL7,IF($N$1=2,BL7+1,IF($N$1=3,BL7+4,1)))</f>
        <v/>
      </c>
      <c r="BN7" s="6">
        <f>IF($N$1=1,BM7,IF($N$1=2,BM7+1,IF($N$1=3,BM7+4,1)))</f>
        <v/>
      </c>
      <c r="BO7" s="6">
        <f>IF($N$1=1,IF(AND(NOT($L$1),WEEKDAY(BN7,$O$1+1)=4),BN7+3,BN7+1),IF($N$1=2,BN7+1,IF($N$1=3,DATE(YEAR(BH7),MONTH(BH7)+1,1),1)))</f>
        <v/>
      </c>
      <c r="BP7" s="6">
        <f>IF($N$1=1,BO7,IF($N$1=2,BO7+1,IF($N$1=3,BO7+4,1)))</f>
        <v/>
      </c>
      <c r="BQ7" s="6">
        <f>IF($N$1=1,BP7,IF($N$1=2,BP7+1,IF($N$1=3,BP7+4,1)))</f>
        <v/>
      </c>
      <c r="BR7" s="6">
        <f>IF($N$1=1,BQ7,IF($N$1=2,BQ7+1,IF($N$1=3,BQ7+4,1)))</f>
        <v/>
      </c>
      <c r="BS7" s="6">
        <f>IF($N$1=1,BR7,IF($N$1=2,BR7+1,IF($N$1=3,BR7+4,1)))</f>
        <v/>
      </c>
      <c r="BT7" s="6">
        <f>IF($N$1=1,BS7,IF($N$1=2,BS7+1,IF($N$1=3,BS7+4,1)))</f>
        <v/>
      </c>
      <c r="BU7" s="6">
        <f>IF($N$1=1,BT7,IF($N$1=2,BT7+1,IF($N$1=3,BT7+4,1)))</f>
        <v/>
      </c>
      <c r="BV7" s="6">
        <f>IF($N$1=1,IF(AND(NOT($L$1),WEEKDAY(BU7,$O$1+1)=4),BU7+3,BU7+1),IF($N$1=2,BU7+1,IF($N$1=3,DATE(YEAR(BO7),MONTH(BO7)+1,1),1)))</f>
        <v/>
      </c>
      <c r="BW7" s="6">
        <f>IF($N$1=1,BV7,IF($N$1=2,BV7+1,IF($N$1=3,BV7+4,1)))</f>
        <v/>
      </c>
      <c r="BX7" s="6">
        <f>IF($N$1=1,BW7,IF($N$1=2,BW7+1,IF($N$1=3,BW7+4,1)))</f>
        <v/>
      </c>
      <c r="BY7" s="6">
        <f>IF($N$1=1,BX7,IF($N$1=2,BX7+1,IF($N$1=3,BX7+4,1)))</f>
        <v/>
      </c>
      <c r="BZ7" s="6">
        <f>IF($N$1=1,BY7,IF($N$1=2,BY7+1,IF($N$1=3,BY7+4,1)))</f>
        <v/>
      </c>
      <c r="CA7" s="6">
        <f>IF($N$1=1,BZ7,IF($N$1=2,BZ7+1,IF($N$1=3,BZ7+4,1)))</f>
        <v/>
      </c>
      <c r="CB7" s="6">
        <f>IF($N$1=1,CA7,IF($N$1=2,CA7+1,IF($N$1=3,CA7+4,1)))</f>
        <v/>
      </c>
      <c r="CC7" s="6">
        <f>IF($N$1=1,IF(AND(NOT($L$1),WEEKDAY(CB7,$O$1+1)=4),CB7+3,CB7+1),IF($N$1=2,CB7+1,IF($N$1=3,DATE(YEAR(BV7),MONTH(BV7)+1,1),1)))</f>
        <v/>
      </c>
      <c r="CD7" s="6">
        <f>IF($N$1=1,CC7,IF($N$1=2,CC7+1,IF($N$1=3,CC7+4,1)))</f>
        <v/>
      </c>
      <c r="CE7" s="6">
        <f>IF($N$1=1,CD7,IF($N$1=2,CD7+1,IF($N$1=3,CD7+4,1)))</f>
        <v/>
      </c>
      <c r="CF7" s="6">
        <f>IF($N$1=1,CE7,IF($N$1=2,CE7+1,IF($N$1=3,CE7+4,1)))</f>
        <v/>
      </c>
      <c r="CG7" s="6">
        <f>IF($N$1=1,CF7,IF($N$1=2,CF7+1,IF($N$1=3,CF7+4,1)))</f>
        <v/>
      </c>
      <c r="CH7" s="6">
        <f>IF($N$1=1,CG7,IF($N$1=2,CG7+1,IF($N$1=3,CG7+4,1)))</f>
        <v/>
      </c>
      <c r="CI7" s="6">
        <f>IF($N$1=1,CH7,IF($N$1=2,CH7+1,IF($N$1=3,CH7+4,1)))</f>
        <v/>
      </c>
      <c r="CJ7" s="6">
        <f>IF($N$1=1,IF(AND(NOT($L$1),WEEKDAY(CI7,$O$1+1)=4),CI7+3,CI7+1),IF($N$1=2,CI7+1,IF($N$1=3,DATE(YEAR(CC7),MONTH(CC7)+1,1),1)))</f>
        <v/>
      </c>
      <c r="CK7" s="6">
        <f>IF($N$1=1,CJ7,IF($N$1=2,CJ7+1,IF($N$1=3,CJ7+4,1)))</f>
        <v/>
      </c>
      <c r="CL7" s="6">
        <f>IF($N$1=1,CK7,IF($N$1=2,CK7+1,IF($N$1=3,CK7+4,1)))</f>
        <v/>
      </c>
      <c r="CM7" s="6">
        <f>IF($N$1=1,CL7,IF($N$1=2,CL7+1,IF($N$1=3,CL7+4,1)))</f>
        <v/>
      </c>
      <c r="CN7" s="6">
        <f>IF($N$1=1,CM7,IF($N$1=2,CM7+1,IF($N$1=3,CM7+4,1)))</f>
        <v/>
      </c>
      <c r="CO7" s="6">
        <f>IF($N$1=1,CN7,IF($N$1=2,CN7+1,IF($N$1=3,CN7+4,1)))</f>
        <v/>
      </c>
      <c r="CP7" s="6">
        <f>IF($N$1=1,CO7,IF($N$1=2,CO7+1,IF($N$1=3,CO7+4,1)))</f>
        <v/>
      </c>
      <c r="CQ7" s="6">
        <f>IF($N$1=1,IF(AND(NOT($L$1),WEEKDAY(CP7,$O$1+1)=4),CP7+3,CP7+1),IF($N$1=2,CP7+1,IF($N$1=3,DATE(YEAR(CJ7),MONTH(CJ7)+1,1),1)))</f>
        <v/>
      </c>
      <c r="CR7" s="6">
        <f>IF($N$1=1,CQ7,IF($N$1=2,CQ7+1,IF($N$1=3,CQ7+4,1)))</f>
        <v/>
      </c>
      <c r="CS7" s="6">
        <f>IF($N$1=1,CR7,IF($N$1=2,CR7+1,IF($N$1=3,CR7+4,1)))</f>
        <v/>
      </c>
      <c r="CT7" s="6">
        <f>IF($N$1=1,CS7,IF($N$1=2,CS7+1,IF($N$1=3,CS7+4,1)))</f>
        <v/>
      </c>
      <c r="CU7" s="6">
        <f>IF($N$1=1,CT7,IF($N$1=2,CT7+1,IF($N$1=3,CT7+4,1)))</f>
        <v/>
      </c>
      <c r="CV7" s="6">
        <f>IF($N$1=1,CU7,IF($N$1=2,CU7+1,IF($N$1=3,CU7+4,1)))</f>
        <v/>
      </c>
      <c r="CW7" s="6">
        <f>IF($N$1=1,CV7,IF($N$1=2,CV7+1,IF($N$1=3,CV7+4,1)))</f>
        <v/>
      </c>
      <c r="CX7" s="6">
        <f>IF($N$1=1,IF(AND(NOT($L$1),WEEKDAY(CW7,$O$1+1)=4),CW7+3,CW7+1),IF($N$1=2,CW7+1,IF($N$1=3,DATE(YEAR(CQ7),MONTH(CQ7)+1,1),1)))</f>
        <v/>
      </c>
      <c r="CY7" s="6">
        <f>IF($N$1=1,CX7,IF($N$1=2,CX7+1,IF($N$1=3,CX7+4,1)))</f>
        <v/>
      </c>
      <c r="CZ7" s="6">
        <f>IF($N$1=1,CY7,IF($N$1=2,CY7+1,IF($N$1=3,CY7+4,1)))</f>
        <v/>
      </c>
      <c r="DA7" s="6">
        <f>IF($N$1=1,CZ7,IF($N$1=2,CZ7+1,IF($N$1=3,CZ7+4,1)))</f>
        <v/>
      </c>
      <c r="DB7" s="6">
        <f>IF($N$1=1,DA7,IF($N$1=2,DA7+1,IF($N$1=3,DA7+4,1)))</f>
        <v/>
      </c>
      <c r="DC7" s="6">
        <f>IF($N$1=1,DB7,IF($N$1=2,DB7+1,IF($N$1=3,DB7+4,1)))</f>
        <v/>
      </c>
      <c r="DD7" s="6">
        <f>IF($N$1=1,DC7,IF($N$1=2,DC7+1,IF($N$1=3,DC7+4,1)))</f>
        <v/>
      </c>
      <c r="DE7" s="6">
        <f>IF($N$1=1,IF(AND(NOT($L$1),WEEKDAY(DD7,$O$1+1)=4),DD7+3,DD7+1),IF($N$1=2,DD7+1,IF($N$1=3,DATE(YEAR(CX7),MONTH(CX7)+1,1),1)))</f>
        <v/>
      </c>
      <c r="DF7" s="6">
        <f>IF($N$1=1,DE7,IF($N$1=2,DE7+1,IF($N$1=3,DE7+4,1)))</f>
        <v/>
      </c>
      <c r="DG7" s="6">
        <f>IF($N$1=1,DF7,IF($N$1=2,DF7+1,IF($N$1=3,DF7+4,1)))</f>
        <v/>
      </c>
      <c r="DH7" s="6">
        <f>IF($N$1=1,DG7,IF($N$1=2,DG7+1,IF($N$1=3,DG7+4,1)))</f>
        <v/>
      </c>
      <c r="DI7" s="6">
        <f>IF($N$1=1,DH7,IF($N$1=2,DH7+1,IF($N$1=3,DH7+4,1)))</f>
        <v/>
      </c>
      <c r="DJ7" s="6">
        <f>IF($N$1=1,DI7,IF($N$1=2,DI7+1,IF($N$1=3,DI7+4,1)))</f>
        <v/>
      </c>
      <c r="DK7" s="6">
        <f>IF($N$1=1,DJ7,IF($N$1=2,DJ7+1,IF($N$1=3,DJ7+4,1)))</f>
        <v/>
      </c>
      <c r="DL7" s="6">
        <f>IF($N$1=1,IF(AND(NOT($L$1),WEEKDAY(DK7,$O$1+1)=4),DK7+3,DK7+1),IF($N$1=2,DK7+1,IF($N$1=3,DATE(YEAR(DE7),MONTH(DE7)+1,1),1)))</f>
        <v/>
      </c>
      <c r="DM7" s="6">
        <f>IF($N$1=1,DL7,IF($N$1=2,DL7+1,IF($N$1=3,DL7+4,1)))</f>
        <v/>
      </c>
      <c r="DN7" s="6">
        <f>IF($N$1=1,DM7,IF($N$1=2,DM7+1,IF($N$1=3,DM7+4,1)))</f>
        <v/>
      </c>
      <c r="DO7" s="6">
        <f>IF($N$1=1,DN7,IF($N$1=2,DN7+1,IF($N$1=3,DN7+4,1)))</f>
        <v/>
      </c>
      <c r="DP7" s="6">
        <f>IF($N$1=1,DO7,IF($N$1=2,DO7+1,IF($N$1=3,DO7+4,1)))</f>
        <v/>
      </c>
      <c r="DQ7" s="6">
        <f>IF($N$1=1,DP7,IF($N$1=2,DP7+1,IF($N$1=3,DP7+4,1)))</f>
        <v/>
      </c>
      <c r="DR7" s="6">
        <f>IF($N$1=1,DQ7,IF($N$1=2,DQ7+1,IF($N$1=3,DQ7+4,1)))</f>
        <v/>
      </c>
      <c r="DS7" s="6">
        <f>IF($N$1=1,IF(AND(NOT($L$1),WEEKDAY(DR7,$O$1+1)=4),DR7+3,DR7+1),IF($N$1=2,DR7+1,IF($N$1=3,DATE(YEAR(DL7),MONTH(DL7)+1,1),1)))</f>
        <v/>
      </c>
      <c r="DT7" s="6">
        <f>IF($N$1=1,DS7,IF($N$1=2,DS7+1,IF($N$1=3,DS7+4,1)))</f>
        <v/>
      </c>
      <c r="DU7" s="6">
        <f>IF($N$1=1,DT7,IF($N$1=2,DT7+1,IF($N$1=3,DT7+4,1)))</f>
        <v/>
      </c>
      <c r="DV7" s="6">
        <f>IF($N$1=1,DU7,IF($N$1=2,DU7+1,IF($N$1=3,DU7+4,1)))</f>
        <v/>
      </c>
      <c r="DW7" s="6">
        <f>IF($N$1=1,DV7,IF($N$1=2,DV7+1,IF($N$1=3,DV7+4,1)))</f>
        <v/>
      </c>
      <c r="DX7" s="6">
        <f>IF($N$1=1,DW7,IF($N$1=2,DW7+1,IF($N$1=3,DW7+4,1)))</f>
        <v/>
      </c>
      <c r="DY7" s="6">
        <f>IF($N$1=1,DX7,IF($N$1=2,DX7+1,IF($N$1=3,DX7+4,1)))</f>
        <v/>
      </c>
      <c r="DZ7" s="6">
        <f>IF($N$1=1,IF(AND(NOT($L$1),WEEKDAY(DY7,$O$1+1)=4),DY7+3,DY7+1),IF($N$1=2,DY7+1,IF($N$1=3,DATE(YEAR(DS7),MONTH(DS7)+1,1),1)))</f>
        <v/>
      </c>
      <c r="EA7" s="6">
        <f>IF($N$1=1,DZ7,IF($N$1=2,DZ7+1,IF($N$1=3,DZ7+4,1)))</f>
        <v/>
      </c>
      <c r="EB7" s="6">
        <f>IF($N$1=1,EA7,IF($N$1=2,EA7+1,IF($N$1=3,EA7+4,1)))</f>
        <v/>
      </c>
      <c r="EC7" s="6">
        <f>IF($N$1=1,EB7,IF($N$1=2,EB7+1,IF($N$1=3,EB7+4,1)))</f>
        <v/>
      </c>
      <c r="ED7" s="6">
        <f>IF($N$1=1,EC7,IF($N$1=2,EC7+1,IF($N$1=3,EC7+4,1)))</f>
        <v/>
      </c>
      <c r="EE7" s="6">
        <f>IF($N$1=1,ED7,IF($N$1=2,ED7+1,IF($N$1=3,ED7+4,1)))</f>
        <v/>
      </c>
      <c r="EF7" s="6">
        <f>IF($N$1=1,EE7,IF($N$1=2,EE7+1,IF($N$1=3,EE7+4,1)))</f>
        <v/>
      </c>
      <c r="EG7" s="6">
        <f>IF($N$1=1,IF(AND(NOT($L$1),WEEKDAY(EF7,$O$1+1)=4),EF7+3,EF7+1),IF($N$1=2,EF7+1,IF($N$1=3,DATE(YEAR(DZ7),MONTH(DZ7)+1,1),1)))</f>
        <v/>
      </c>
      <c r="EH7" s="6">
        <f>IF($N$1=1,EG7,IF($N$1=2,EG7+1,IF($N$1=3,EG7+4,1)))</f>
        <v/>
      </c>
      <c r="EI7" s="6">
        <f>IF($N$1=1,EH7,IF($N$1=2,EH7+1,IF($N$1=3,EH7+4,1)))</f>
        <v/>
      </c>
      <c r="EJ7" s="6">
        <f>IF($N$1=1,EI7,IF($N$1=2,EI7+1,IF($N$1=3,EI7+4,1)))</f>
        <v/>
      </c>
      <c r="EK7" s="6">
        <f>IF($N$1=1,EJ7,IF($N$1=2,EJ7+1,IF($N$1=3,EJ7+4,1)))</f>
        <v/>
      </c>
      <c r="EL7" s="6">
        <f>IF($N$1=1,EK7,IF($N$1=2,EK7+1,IF($N$1=3,EK7+4,1)))</f>
        <v/>
      </c>
      <c r="EM7" s="6">
        <f>IF($N$1=1,EL7,IF($N$1=2,EL7+1,IF($N$1=3,EL7+4,1)))</f>
        <v/>
      </c>
      <c r="EN7" s="6">
        <f>IF($N$1=1,IF(AND(NOT($L$1),WEEKDAY(EM7,$O$1+1)=4),EM7+3,EM7+1),IF($N$1=2,EM7+1,IF($N$1=3,DATE(YEAR(EG7),MONTH(EG7)+1,1),1)))</f>
        <v/>
      </c>
      <c r="EO7" s="6">
        <f>IF($N$1=1,EN7,IF($N$1=2,EN7+1,IF($N$1=3,EN7+4,1)))</f>
        <v/>
      </c>
      <c r="EP7" s="6">
        <f>IF($N$1=1,EO7,IF($N$1=2,EO7+1,IF($N$1=3,EO7+4,1)))</f>
        <v/>
      </c>
      <c r="EQ7" s="6">
        <f>IF($N$1=1,EP7,IF($N$1=2,EP7+1,IF($N$1=3,EP7+4,1)))</f>
        <v/>
      </c>
      <c r="ER7" s="6">
        <f>IF($N$1=1,EQ7,IF($N$1=2,EQ7+1,IF($N$1=3,EQ7+4,1)))</f>
        <v/>
      </c>
      <c r="ES7" s="6">
        <f>IF($N$1=1,ER7,IF($N$1=2,ER7+1,IF($N$1=3,ER7+4,1)))</f>
        <v/>
      </c>
      <c r="ET7" s="6">
        <f>IF($N$1=1,ES7,IF($N$1=2,ES7+1,IF($N$1=3,ES7+4,1)))</f>
        <v/>
      </c>
      <c r="EU7" s="6">
        <f>IF($N$1=1,IF(AND(NOT($L$1),WEEKDAY(ET7,$O$1+1)=4),ET7+3,ET7+1),IF($N$1=2,ET7+1,IF($N$1=3,DATE(YEAR(EN7),MONTH(EN7)+1,1),1)))</f>
        <v/>
      </c>
      <c r="EV7" s="6">
        <f>IF($N$1=1,EU7,IF($N$1=2,EU7+1,IF($N$1=3,EU7+4,1)))</f>
        <v/>
      </c>
      <c r="EW7" s="6">
        <f>IF($N$1=1,EV7,IF($N$1=2,EV7+1,IF($N$1=3,EV7+4,1)))</f>
        <v/>
      </c>
      <c r="EX7" s="6">
        <f>IF($N$1=1,EW7,IF($N$1=2,EW7+1,IF($N$1=3,EW7+4,1)))</f>
        <v/>
      </c>
      <c r="EY7" s="6">
        <f>IF($N$1=1,EX7,IF($N$1=2,EX7+1,IF($N$1=3,EX7+4,1)))</f>
        <v/>
      </c>
      <c r="EZ7" s="6">
        <f>IF($N$1=1,EY7,IF($N$1=2,EY7+1,IF($N$1=3,EY7+4,1)))</f>
        <v/>
      </c>
      <c r="FA7" s="6">
        <f>IF($N$1=1,EZ7,IF($N$1=2,EZ7+1,IF($N$1=3,EZ7+4,1)))</f>
        <v/>
      </c>
      <c r="FB7" s="6">
        <f>IF($N$1=1,IF(AND(NOT($L$1),WEEKDAY(FA7,$O$1+1)=4),FA7+3,FA7+1),IF($N$1=2,FA7+1,IF($N$1=3,DATE(YEAR(EU7),MONTH(EU7)+1,1),1)))</f>
        <v/>
      </c>
      <c r="FC7" s="6">
        <f>IF($N$1=1,FB7,IF($N$1=2,FB7+1,IF($N$1=3,FB7+4,1)))</f>
        <v/>
      </c>
      <c r="FD7" s="6">
        <f>IF($N$1=1,FC7,IF($N$1=2,FC7+1,IF($N$1=3,FC7+4,1)))</f>
        <v/>
      </c>
      <c r="FE7" s="6">
        <f>IF($N$1=1,FD7,IF($N$1=2,FD7+1,IF($N$1=3,FD7+4,1)))</f>
        <v/>
      </c>
      <c r="FF7" s="6">
        <f>IF($N$1=1,FE7,IF($N$1=2,FE7+1,IF($N$1=3,FE7+4,1)))</f>
        <v/>
      </c>
      <c r="FG7" s="6">
        <f>IF($N$1=1,FF7,IF($N$1=2,FF7+1,IF($N$1=3,FF7+4,1)))</f>
        <v/>
      </c>
      <c r="FH7" s="6">
        <f>IF($N$1=1,FG7,IF($N$1=2,FG7+1,IF($N$1=3,FG7+4,1)))</f>
        <v/>
      </c>
      <c r="FI7" s="6">
        <f>IF($N$1=1,IF(AND(NOT($L$1),WEEKDAY(FH7,$O$1+1)=4),FH7+3,FH7+1),IF($N$1=2,FH7+1,IF($N$1=3,DATE(YEAR(FB7),MONTH(FB7)+1,1),1)))</f>
        <v/>
      </c>
      <c r="FJ7" s="6">
        <f>IF($N$1=1,FI7,IF($N$1=2,FI7+1,IF($N$1=3,FI7+4,1)))</f>
        <v/>
      </c>
      <c r="FK7" s="6">
        <f>IF($N$1=1,FJ7,IF($N$1=2,FJ7+1,IF($N$1=3,FJ7+4,1)))</f>
        <v/>
      </c>
      <c r="FL7" s="6">
        <f>IF($N$1=1,FK7,IF($N$1=2,FK7+1,IF($N$1=3,FK7+4,1)))</f>
        <v/>
      </c>
      <c r="FM7" s="6">
        <f>IF($N$1=1,FL7,IF($N$1=2,FL7+1,IF($N$1=3,FL7+4,1)))</f>
        <v/>
      </c>
      <c r="FN7" s="6">
        <f>IF($N$1=1,FM7,IF($N$1=2,FM7+1,IF($N$1=3,FM7+4,1)))</f>
        <v/>
      </c>
      <c r="FO7" s="6">
        <f>IF($N$1=1,FN7,IF($N$1=2,FN7+1,IF($N$1=3,FN7+4,1)))</f>
        <v/>
      </c>
      <c r="FP7" s="6">
        <f>IF($N$1=1,IF(AND(NOT($L$1),WEEKDAY(FO7,$O$1+1)=4),FO7+3,FO7+1),IF($N$1=2,FO7+1,IF($N$1=3,DATE(YEAR(FI7),MONTH(FI7)+1,1),1)))</f>
        <v/>
      </c>
      <c r="FQ7" s="6">
        <f>IF($N$1=1,FP7,IF($N$1=2,FP7+1,IF($N$1=3,FP7+4,1)))</f>
        <v/>
      </c>
      <c r="FR7" s="6">
        <f>IF($N$1=1,FQ7,IF($N$1=2,FQ7+1,IF($N$1=3,FQ7+4,1)))</f>
        <v/>
      </c>
      <c r="FS7" s="6">
        <f>IF($N$1=1,FR7,IF($N$1=2,FR7+1,IF($N$1=3,FR7+4,1)))</f>
        <v/>
      </c>
      <c r="FT7" s="6">
        <f>IF($N$1=1,FS7,IF($N$1=2,FS7+1,IF($N$1=3,FS7+4,1)))</f>
        <v/>
      </c>
      <c r="FU7" s="6">
        <f>IF($N$1=1,FT7,IF($N$1=2,FT7+1,IF($N$1=3,FT7+4,1)))</f>
        <v/>
      </c>
      <c r="FV7" s="6">
        <f>IF($N$1=1,FU7,IF($N$1=2,FU7+1,IF($N$1=3,FU7+4,1)))</f>
        <v/>
      </c>
      <c r="FW7" s="6">
        <f>IF($N$1=1,IF(AND(NOT($L$1),WEEKDAY(FV7,$O$1+1)=4),FV7+3,FV7+1),IF($N$1=2,FV7+1,IF($N$1=3,DATE(YEAR(FP7),MONTH(FP7)+1,1),1)))</f>
        <v/>
      </c>
      <c r="FX7" s="6">
        <f>IF($N$1=1,FW7,IF($N$1=2,FW7+1,IF($N$1=3,FW7+4,1)))</f>
        <v/>
      </c>
      <c r="FY7" s="6">
        <f>IF($N$1=1,FX7,IF($N$1=2,FX7+1,IF($N$1=3,FX7+4,1)))</f>
        <v/>
      </c>
      <c r="FZ7" s="6">
        <f>IF($N$1=1,FY7,IF($N$1=2,FY7+1,IF($N$1=3,FY7+4,1)))</f>
        <v/>
      </c>
      <c r="GA7" s="6">
        <f>IF($N$1=1,FZ7,IF($N$1=2,FZ7+1,IF($N$1=3,FZ7+4,1)))</f>
        <v/>
      </c>
      <c r="GB7" s="6">
        <f>IF($N$1=1,GA7,IF($N$1=2,GA7+1,IF($N$1=3,GA7+4,1)))</f>
        <v/>
      </c>
      <c r="GC7" s="6">
        <f>IF($N$1=1,GB7,IF($N$1=2,GB7+1,IF($N$1=3,GB7+4,1)))</f>
        <v/>
      </c>
      <c r="GD7" s="6">
        <f>IF($N$1=1,IF(AND(NOT($L$1),WEEKDAY(GC7,$O$1+1)=4),GC7+3,GC7+1),IF($N$1=2,GC7+1,IF($N$1=3,DATE(YEAR(FW7),MONTH(FW7)+1,1),1)))</f>
        <v/>
      </c>
      <c r="GE7" s="6">
        <f>IF($N$1=1,GD7,IF($N$1=2,GD7+1,IF($N$1=3,GD7+4,1)))</f>
        <v/>
      </c>
      <c r="GF7" s="6">
        <f>IF($N$1=1,GE7,IF($N$1=2,GE7+1,IF($N$1=3,GE7+4,1)))</f>
        <v/>
      </c>
      <c r="GG7" s="6">
        <f>IF($N$1=1,GF7,IF($N$1=2,GF7+1,IF($N$1=3,GF7+4,1)))</f>
        <v/>
      </c>
      <c r="GH7" s="6">
        <f>IF($N$1=1,GG7,IF($N$1=2,GG7+1,IF($N$1=3,GG7+4,1)))</f>
        <v/>
      </c>
      <c r="GI7" s="6">
        <f>IF($N$1=1,GH7,IF($N$1=2,GH7+1,IF($N$1=3,GH7+4,1)))</f>
        <v/>
      </c>
      <c r="GJ7" s="6">
        <f>IF($N$1=1,GI7,IF($N$1=2,GI7+1,IF($N$1=3,GI7+4,1)))</f>
        <v/>
      </c>
      <c r="GK7" s="6">
        <f>IF($N$1=1,IF(AND(NOT($L$1),WEEKDAY(GJ7,$O$1+1)=4),GJ7+3,GJ7+1),IF($N$1=2,GJ7+1,IF($N$1=3,DATE(YEAR(GD7),MONTH(GD7)+1,1),1)))</f>
        <v/>
      </c>
      <c r="GL7" s="6">
        <f>IF($N$1=1,GK7,IF($N$1=2,GK7+1,IF($N$1=3,GK7+4,1)))</f>
        <v/>
      </c>
      <c r="GM7" s="6">
        <f>IF($N$1=1,GL7,IF($N$1=2,GL7+1,IF($N$1=3,GL7+4,1)))</f>
        <v/>
      </c>
      <c r="GN7" s="6">
        <f>IF($N$1=1,GM7,IF($N$1=2,GM7+1,IF($N$1=3,GM7+4,1)))</f>
        <v/>
      </c>
      <c r="GO7" s="6">
        <f>IF($N$1=1,GN7,IF($N$1=2,GN7+1,IF($N$1=3,GN7+4,1)))</f>
        <v/>
      </c>
      <c r="GP7" s="6">
        <f>IF($N$1=1,GO7,IF($N$1=2,GO7+1,IF($N$1=3,GO7+4,1)))</f>
        <v/>
      </c>
      <c r="GQ7" s="6">
        <f>IF($N$1=1,GP7,IF($N$1=2,GP7+1,IF($N$1=3,GP7+4,1)))</f>
        <v/>
      </c>
      <c r="GR7" s="6">
        <f>IF($N$1=1,IF(AND(NOT($L$1),WEEKDAY(GQ7,$O$1+1)=4),GQ7+3,GQ7+1),IF($N$1=2,GQ7+1,IF($N$1=3,DATE(YEAR(GK7),MONTH(GK7)+1,1),1)))</f>
        <v/>
      </c>
      <c r="GS7" s="6">
        <f>IF($N$1=1,GR7,IF($N$1=2,GR7+1,IF($N$1=3,GR7+4,1)))</f>
        <v/>
      </c>
      <c r="GT7" s="6">
        <f>IF($N$1=1,GS7,IF($N$1=2,GS7+1,IF($N$1=3,GS7+4,1)))</f>
        <v/>
      </c>
      <c r="GU7" s="6">
        <f>IF($N$1=1,GT7,IF($N$1=2,GT7+1,IF($N$1=3,GT7+4,1)))</f>
        <v/>
      </c>
      <c r="GV7" s="6">
        <f>IF($N$1=1,GU7,IF($N$1=2,GU7+1,IF($N$1=3,GU7+4,1)))</f>
        <v/>
      </c>
      <c r="GW7" s="6">
        <f>IF($N$1=1,GV7,IF($N$1=2,GV7+1,IF($N$1=3,GV7+4,1)))</f>
        <v/>
      </c>
      <c r="GX7" s="6">
        <f>IF($N$1=1,GW7,IF($N$1=2,GW7+1,IF($N$1=3,GW7+4,1)))</f>
        <v/>
      </c>
      <c r="GY7" s="6">
        <f>IF($N$1=1,IF(AND(NOT($L$1),WEEKDAY(GX7,$O$1+1)=4),GX7+3,GX7+1),IF($N$1=2,GX7+1,IF($N$1=3,DATE(YEAR(GR7),MONTH(GR7)+1,1),1)))</f>
        <v/>
      </c>
      <c r="GZ7" s="6">
        <f>IF($N$1=1,GY7,IF($N$1=2,GY7+1,IF($N$1=3,GY7+4,1)))</f>
        <v/>
      </c>
      <c r="HA7" s="6">
        <f>IF($N$1=1,GZ7,IF($N$1=2,GZ7+1,IF($N$1=3,GZ7+4,1)))</f>
        <v/>
      </c>
      <c r="HB7" s="6">
        <f>IF($N$1=1,HA7,IF($N$1=2,HA7+1,IF($N$1=3,HA7+4,1)))</f>
        <v/>
      </c>
      <c r="HC7" s="6">
        <f>IF($N$1=1,HB7,IF($N$1=2,HB7+1,IF($N$1=3,HB7+4,1)))</f>
        <v/>
      </c>
      <c r="HD7" s="6">
        <f>IF($N$1=1,HC7,IF($N$1=2,HC7+1,IF($N$1=3,HC7+4,1)))</f>
        <v/>
      </c>
      <c r="HE7" s="6">
        <f>IF($N$1=1,HD7,IF($N$1=2,HD7+1,IF($N$1=3,HD7+4,1)))</f>
        <v/>
      </c>
      <c r="HF7" s="6">
        <f>IF($N$1=1,IF(AND(NOT($L$1),WEEKDAY(HE7,$O$1+1)=4),HE7+3,HE7+1),IF($N$1=2,HE7+1,IF($N$1=3,DATE(YEAR(GY7),MONTH(GY7)+1,1),1)))</f>
        <v/>
      </c>
      <c r="HG7" s="6">
        <f>IF($N$1=1,HF7,IF($N$1=2,HF7+1,IF($N$1=3,HF7+4,1)))</f>
        <v/>
      </c>
      <c r="HH7" s="6">
        <f>IF($N$1=1,HG7,IF($N$1=2,HG7+1,IF($N$1=3,HG7+4,1)))</f>
        <v/>
      </c>
      <c r="HI7" s="6">
        <f>IF($N$1=1,HH7,IF($N$1=2,HH7+1,IF($N$1=3,HH7+4,1)))</f>
        <v/>
      </c>
      <c r="HJ7" s="6">
        <f>IF($N$1=1,HI7,IF($N$1=2,HI7+1,IF($N$1=3,HI7+4,1)))</f>
        <v/>
      </c>
      <c r="HK7" s="6">
        <f>IF($N$1=1,HJ7,IF($N$1=2,HJ7+1,IF($N$1=3,HJ7+4,1)))</f>
        <v/>
      </c>
      <c r="HL7" s="6">
        <f>IF($N$1=1,HK7,IF($N$1=2,HK7+1,IF($N$1=3,HK7+4,1)))</f>
        <v/>
      </c>
      <c r="HM7" s="6">
        <f>IF($N$1=1,IF(AND(NOT($L$1),WEEKDAY(HL7,$O$1+1)=4),HL7+3,HL7+1),IF($N$1=2,HL7+1,IF($N$1=3,DATE(YEAR(HF7),MONTH(HF7)+1,1),1)))</f>
        <v/>
      </c>
      <c r="HN7" s="6">
        <f>IF($N$1=1,HM7,IF($N$1=2,HM7+1,IF($N$1=3,HM7+4,1)))</f>
        <v/>
      </c>
      <c r="HO7" s="6">
        <f>IF($N$1=1,HN7,IF($N$1=2,HN7+1,IF($N$1=3,HN7+4,1)))</f>
        <v/>
      </c>
      <c r="HP7" s="6">
        <f>IF($N$1=1,HO7,IF($N$1=2,HO7+1,IF($N$1=3,HO7+4,1)))</f>
        <v/>
      </c>
      <c r="HQ7" s="6">
        <f>IF($N$1=1,HP7,IF($N$1=2,HP7+1,IF($N$1=3,HP7+4,1)))</f>
        <v/>
      </c>
      <c r="HR7" s="6">
        <f>IF($N$1=1,HQ7,IF($N$1=2,HQ7+1,IF($N$1=3,HQ7+4,1)))</f>
        <v/>
      </c>
      <c r="HS7" s="6">
        <f>IF($N$1=1,HR7,IF($N$1=2,HR7+1,IF($N$1=3,HR7+4,1)))</f>
        <v/>
      </c>
      <c r="HT7" s="6">
        <f>IF($N$1=1,IF(AND(NOT($L$1),WEEKDAY(HS7,$O$1+1)=4),HS7+3,HS7+1),IF($N$1=2,HS7+1,IF($N$1=3,DATE(YEAR(HM7),MONTH(HM7)+1,1),1)))</f>
        <v/>
      </c>
      <c r="HU7" s="6">
        <f>IF($N$1=1,HT7,IF($N$1=2,HT7+1,IF($N$1=3,HT7+4,1)))</f>
        <v/>
      </c>
      <c r="HV7" s="6">
        <f>IF($N$1=1,HU7,IF($N$1=2,HU7+1,IF($N$1=3,HU7+4,1)))</f>
        <v/>
      </c>
      <c r="HW7" s="6">
        <f>IF($N$1=1,HV7,IF($N$1=2,HV7+1,IF($N$1=3,HV7+4,1)))</f>
        <v/>
      </c>
      <c r="HX7" s="6">
        <f>IF($N$1=1,HW7,IF($N$1=2,HW7+1,IF($N$1=3,HW7+4,1)))</f>
        <v/>
      </c>
      <c r="HY7" s="6">
        <f>IF($N$1=1,HX7,IF($N$1=2,HX7+1,IF($N$1=3,HX7+4,1)))</f>
        <v/>
      </c>
      <c r="HZ7" s="6">
        <f>IF($N$1=1,HY7,IF($N$1=2,HY7+1,IF($N$1=3,HY7+4,1)))</f>
        <v/>
      </c>
      <c r="IA7" s="6">
        <f>IF($N$1=1,IF(AND(NOT($L$1),WEEKDAY(HZ7,$O$1+1)=4),HZ7+3,HZ7+1),IF($N$1=2,HZ7+1,IF($N$1=3,DATE(YEAR(HT7),MONTH(HT7)+1,1),1)))</f>
        <v/>
      </c>
      <c r="IB7" s="6">
        <f>IF($N$1=1,IA7,IF($N$1=2,IA7+1,IF($N$1=3,IA7+4,1)))</f>
        <v/>
      </c>
      <c r="IC7" s="6">
        <f>IF($N$1=1,IB7,IF($N$1=2,IB7+1,IF($N$1=3,IB7+4,1)))</f>
        <v/>
      </c>
      <c r="ID7" s="6">
        <f>IF($N$1=1,IC7,IF($N$1=2,IC7+1,IF($N$1=3,IC7+4,1)))</f>
        <v/>
      </c>
      <c r="IE7" s="6">
        <f>IF($N$1=1,ID7,IF($N$1=2,ID7+1,IF($N$1=3,ID7+4,1)))</f>
        <v/>
      </c>
      <c r="IF7" s="6">
        <f>IF($N$1=1,IE7,IF($N$1=2,IE7+1,IF($N$1=3,IE7+4,1)))</f>
        <v/>
      </c>
      <c r="IG7" s="6">
        <f>IF($N$1=1,IF7,IF($N$1=2,IF7+1,IF($N$1=3,IF7+4,1)))</f>
        <v/>
      </c>
      <c r="IH7" s="6">
        <f>IF($N$1=1,IF(AND(NOT($L$1),WEEKDAY(IG7,$O$1+1)=4),IG7+3,IG7+1),IF($N$1=2,IG7+1,IF($N$1=3,DATE(YEAR(IA7),MONTH(IA7)+1,1),1)))</f>
        <v/>
      </c>
      <c r="II7" s="6">
        <f>IF($N$1=1,IH7,IF($N$1=2,IH7+1,IF($N$1=3,IH7+4,1)))</f>
        <v/>
      </c>
      <c r="IJ7" s="6">
        <f>IF($N$1=1,II7,IF($N$1=2,II7+1,IF($N$1=3,II7+4,1)))</f>
        <v/>
      </c>
      <c r="IK7" s="6">
        <f>IF($N$1=1,IJ7,IF($N$1=2,IJ7+1,IF($N$1=3,IJ7+4,1)))</f>
        <v/>
      </c>
      <c r="IL7" s="6">
        <f>IF($N$1=1,IK7,IF($N$1=2,IK7+1,IF($N$1=3,IK7+4,1)))</f>
        <v/>
      </c>
      <c r="IM7" s="6">
        <f>IF($N$1=1,IL7,IF($N$1=2,IL7+1,IF($N$1=3,IL7+4,1)))</f>
        <v/>
      </c>
      <c r="IN7" s="6">
        <f>IF($N$1=1,IM7,IF($N$1=2,IM7+1,IF($N$1=3,IM7+4,1)))</f>
        <v/>
      </c>
      <c r="IO7" s="6">
        <f>IF($N$1=1,IF(AND(NOT($L$1),WEEKDAY(IN7,$O$1+1)=4),IN7+3,IN7+1),IF($N$1=2,IN7+1,IF($N$1=3,DATE(YEAR(IH7),MONTH(IH7)+1,1),1)))</f>
        <v/>
      </c>
      <c r="IP7" s="6">
        <f>IF($N$1=1,IO7,IF($N$1=2,IO7+1,IF($N$1=3,IO7+4,1)))</f>
        <v/>
      </c>
      <c r="IQ7" s="6">
        <f>IF($N$1=1,IP7,IF($N$1=2,IP7+1,IF($N$1=3,IP7+4,1)))</f>
        <v/>
      </c>
      <c r="IR7" s="6">
        <f>IF($N$1=1,IQ7,IF($N$1=2,IQ7+1,IF($N$1=3,IQ7+4,1)))</f>
        <v/>
      </c>
      <c r="IS7" s="6">
        <f>IF($N$1=1,IR7,IF($N$1=2,IR7+1,IF($N$1=3,IR7+4,1)))</f>
        <v/>
      </c>
      <c r="IT7" s="6">
        <f>IF($N$1=1,IS7,IF($N$1=2,IS7+1,IF($N$1=3,IS7+4,1)))</f>
        <v/>
      </c>
      <c r="IU7" s="6">
        <f>IF($N$1=1,IT7,IF($N$1=2,IT7+1,IF($N$1=3,IT7+4,1)))</f>
        <v/>
      </c>
      <c r="IV7" s="6">
        <f>IF($N$1=1,IF(AND(NOT($L$1),WEEKDAY(IU7,$O$1+1)=4),IU7+3,IU7+1),IF($N$1=2,IU7+1,IF($N$1=3,DATE(YEAR(IO7),MONTH(IO7)+1,1),1)))</f>
        <v/>
      </c>
      <c r="IW7" s="6">
        <f>IF($N$1=1,IV7,IF($N$1=2,IV7+1,IF($N$1=3,IV7+4,1)))</f>
        <v/>
      </c>
      <c r="IX7" s="6">
        <f>IF($N$1=1,IW7,IF($N$1=2,IW7+1,IF($N$1=3,IW7+4,1)))</f>
        <v/>
      </c>
      <c r="IY7" s="6">
        <f>IF($N$1=1,IX7,IF($N$1=2,IX7+1,IF($N$1=3,IX7+4,1)))</f>
        <v/>
      </c>
      <c r="IZ7" s="6">
        <f>IF($N$1=1,IY7,IF($N$1=2,IY7+1,IF($N$1=3,IY7+4,1)))</f>
        <v/>
      </c>
      <c r="JA7" s="6">
        <f>IF($N$1=1,IZ7,IF($N$1=2,IZ7+1,IF($N$1=3,IZ7+4,1)))</f>
        <v/>
      </c>
      <c r="JB7" s="6">
        <f>IF($N$1=1,JA7,IF($N$1=2,JA7+1,IF($N$1=3,JA7+4,1)))</f>
        <v/>
      </c>
      <c r="JC7" s="6">
        <f>IF($N$1=1,IF(AND(NOT($L$1),WEEKDAY(JB7,$O$1+1)=4),JB7+3,JB7+1),IF($N$1=2,JB7+1,IF($N$1=3,DATE(YEAR(IV7),MONTH(IV7)+1,1),1)))</f>
        <v/>
      </c>
      <c r="JD7" s="6">
        <f>IF($N$1=1,JC7,IF($N$1=2,JC7+1,IF($N$1=3,JC7+4,1)))</f>
        <v/>
      </c>
      <c r="JE7" s="6">
        <f>IF($N$1=1,JD7,IF($N$1=2,JD7+1,IF($N$1=3,JD7+4,1)))</f>
        <v/>
      </c>
      <c r="JF7" s="6">
        <f>IF($N$1=1,JE7,IF($N$1=2,JE7+1,IF($N$1=3,JE7+4,1)))</f>
        <v/>
      </c>
      <c r="JG7" s="6">
        <f>IF($N$1=1,JF7,IF($N$1=2,JF7+1,IF($N$1=3,JF7+4,1)))</f>
        <v/>
      </c>
      <c r="JH7" s="6">
        <f>IF($N$1=1,JG7,IF($N$1=2,JG7+1,IF($N$1=3,JG7+4,1)))</f>
        <v/>
      </c>
      <c r="JI7" s="6">
        <f>IF($N$1=1,JH7,IF($N$1=2,JH7+1,IF($N$1=3,JH7+4,1)))</f>
        <v/>
      </c>
      <c r="JJ7" s="6">
        <f>IF($N$1=1,IF(AND(NOT($L$1),WEEKDAY(JI7,$O$1+1)=4),JI7+3,JI7+1),IF($N$1=2,JI7+1,IF($N$1=3,DATE(YEAR(JC7),MONTH(JC7)+1,1),1)))</f>
        <v/>
      </c>
      <c r="JK7" s="6">
        <f>IF($N$1=1,JJ7,IF($N$1=2,JJ7+1,IF($N$1=3,JJ7+4,1)))</f>
        <v/>
      </c>
      <c r="JL7" s="6">
        <f>IF($N$1=1,JK7,IF($N$1=2,JK7+1,IF($N$1=3,JK7+4,1)))</f>
        <v/>
      </c>
      <c r="JM7" s="6">
        <f>IF($N$1=1,JL7,IF($N$1=2,JL7+1,IF($N$1=3,JL7+4,1)))</f>
        <v/>
      </c>
      <c r="JN7" s="6">
        <f>IF($N$1=1,JM7,IF($N$1=2,JM7+1,IF($N$1=3,JM7+4,1)))</f>
        <v/>
      </c>
      <c r="JO7" s="6">
        <f>IF($N$1=1,JN7,IF($N$1=2,JN7+1,IF($N$1=3,JN7+4,1)))</f>
        <v/>
      </c>
      <c r="JP7" s="6">
        <f>IF($N$1=1,JO7,IF($N$1=2,JO7+1,IF($N$1=3,JO7+4,1)))</f>
        <v/>
      </c>
      <c r="JQ7" s="6">
        <f>IF($N$1=1,IF(AND(NOT($L$1),WEEKDAY(JP7,$O$1+1)=4),JP7+3,JP7+1),IF($N$1=2,JP7+1,IF($N$1=3,DATE(YEAR(JJ7),MONTH(JJ7)+1,1),1)))</f>
        <v/>
      </c>
      <c r="JR7" s="6">
        <f>IF($N$1=1,JQ7,IF($N$1=2,JQ7+1,IF($N$1=3,JQ7+4,1)))</f>
        <v/>
      </c>
      <c r="JS7" s="6">
        <f>IF($N$1=1,JR7,IF($N$1=2,JR7+1,IF($N$1=3,JR7+4,1)))</f>
        <v/>
      </c>
      <c r="JT7" s="6">
        <f>IF($N$1=1,JS7,IF($N$1=2,JS7+1,IF($N$1=3,JS7+4,1)))</f>
        <v/>
      </c>
      <c r="JU7" s="6">
        <f>IF($N$1=1,JT7,IF($N$1=2,JT7+1,IF($N$1=3,JT7+4,1)))</f>
        <v/>
      </c>
      <c r="JV7" s="6">
        <f>IF($N$1=1,JU7,IF($N$1=2,JU7+1,IF($N$1=3,JU7+4,1)))</f>
        <v/>
      </c>
      <c r="JW7" s="6">
        <f>IF($N$1=1,JV7,IF($N$1=2,JV7+1,IF($N$1=3,JV7+4,1)))</f>
        <v/>
      </c>
      <c r="JX7" s="6">
        <f>IF($N$1=1,IF(AND(NOT($L$1),WEEKDAY(JW7,$O$1+1)=4),JW7+3,JW7+1),IF($N$1=2,JW7+1,IF($N$1=3,DATE(YEAR(JQ7),MONTH(JQ7)+1,1),1)))</f>
        <v/>
      </c>
      <c r="JY7" s="6">
        <f>IF($N$1=1,JX7,IF($N$1=2,JX7+1,IF($N$1=3,JX7+4,1)))</f>
        <v/>
      </c>
      <c r="JZ7" s="6">
        <f>IF($N$1=1,JY7,IF($N$1=2,JY7+1,IF($N$1=3,JY7+4,1)))</f>
        <v/>
      </c>
      <c r="KA7" s="6">
        <f>IF($N$1=1,JZ7,IF($N$1=2,JZ7+1,IF($N$1=3,JZ7+4,1)))</f>
        <v/>
      </c>
      <c r="KB7" s="6">
        <f>IF($N$1=1,KA7,IF($N$1=2,KA7+1,IF($N$1=3,KA7+4,1)))</f>
        <v/>
      </c>
      <c r="KC7" s="6">
        <f>IF($N$1=1,KB7,IF($N$1=2,KB7+1,IF($N$1=3,KB7+4,1)))</f>
        <v/>
      </c>
      <c r="KD7" s="6">
        <f>IF($N$1=1,KC7,IF($N$1=2,KC7+1,IF($N$1=3,KC7+4,1)))</f>
        <v/>
      </c>
      <c r="KE7" s="6">
        <f>IF($N$1=1,IF(AND(NOT($L$1),WEEKDAY(KD7,$O$1+1)=4),KD7+3,KD7+1),IF($N$1=2,KD7+1,IF($N$1=3,DATE(YEAR(JX7),MONTH(JX7)+1,1),1)))</f>
        <v/>
      </c>
      <c r="KF7" s="6">
        <f>IF($N$1=1,KE7,IF($N$1=2,KE7+1,IF($N$1=3,KE7+4,1)))</f>
        <v/>
      </c>
      <c r="KG7" s="6">
        <f>IF($N$1=1,KF7,IF($N$1=2,KF7+1,IF($N$1=3,KF7+4,1)))</f>
        <v/>
      </c>
      <c r="KH7" s="6">
        <f>IF($N$1=1,KG7,IF($N$1=2,KG7+1,IF($N$1=3,KG7+4,1)))</f>
        <v/>
      </c>
      <c r="KI7" s="6">
        <f>IF($N$1=1,KH7,IF($N$1=2,KH7+1,IF($N$1=3,KH7+4,1)))</f>
        <v/>
      </c>
      <c r="KJ7" s="6">
        <f>IF($N$1=1,KI7,IF($N$1=2,KI7+1,IF($N$1=3,KI7+4,1)))</f>
        <v/>
      </c>
      <c r="KK7" s="6">
        <f>IF($N$1=1,KJ7,IF($N$1=2,KJ7+1,IF($N$1=3,KJ7+4,1)))</f>
        <v/>
      </c>
      <c r="KL7" s="6">
        <f>IF($N$1=1,IF(AND(NOT($L$1),WEEKDAY(KK7,$O$1+1)=4),KK7+3,KK7+1),IF($N$1=2,KK7+1,IF($N$1=3,DATE(YEAR(KE7),MONTH(KE7)+1,1),1)))</f>
        <v/>
      </c>
      <c r="KM7" s="6">
        <f>IF($N$1=1,KL7,IF($N$1=2,KL7+1,IF($N$1=3,KL7+4,1)))</f>
        <v/>
      </c>
      <c r="KN7" s="6">
        <f>IF($N$1=1,KM7,IF($N$1=2,KM7+1,IF($N$1=3,KM7+4,1)))</f>
        <v/>
      </c>
      <c r="KO7" s="6">
        <f>IF($N$1=1,KN7,IF($N$1=2,KN7+1,IF($N$1=3,KN7+4,1)))</f>
        <v/>
      </c>
      <c r="KP7" s="6">
        <f>IF($N$1=1,KO7,IF($N$1=2,KO7+1,IF($N$1=3,KO7+4,1)))</f>
        <v/>
      </c>
      <c r="KQ7" s="6">
        <f>IF($N$1=1,KP7,IF($N$1=2,KP7+1,IF($N$1=3,KP7+4,1)))</f>
        <v/>
      </c>
      <c r="KR7" s="6">
        <f>IF($N$1=1,KQ7,IF($N$1=2,KQ7+1,IF($N$1=3,KQ7+4,1)))</f>
        <v/>
      </c>
      <c r="KS7" s="6">
        <f>IF($N$1=1,IF(AND(NOT($L$1),WEEKDAY(KR7,$O$1+1)=4),KR7+3,KR7+1),IF($N$1=2,KR7+1,IF($N$1=3,DATE(YEAR(KL7),MONTH(KL7)+1,1),1)))</f>
        <v/>
      </c>
      <c r="KT7" s="6">
        <f>IF($N$1=1,KS7,IF($N$1=2,KS7+1,IF($N$1=3,KS7+4,1)))</f>
        <v/>
      </c>
      <c r="KU7" s="6">
        <f>IF($N$1=1,KT7,IF($N$1=2,KT7+1,IF($N$1=3,KT7+4,1)))</f>
        <v/>
      </c>
      <c r="KV7" s="6">
        <f>IF($N$1=1,KU7,IF($N$1=2,KU7+1,IF($N$1=3,KU7+4,1)))</f>
        <v/>
      </c>
      <c r="KW7" s="6">
        <f>IF($N$1=1,KV7,IF($N$1=2,KV7+1,IF($N$1=3,KV7+4,1)))</f>
        <v/>
      </c>
      <c r="KX7" s="6">
        <f>IF($N$1=1,KW7,IF($N$1=2,KW7+1,IF($N$1=3,KW7+4,1)))</f>
        <v/>
      </c>
      <c r="KY7" s="6">
        <f>IF($N$1=1,KX7,IF($N$1=2,KX7+1,IF($N$1=3,KX7+4,1)))</f>
        <v/>
      </c>
      <c r="KZ7" s="6">
        <f>IF($N$1=1,IF(AND(NOT($L$1),WEEKDAY(KY7,$O$1+1)=4),KY7+3,KY7+1),IF($N$1=2,KY7+1,IF($N$1=3,DATE(YEAR(KS7),MONTH(KS7)+1,1),1)))</f>
        <v/>
      </c>
      <c r="LA7" s="6">
        <f>IF($N$1=1,KZ7,IF($N$1=2,KZ7+1,IF($N$1=3,KZ7+4,1)))</f>
        <v/>
      </c>
      <c r="LB7" s="6">
        <f>IF($N$1=1,LA7,IF($N$1=2,LA7+1,IF($N$1=3,LA7+4,1)))</f>
        <v/>
      </c>
      <c r="LC7" s="6">
        <f>IF($N$1=1,LB7,IF($N$1=2,LB7+1,IF($N$1=3,LB7+4,1)))</f>
        <v/>
      </c>
      <c r="LD7" s="6">
        <f>IF($N$1=1,LC7,IF($N$1=2,LC7+1,IF($N$1=3,LC7+4,1)))</f>
        <v/>
      </c>
      <c r="LE7" s="6">
        <f>IF($N$1=1,LD7,IF($N$1=2,LD7+1,IF($N$1=3,LD7+4,1)))</f>
        <v/>
      </c>
      <c r="LF7" s="6">
        <f>IF($N$1=1,LE7,IF($N$1=2,LE7+1,IF($N$1=3,LE7+4,1)))</f>
        <v/>
      </c>
      <c r="LG7" s="6">
        <f>IF($N$1=1,IF(AND(NOT($L$1),WEEKDAY(LF7,$O$1+1)=4),LF7+3,LF7+1),IF($N$1=2,LF7+1,IF($N$1=3,DATE(YEAR(KZ7),MONTH(KZ7)+1,1),1)))</f>
        <v/>
      </c>
      <c r="LH7" s="6">
        <f>IF($N$1=1,LG7,IF($N$1=2,LG7+1,IF($N$1=3,LG7+4,1)))</f>
        <v/>
      </c>
      <c r="LI7" s="6">
        <f>IF($N$1=1,LH7,IF($N$1=2,LH7+1,IF($N$1=3,LH7+4,1)))</f>
        <v/>
      </c>
      <c r="LJ7" s="6">
        <f>IF($N$1=1,LI7,IF($N$1=2,LI7+1,IF($N$1=3,LI7+4,1)))</f>
        <v/>
      </c>
      <c r="LK7" s="6">
        <f>IF($N$1=1,LJ7,IF($N$1=2,LJ7+1,IF($N$1=3,LJ7+4,1)))</f>
        <v/>
      </c>
      <c r="LL7" s="6">
        <f>IF($N$1=1,LK7,IF($N$1=2,LK7+1,IF($N$1=3,LK7+4,1)))</f>
        <v/>
      </c>
      <c r="LM7" s="6">
        <f>IF($N$1=1,LL7,IF($N$1=2,LL7+1,IF($N$1=3,LL7+4,1)))</f>
        <v/>
      </c>
      <c r="LN7" s="6">
        <f>IF($N$1=1,IF(AND(NOT($L$1),WEEKDAY(LM7,$O$1+1)=4),LM7+3,LM7+1),IF($N$1=2,LM7+1,IF($N$1=3,DATE(YEAR(LG7),MONTH(LG7)+1,1),1)))</f>
        <v/>
      </c>
      <c r="LO7" s="6">
        <f>IF($N$1=1,LN7,IF($N$1=2,LN7+1,IF($N$1=3,LN7+4,1)))</f>
        <v/>
      </c>
      <c r="LP7" s="6">
        <f>IF($N$1=1,LO7,IF($N$1=2,LO7+1,IF($N$1=3,LO7+4,1)))</f>
        <v/>
      </c>
      <c r="LQ7" s="6">
        <f>IF($N$1=1,LP7,IF($N$1=2,LP7+1,IF($N$1=3,LP7+4,1)))</f>
        <v/>
      </c>
      <c r="LR7" s="6">
        <f>IF($N$1=1,LQ7,IF($N$1=2,LQ7+1,IF($N$1=3,LQ7+4,1)))</f>
        <v/>
      </c>
      <c r="LS7" s="6">
        <f>IF($N$1=1,LR7,IF($N$1=2,LR7+1,IF($N$1=3,LR7+4,1)))</f>
        <v/>
      </c>
      <c r="LT7" s="6">
        <f>IF($N$1=1,LS7,IF($N$1=2,LS7+1,IF($N$1=3,LS7+4,1)))</f>
        <v/>
      </c>
      <c r="LU7" s="6">
        <f>IF($N$1=1,IF(AND(NOT($L$1),WEEKDAY(LT7,$O$1+1)=4),LT7+3,LT7+1),IF($N$1=2,LT7+1,IF($N$1=3,DATE(YEAR(LN7),MONTH(LN7)+1,1),1)))</f>
        <v/>
      </c>
      <c r="LV7" s="6">
        <f>IF($N$1=1,LU7,IF($N$1=2,LU7+1,IF($N$1=3,LU7+4,1)))</f>
        <v/>
      </c>
      <c r="LW7" s="6">
        <f>IF($N$1=1,LV7,IF($N$1=2,LV7+1,IF($N$1=3,LV7+4,1)))</f>
        <v/>
      </c>
      <c r="LX7" s="6">
        <f>IF($N$1=1,LW7,IF($N$1=2,LW7+1,IF($N$1=3,LW7+4,1)))</f>
        <v/>
      </c>
      <c r="LY7" s="6">
        <f>IF($N$1=1,LX7,IF($N$1=2,LX7+1,IF($N$1=3,LX7+4,1)))</f>
        <v/>
      </c>
      <c r="LZ7" s="6">
        <f>IF($N$1=1,LY7,IF($N$1=2,LY7+1,IF($N$1=3,LY7+4,1)))</f>
        <v/>
      </c>
      <c r="MA7" s="6">
        <f>IF($N$1=1,LZ7,IF($N$1=2,LZ7+1,IF($N$1=3,LZ7+4,1)))</f>
        <v/>
      </c>
      <c r="MB7" s="6">
        <f>IF($N$1=1,IF(AND(NOT($L$1),WEEKDAY(MA7,$O$1+1)=4),MA7+3,MA7+1),IF($N$1=2,MA7+1,IF($N$1=3,DATE(YEAR(LU7),MONTH(LU7)+1,1),1)))</f>
        <v/>
      </c>
      <c r="MC7" s="6">
        <f>IF($N$1=1,MB7,IF($N$1=2,MB7+1,IF($N$1=3,MB7+4,1)))</f>
        <v/>
      </c>
      <c r="MD7" s="6">
        <f>IF($N$1=1,MC7,IF($N$1=2,MC7+1,IF($N$1=3,MC7+4,1)))</f>
        <v/>
      </c>
      <c r="ME7" s="6">
        <f>IF($N$1=1,MD7,IF($N$1=2,MD7+1,IF($N$1=3,MD7+4,1)))</f>
        <v/>
      </c>
      <c r="MF7" s="6">
        <f>IF($N$1=1,ME7,IF($N$1=2,ME7+1,IF($N$1=3,ME7+4,1)))</f>
        <v/>
      </c>
      <c r="MG7" s="6">
        <f>IF($N$1=1,MF7,IF($N$1=2,MF7+1,IF($N$1=3,MF7+4,1)))</f>
        <v/>
      </c>
      <c r="MH7" s="6">
        <f>IF($N$1=1,MG7,IF($N$1=2,MG7+1,IF($N$1=3,MG7+4,1)))</f>
        <v/>
      </c>
      <c r="MI7" s="6">
        <f>IF($N$1=1,IF(AND(NOT($L$1),WEEKDAY(MH7,$O$1+1)=4),MH7+3,MH7+1),IF($N$1=2,MH7+1,IF($N$1=3,DATE(YEAR(MB7),MONTH(MB7)+1,1),1)))</f>
        <v/>
      </c>
      <c r="MJ7" s="6">
        <f>IF($N$1=1,MI7,IF($N$1=2,MI7+1,IF($N$1=3,MI7+4,1)))</f>
        <v/>
      </c>
      <c r="MK7" s="6">
        <f>IF($N$1=1,MJ7,IF($N$1=2,MJ7+1,IF($N$1=3,MJ7+4,1)))</f>
        <v/>
      </c>
      <c r="ML7" s="6">
        <f>IF($N$1=1,MK7,IF($N$1=2,MK7+1,IF($N$1=3,MK7+4,1)))</f>
        <v/>
      </c>
      <c r="MM7" s="6">
        <f>IF($N$1=1,ML7,IF($N$1=2,ML7+1,IF($N$1=3,ML7+4,1)))</f>
        <v/>
      </c>
      <c r="MN7" s="6">
        <f>IF($N$1=1,MM7,IF($N$1=2,MM7+1,IF($N$1=3,MM7+4,1)))</f>
        <v/>
      </c>
      <c r="MO7" s="6">
        <f>IF($N$1=1,MN7,IF($N$1=2,MN7+1,IF($N$1=3,MN7+4,1)))</f>
        <v/>
      </c>
      <c r="MP7" s="6">
        <f>IF($N$1=1,IF(AND(NOT($L$1),WEEKDAY(MO7,$O$1+1)=4),MO7+3,MO7+1),IF($N$1=2,MO7+1,IF($N$1=3,DATE(YEAR(MI7),MONTH(MI7)+1,1),1)))</f>
        <v/>
      </c>
      <c r="MQ7" s="6">
        <f>IF($N$1=1,MP7,IF($N$1=2,MP7+1,IF($N$1=3,MP7+4,1)))</f>
        <v/>
      </c>
      <c r="MR7" s="6">
        <f>IF($N$1=1,MQ7,IF($N$1=2,MQ7+1,IF($N$1=3,MQ7+4,1)))</f>
        <v/>
      </c>
      <c r="MS7" s="6">
        <f>IF($N$1=1,MR7,IF($N$1=2,MR7+1,IF($N$1=3,MR7+4,1)))</f>
        <v/>
      </c>
      <c r="MT7" s="6">
        <f>IF($N$1=1,MS7,IF($N$1=2,MS7+1,IF($N$1=3,MS7+4,1)))</f>
        <v/>
      </c>
      <c r="MU7" s="6">
        <f>IF($N$1=1,MT7,IF($N$1=2,MT7+1,IF($N$1=3,MT7+4,1)))</f>
        <v/>
      </c>
      <c r="MV7" s="6">
        <f>IF($N$1=1,MU7,IF($N$1=2,MU7+1,IF($N$1=3,MU7+4,1)))</f>
        <v/>
      </c>
      <c r="MW7" s="6">
        <f>IF($N$1=1,IF(AND(NOT($L$1),WEEKDAY(MV7,$O$1+1)=4),MV7+3,MV7+1),IF($N$1=2,MV7+1,IF($N$1=3,DATE(YEAR(MP7),MONTH(MP7)+1,1),1)))</f>
        <v/>
      </c>
      <c r="MX7" s="6">
        <f>IF($N$1=1,MW7,IF($N$1=2,MW7+1,IF($N$1=3,MW7+4,1)))</f>
        <v/>
      </c>
      <c r="MY7" s="6">
        <f>IF($N$1=1,MX7,IF($N$1=2,MX7+1,IF($N$1=3,MX7+4,1)))</f>
        <v/>
      </c>
      <c r="MZ7" s="6">
        <f>IF($N$1=1,MY7,IF($N$1=2,MY7+1,IF($N$1=3,MY7+4,1)))</f>
        <v/>
      </c>
      <c r="NA7" s="6">
        <f>IF($N$1=1,MZ7,IF($N$1=2,MZ7+1,IF($N$1=3,MZ7+4,1)))</f>
        <v/>
      </c>
      <c r="NB7" s="6">
        <f>IF($N$1=1,NA7,IF($N$1=2,NA7+1,IF($N$1=3,NA7+4,1)))</f>
        <v/>
      </c>
      <c r="NC7" s="6">
        <f>IF($N$1=1,NB7,IF($N$1=2,NB7+1,IF($N$1=3,NB7+4,1)))</f>
        <v/>
      </c>
      <c r="ND7" s="6">
        <f>IF($N$1=1,IF(AND(NOT($L$1),WEEKDAY(NC7,$O$1+1)=4),NC7+3,NC7+1),IF($N$1=2,NC7+1,IF($N$1=3,DATE(YEAR(MW7),MONTH(MW7)+1,1),1)))</f>
        <v/>
      </c>
      <c r="NE7" s="6">
        <f>IF($N$1=1,ND7,IF($N$1=2,ND7+1,IF($N$1=3,ND7+4,1)))</f>
        <v/>
      </c>
      <c r="NF7" s="6">
        <f>IF($N$1=1,NE7,IF($N$1=2,NE7+1,IF($N$1=3,NE7+4,1)))</f>
        <v/>
      </c>
      <c r="NG7" s="6">
        <f>IF($N$1=1,NF7,IF($N$1=2,NF7+1,IF($N$1=3,NF7+4,1)))</f>
        <v/>
      </c>
      <c r="NH7" s="6">
        <f>IF($N$1=1,NG7,IF($N$1=2,NG7+1,IF($N$1=3,NG7+4,1)))</f>
        <v/>
      </c>
      <c r="NI7" s="6">
        <f>IF($N$1=1,NH7,IF($N$1=2,NH7+1,IF($N$1=3,NH7+4,1)))</f>
        <v/>
      </c>
      <c r="NJ7" s="6">
        <f>IF($N$1=1,NI7,IF($N$1=2,NI7+1,IF($N$1=3,NI7+4,1)))</f>
        <v/>
      </c>
      <c r="NK7" s="6">
        <f>IF($N$1=1,IF(AND(NOT($L$1),WEEKDAY(NJ7,$O$1+1)=4),NJ7+3,NJ7+1),IF($N$1=2,NJ7+1,IF($N$1=3,DATE(YEAR(ND7),MONTH(ND7)+1,1),1)))</f>
        <v/>
      </c>
      <c r="NL7" s="6">
        <f>IF($N$1=1,NK7,IF($N$1=2,NK7+1,IF($N$1=3,NK7+4,1)))</f>
        <v/>
      </c>
      <c r="NM7" s="6">
        <f>IF($N$1=1,NL7,IF($N$1=2,NL7+1,IF($N$1=3,NL7+4,1)))</f>
        <v/>
      </c>
      <c r="NN7" s="6">
        <f>IF($N$1=1,NM7,IF($N$1=2,NM7+1,IF($N$1=3,NM7+4,1)))</f>
        <v/>
      </c>
      <c r="NO7" s="6">
        <f>IF($N$1=1,NN7,IF($N$1=2,NN7+1,IF($N$1=3,NN7+4,1)))</f>
        <v/>
      </c>
      <c r="NP7" s="6">
        <f>IF($N$1=1,NO7,IF($N$1=2,NO7+1,IF($N$1=3,NO7+4,1)))</f>
        <v/>
      </c>
      <c r="NQ7" s="6">
        <f>IF($N$1=1,NP7,IF($N$1=2,NP7+1,IF($N$1=3,NP7+4,1)))</f>
        <v/>
      </c>
    </row>
    <row r="8" ht="60" customHeight="1" s="99">
      <c r="A8" s="229" t="inlineStr">
        <is>
          <t>WBS</t>
        </is>
      </c>
      <c r="B8" s="230" t="inlineStr">
        <is>
          <t>Task</t>
        </is>
      </c>
      <c r="C8" s="232" t="inlineStr">
        <is>
          <t>Lead</t>
        </is>
      </c>
      <c r="D8" s="232" t="inlineStr">
        <is>
          <t>Predecessors</t>
        </is>
      </c>
      <c r="G8" s="233" t="inlineStr">
        <is>
          <t>Start</t>
        </is>
      </c>
      <c r="H8" s="233" t="inlineStr">
        <is>
          <t>End</t>
        </is>
      </c>
      <c r="I8" s="232" t="inlineStr">
        <is>
          <t>Original
Start</t>
        </is>
      </c>
      <c r="J8" s="232" t="inlineStr">
        <is>
          <t>Original
End</t>
        </is>
      </c>
      <c r="K8" s="234" t="inlineStr">
        <is>
          <t>Work Days</t>
        </is>
      </c>
      <c r="L8" s="234" t="inlineStr">
        <is>
          <t>% Done</t>
        </is>
      </c>
      <c r="M8" s="234" t="inlineStr">
        <is>
          <t>Cal Days</t>
        </is>
      </c>
      <c r="N8" s="235" t="inlineStr">
        <is>
          <t>Days Done</t>
        </is>
      </c>
      <c r="O8" s="235" t="inlineStr">
        <is>
          <t>Days Left</t>
        </is>
      </c>
      <c r="P8" s="236" t="inlineStr">
        <is>
          <t>Color</t>
        </is>
      </c>
      <c r="R8" s="271">
        <f>R7</f>
        <v/>
      </c>
      <c r="Y8" s="271">
        <f>Y7</f>
        <v/>
      </c>
      <c r="AF8" s="271">
        <f>AF7</f>
        <v/>
      </c>
      <c r="AM8" s="271">
        <f>AM7</f>
        <v/>
      </c>
      <c r="AT8" s="271">
        <f>AT7</f>
        <v/>
      </c>
      <c r="BA8" s="271">
        <f>BA7</f>
        <v/>
      </c>
      <c r="BH8" s="271">
        <f>BH7</f>
        <v/>
      </c>
      <c r="BO8" s="271">
        <f>BO7</f>
        <v/>
      </c>
      <c r="BV8" s="271">
        <f>BV7</f>
        <v/>
      </c>
      <c r="CC8" s="271">
        <f>CC7</f>
        <v/>
      </c>
      <c r="CJ8" s="271">
        <f>CJ7</f>
        <v/>
      </c>
      <c r="CQ8" s="271">
        <f>CQ7</f>
        <v/>
      </c>
      <c r="CX8" s="271">
        <f>CX7</f>
        <v/>
      </c>
      <c r="DE8" s="271">
        <f>DE7</f>
        <v/>
      </c>
      <c r="DL8" s="271">
        <f>DL7</f>
        <v/>
      </c>
      <c r="DS8" s="271">
        <f>DS7</f>
        <v/>
      </c>
      <c r="DZ8" s="271">
        <f>DZ7</f>
        <v/>
      </c>
      <c r="EG8" s="271">
        <f>EG7</f>
        <v/>
      </c>
      <c r="EN8" s="271">
        <f>EN7</f>
        <v/>
      </c>
      <c r="EU8" s="271">
        <f>EU7</f>
        <v/>
      </c>
      <c r="FB8" s="271">
        <f>FB7</f>
        <v/>
      </c>
      <c r="FI8" s="271">
        <f>FI7</f>
        <v/>
      </c>
      <c r="FP8" s="271">
        <f>FP7</f>
        <v/>
      </c>
      <c r="FW8" s="271">
        <f>FW7</f>
        <v/>
      </c>
      <c r="GD8" s="271">
        <f>GD7</f>
        <v/>
      </c>
      <c r="GK8" s="271">
        <f>GK7</f>
        <v/>
      </c>
      <c r="GR8" s="271">
        <f>GR7</f>
        <v/>
      </c>
      <c r="GY8" s="271">
        <f>GY7</f>
        <v/>
      </c>
      <c r="HF8" s="271">
        <f>HF7</f>
        <v/>
      </c>
      <c r="HM8" s="271">
        <f>HM7</f>
        <v/>
      </c>
      <c r="HT8" s="271">
        <f>HT7</f>
        <v/>
      </c>
      <c r="IA8" s="271">
        <f>IA7</f>
        <v/>
      </c>
      <c r="IH8" s="271">
        <f>IH7</f>
        <v/>
      </c>
      <c r="IO8" s="271">
        <f>IO7</f>
        <v/>
      </c>
      <c r="IV8" s="271">
        <f>IV7</f>
        <v/>
      </c>
      <c r="JC8" s="271">
        <f>JC7</f>
        <v/>
      </c>
      <c r="JJ8" s="271">
        <f>JJ7</f>
        <v/>
      </c>
      <c r="JQ8" s="271">
        <f>JQ7</f>
        <v/>
      </c>
      <c r="JX8" s="271">
        <f>JX7</f>
        <v/>
      </c>
      <c r="KE8" s="271">
        <f>KE7</f>
        <v/>
      </c>
      <c r="KL8" s="271">
        <f>KL7</f>
        <v/>
      </c>
      <c r="KS8" s="271">
        <f>KS7</f>
        <v/>
      </c>
      <c r="KZ8" s="271">
        <f>KZ7</f>
        <v/>
      </c>
      <c r="LG8" s="271">
        <f>LG7</f>
        <v/>
      </c>
      <c r="LN8" s="271">
        <f>LN7</f>
        <v/>
      </c>
      <c r="LU8" s="271">
        <f>LU7</f>
        <v/>
      </c>
      <c r="MB8" s="271">
        <f>MB7</f>
        <v/>
      </c>
      <c r="MI8" s="271">
        <f>MI7</f>
        <v/>
      </c>
      <c r="MP8" s="271">
        <f>MP7</f>
        <v/>
      </c>
      <c r="MW8" s="271">
        <f>MW7</f>
        <v/>
      </c>
      <c r="ND8" s="271">
        <f>ND7</f>
        <v/>
      </c>
      <c r="NK8" s="271">
        <f>NK7</f>
        <v/>
      </c>
    </row>
    <row r="9" hidden="1" ht="12.75" customHeight="1" s="99">
      <c r="R9" s="259">
        <f>R7</f>
        <v/>
      </c>
      <c r="Y9" s="259">
        <f>Y7</f>
        <v/>
      </c>
      <c r="AF9" s="259">
        <f>AF7</f>
        <v/>
      </c>
      <c r="AM9" s="259">
        <f>AM7</f>
        <v/>
      </c>
      <c r="AT9" s="259">
        <f>AT7</f>
        <v/>
      </c>
      <c r="BA9" s="259">
        <f>BA7</f>
        <v/>
      </c>
      <c r="BH9" s="259">
        <f>BH7</f>
        <v/>
      </c>
      <c r="BO9" s="259">
        <f>BO7</f>
        <v/>
      </c>
      <c r="BV9" s="259">
        <f>BV7</f>
        <v/>
      </c>
      <c r="CC9" s="259">
        <f>CC7</f>
        <v/>
      </c>
      <c r="CJ9" s="259">
        <f>CJ7</f>
        <v/>
      </c>
      <c r="CQ9" s="259">
        <f>CQ7</f>
        <v/>
      </c>
      <c r="CX9" s="259">
        <f>CX7</f>
        <v/>
      </c>
      <c r="DE9" s="259">
        <f>DE7</f>
        <v/>
      </c>
      <c r="DL9" s="259">
        <f>DL7</f>
        <v/>
      </c>
      <c r="DS9" s="259">
        <f>DS7</f>
        <v/>
      </c>
      <c r="DZ9" s="259">
        <f>DZ7</f>
        <v/>
      </c>
      <c r="EG9" s="259">
        <f>EG7</f>
        <v/>
      </c>
      <c r="EN9" s="259">
        <f>EN7</f>
        <v/>
      </c>
      <c r="EU9" s="259">
        <f>EU7</f>
        <v/>
      </c>
      <c r="FB9" s="259">
        <f>FB7</f>
        <v/>
      </c>
      <c r="FI9" s="259">
        <f>FI7</f>
        <v/>
      </c>
      <c r="FP9" s="259">
        <f>FP7</f>
        <v/>
      </c>
      <c r="FW9" s="259">
        <f>FW7</f>
        <v/>
      </c>
      <c r="GD9" s="259">
        <f>GD7</f>
        <v/>
      </c>
      <c r="GK9" s="259">
        <f>GK7</f>
        <v/>
      </c>
      <c r="GR9" s="259">
        <f>GR7</f>
        <v/>
      </c>
      <c r="GY9" s="259">
        <f>GY7</f>
        <v/>
      </c>
      <c r="HF9" s="259">
        <f>HF7</f>
        <v/>
      </c>
      <c r="HM9" s="259">
        <f>HM7</f>
        <v/>
      </c>
      <c r="HT9" s="259">
        <f>HT7</f>
        <v/>
      </c>
      <c r="IA9" s="259">
        <f>IA7</f>
        <v/>
      </c>
      <c r="IH9" s="259">
        <f>IH7</f>
        <v/>
      </c>
      <c r="IO9" s="259">
        <f>IO7</f>
        <v/>
      </c>
      <c r="IV9" s="259">
        <f>IV7</f>
        <v/>
      </c>
      <c r="JC9" s="259">
        <f>JC7</f>
        <v/>
      </c>
      <c r="JJ9" s="259">
        <f>JJ7</f>
        <v/>
      </c>
      <c r="JQ9" s="259">
        <f>JQ7</f>
        <v/>
      </c>
      <c r="JX9" s="259">
        <f>JX7</f>
        <v/>
      </c>
      <c r="KE9" s="259">
        <f>KE7</f>
        <v/>
      </c>
      <c r="KL9" s="259">
        <f>KL7</f>
        <v/>
      </c>
      <c r="KS9" s="259">
        <f>KS7</f>
        <v/>
      </c>
      <c r="KZ9" s="259">
        <f>KZ7</f>
        <v/>
      </c>
      <c r="LG9" s="259">
        <f>LG7</f>
        <v/>
      </c>
      <c r="LN9" s="259">
        <f>LN7</f>
        <v/>
      </c>
      <c r="LU9" s="259">
        <f>LU7</f>
        <v/>
      </c>
      <c r="MB9" s="259">
        <f>MB7</f>
        <v/>
      </c>
      <c r="MI9" s="259">
        <f>MI7</f>
        <v/>
      </c>
      <c r="MP9" s="259">
        <f>MP7</f>
        <v/>
      </c>
      <c r="MW9" s="259">
        <f>MW7</f>
        <v/>
      </c>
      <c r="ND9" s="259">
        <f>ND7</f>
        <v/>
      </c>
      <c r="NK9" s="259">
        <f>NK7</f>
        <v/>
      </c>
    </row>
    <row r="10" s="99">
      <c r="A10" s="225" t="n"/>
      <c r="B10" s="225" t="n"/>
      <c r="C10" s="225" t="n"/>
      <c r="D10" s="225" t="n"/>
      <c r="E10" s="225" t="n"/>
      <c r="F10" s="225" t="n"/>
      <c r="G10" s="225" t="n"/>
      <c r="H10" s="225" t="n"/>
      <c r="I10" s="225" t="n"/>
      <c r="J10" s="225" t="n"/>
      <c r="K10" s="225" t="n"/>
      <c r="L10" s="225" t="n"/>
      <c r="M10" s="225" t="n"/>
      <c r="N10" s="225" t="n"/>
      <c r="O10" s="225" t="n"/>
      <c r="P10" s="225" t="n"/>
      <c r="Q10" s="225" t="n"/>
      <c r="R10" s="237">
        <f>IF($N$1=1,INDEX({"Su";"M";"Tu";"W";"Th";"F";"Sa"},WEEKDAY(R7,1)),IF($N$1=2,$M$1+INT((COLUMN()-COLUMN($R$7))/7),""))</f>
        <v/>
      </c>
      <c r="S10" s="225" t="n"/>
      <c r="T10" s="225" t="n"/>
      <c r="U10" s="225" t="n"/>
      <c r="V10" s="225" t="n"/>
      <c r="W10" s="225" t="n"/>
      <c r="X10" s="225" t="n"/>
      <c r="Y10" s="237">
        <f>IF($N$1=1,INDEX({"Su";"M";"Tu";"W";"Th";"F";"Sa"},WEEKDAY(Y7,1)),IF($N$1=2,$M$1+INT((COLUMN()-COLUMN($R$7))/7),""))</f>
        <v/>
      </c>
      <c r="Z10" s="225" t="n"/>
      <c r="AA10" s="225" t="n"/>
      <c r="AB10" s="225" t="n"/>
      <c r="AC10" s="225" t="n"/>
      <c r="AD10" s="225" t="n"/>
      <c r="AE10" s="225" t="n"/>
      <c r="AF10" s="237">
        <f>IF($N$1=1,INDEX({"Su";"M";"Tu";"W";"Th";"F";"Sa"},WEEKDAY(AF7,1)),IF($N$1=2,$M$1+INT((COLUMN()-COLUMN($R$7))/7),""))</f>
        <v/>
      </c>
      <c r="AG10" s="225" t="n"/>
      <c r="AH10" s="225" t="n"/>
      <c r="AI10" s="225" t="n"/>
      <c r="AJ10" s="225" t="n"/>
      <c r="AK10" s="225" t="n"/>
      <c r="AL10" s="225" t="n"/>
      <c r="AM10" s="237">
        <f>IF($N$1=1,INDEX({"Su";"M";"Tu";"W";"Th";"F";"Sa"},WEEKDAY(AM7,1)),IF($N$1=2,$M$1+INT((COLUMN()-COLUMN($R$7))/7),""))</f>
        <v/>
      </c>
      <c r="AN10" s="225" t="n"/>
      <c r="AO10" s="225" t="n"/>
      <c r="AP10" s="225" t="n"/>
      <c r="AQ10" s="225" t="n"/>
      <c r="AR10" s="225" t="n"/>
      <c r="AS10" s="225" t="n"/>
      <c r="AT10" s="237">
        <f>IF($N$1=1,INDEX({"Su";"M";"Tu";"W";"Th";"F";"Sa"},WEEKDAY(AT7,1)),IF($N$1=2,$M$1+INT((COLUMN()-COLUMN($R$7))/7),""))</f>
        <v/>
      </c>
      <c r="AU10" s="225" t="n"/>
      <c r="AV10" s="225" t="n"/>
      <c r="AW10" s="225" t="n"/>
      <c r="AX10" s="225" t="n"/>
      <c r="AY10" s="225" t="n"/>
      <c r="AZ10" s="225" t="n"/>
      <c r="BA10" s="237">
        <f>IF($N$1=1,INDEX({"Su";"M";"Tu";"W";"Th";"F";"Sa"},WEEKDAY(BA7,1)),IF($N$1=2,$M$1+INT((COLUMN()-COLUMN($R$7))/7),""))</f>
        <v/>
      </c>
      <c r="BB10" s="225" t="n"/>
      <c r="BC10" s="225" t="n"/>
      <c r="BD10" s="225" t="n"/>
      <c r="BE10" s="225" t="n"/>
      <c r="BF10" s="225" t="n"/>
      <c r="BG10" s="225" t="n"/>
      <c r="BH10" s="237">
        <f>IF($N$1=1,INDEX({"Su";"M";"Tu";"W";"Th";"F";"Sa"},WEEKDAY(BH7,1)),IF($N$1=2,$M$1+INT((COLUMN()-COLUMN($R$7))/7),""))</f>
        <v/>
      </c>
      <c r="BI10" s="225" t="n"/>
      <c r="BJ10" s="225" t="n"/>
      <c r="BK10" s="225" t="n"/>
      <c r="BL10" s="225" t="n"/>
      <c r="BM10" s="225" t="n"/>
      <c r="BN10" s="225" t="n"/>
      <c r="BO10" s="237">
        <f>IF($N$1=1,INDEX({"Su";"M";"Tu";"W";"Th";"F";"Sa"},WEEKDAY(BO7,1)),IF($N$1=2,$M$1+INT((COLUMN()-COLUMN($R$7))/7),""))</f>
        <v/>
      </c>
      <c r="BP10" s="225" t="n"/>
      <c r="BQ10" s="225" t="n"/>
      <c r="BR10" s="225" t="n"/>
      <c r="BS10" s="225" t="n"/>
      <c r="BT10" s="225" t="n"/>
      <c r="BU10" s="225" t="n"/>
      <c r="BV10" s="237">
        <f>IF($N$1=1,INDEX({"Su";"M";"Tu";"W";"Th";"F";"Sa"},WEEKDAY(BV7,1)),IF($N$1=2,$M$1+INT((COLUMN()-COLUMN($R$7))/7),""))</f>
        <v/>
      </c>
      <c r="BW10" s="225" t="n"/>
      <c r="BX10" s="225" t="n"/>
      <c r="BY10" s="225" t="n"/>
      <c r="BZ10" s="225" t="n"/>
      <c r="CA10" s="225" t="n"/>
      <c r="CB10" s="225" t="n"/>
      <c r="CC10" s="237">
        <f>IF($N$1=1,INDEX({"Su";"M";"Tu";"W";"Th";"F";"Sa"},WEEKDAY(CC7,1)),IF($N$1=2,$M$1+INT((COLUMN()-COLUMN($R$7))/7),""))</f>
        <v/>
      </c>
      <c r="CD10" s="225" t="n"/>
      <c r="CE10" s="225" t="n"/>
      <c r="CF10" s="225" t="n"/>
      <c r="CG10" s="225" t="n"/>
      <c r="CH10" s="225" t="n"/>
      <c r="CI10" s="225" t="n"/>
      <c r="CJ10" s="237">
        <f>IF($N$1=1,INDEX({"Su";"M";"Tu";"W";"Th";"F";"Sa"},WEEKDAY(CJ7,1)),IF($N$1=2,$M$1+INT((COLUMN()-COLUMN($R$7))/7),""))</f>
        <v/>
      </c>
      <c r="CK10" s="225" t="n"/>
      <c r="CL10" s="225" t="n"/>
      <c r="CM10" s="225" t="n"/>
      <c r="CN10" s="225" t="n"/>
      <c r="CO10" s="225" t="n"/>
      <c r="CP10" s="225" t="n"/>
      <c r="CQ10" s="237">
        <f>IF($N$1=1,INDEX({"Su";"M";"Tu";"W";"Th";"F";"Sa"},WEEKDAY(CQ7,1)),IF($N$1=2,$M$1+INT((COLUMN()-COLUMN($R$7))/7),""))</f>
        <v/>
      </c>
      <c r="CR10" s="225" t="n"/>
      <c r="CS10" s="225" t="n"/>
      <c r="CT10" s="225" t="n"/>
      <c r="CU10" s="225" t="n"/>
      <c r="CV10" s="225" t="n"/>
      <c r="CW10" s="225" t="n"/>
      <c r="CX10" s="237">
        <f>IF($N$1=1,INDEX({"Su";"M";"Tu";"W";"Th";"F";"Sa"},WEEKDAY(CX7,1)),IF($N$1=2,$M$1+INT((COLUMN()-COLUMN($R$7))/7),""))</f>
        <v/>
      </c>
      <c r="CY10" s="225" t="n"/>
      <c r="CZ10" s="225" t="n"/>
      <c r="DA10" s="225" t="n"/>
      <c r="DB10" s="225" t="n"/>
      <c r="DC10" s="225" t="n"/>
      <c r="DD10" s="225" t="n"/>
      <c r="DE10" s="237">
        <f>IF($N$1=1,INDEX({"Su";"M";"Tu";"W";"Th";"F";"Sa"},WEEKDAY(DE7,1)),IF($N$1=2,$M$1+INT((COLUMN()-COLUMN($R$7))/7),""))</f>
        <v/>
      </c>
      <c r="DF10" s="225" t="n"/>
      <c r="DG10" s="225" t="n"/>
      <c r="DH10" s="225" t="n"/>
      <c r="DI10" s="225" t="n"/>
      <c r="DJ10" s="225" t="n"/>
      <c r="DK10" s="225" t="n"/>
      <c r="DL10" s="237">
        <f>IF($N$1=1,INDEX({"Su";"M";"Tu";"W";"Th";"F";"Sa"},WEEKDAY(DL7,1)),IF($N$1=2,$M$1+INT((COLUMN()-COLUMN($R$7))/7),""))</f>
        <v/>
      </c>
      <c r="DM10" s="225" t="n"/>
      <c r="DN10" s="225" t="n"/>
      <c r="DO10" s="225" t="n"/>
      <c r="DP10" s="225" t="n"/>
      <c r="DQ10" s="225" t="n"/>
      <c r="DR10" s="225" t="n"/>
      <c r="DS10" s="237">
        <f>IF($N$1=1,INDEX({"Su";"M";"Tu";"W";"Th";"F";"Sa"},WEEKDAY(DS7,1)),IF($N$1=2,$M$1+INT((COLUMN()-COLUMN($R$7))/7),""))</f>
        <v/>
      </c>
      <c r="DT10" s="225" t="n"/>
      <c r="DU10" s="225" t="n"/>
      <c r="DV10" s="225" t="n"/>
      <c r="DW10" s="225" t="n"/>
      <c r="DX10" s="225" t="n"/>
      <c r="DY10" s="225" t="n"/>
      <c r="DZ10" s="237">
        <f>IF($N$1=1,INDEX({"Su";"M";"Tu";"W";"Th";"F";"Sa"},WEEKDAY(DZ7,1)),IF($N$1=2,$M$1+INT((COLUMN()-COLUMN($R$7))/7),""))</f>
        <v/>
      </c>
      <c r="EA10" s="225" t="n"/>
      <c r="EB10" s="225" t="n"/>
      <c r="EC10" s="225" t="n"/>
      <c r="ED10" s="225" t="n"/>
      <c r="EE10" s="225" t="n"/>
      <c r="EF10" s="225" t="n"/>
      <c r="EG10" s="237">
        <f>IF($N$1=1,INDEX({"Su";"M";"Tu";"W";"Th";"F";"Sa"},WEEKDAY(EG7,1)),IF($N$1=2,$M$1+INT((COLUMN()-COLUMN($R$7))/7),""))</f>
        <v/>
      </c>
      <c r="EH10" s="225" t="n"/>
      <c r="EI10" s="225" t="n"/>
      <c r="EJ10" s="225" t="n"/>
      <c r="EK10" s="225" t="n"/>
      <c r="EL10" s="225" t="n"/>
      <c r="EM10" s="225" t="n"/>
      <c r="EN10" s="237">
        <f>IF($N$1=1,INDEX({"Su";"M";"Tu";"W";"Th";"F";"Sa"},WEEKDAY(EN7,1)),IF($N$1=2,$M$1+INT((COLUMN()-COLUMN($R$7))/7),""))</f>
        <v/>
      </c>
      <c r="EO10" s="225" t="n"/>
      <c r="EP10" s="225" t="n"/>
      <c r="EQ10" s="225" t="n"/>
      <c r="ER10" s="225" t="n"/>
      <c r="ES10" s="225" t="n"/>
      <c r="ET10" s="225" t="n"/>
      <c r="EU10" s="237">
        <f>IF($N$1=1,INDEX({"Su";"M";"Tu";"W";"Th";"F";"Sa"},WEEKDAY(EU7,1)),IF($N$1=2,$M$1+INT((COLUMN()-COLUMN($R$7))/7),""))</f>
        <v/>
      </c>
      <c r="EV10" s="225" t="n"/>
      <c r="EW10" s="225" t="n"/>
      <c r="EX10" s="225" t="n"/>
      <c r="EY10" s="225" t="n"/>
      <c r="EZ10" s="225" t="n"/>
      <c r="FA10" s="225" t="n"/>
      <c r="FB10" s="237">
        <f>IF($N$1=1,INDEX({"Su";"M";"Tu";"W";"Th";"F";"Sa"},WEEKDAY(FB7,1)),IF($N$1=2,$M$1+INT((COLUMN()-COLUMN($R$7))/7),""))</f>
        <v/>
      </c>
      <c r="FC10" s="225" t="n"/>
      <c r="FD10" s="225" t="n"/>
      <c r="FE10" s="225" t="n"/>
      <c r="FF10" s="225" t="n"/>
      <c r="FG10" s="225" t="n"/>
      <c r="FH10" s="225" t="n"/>
      <c r="FI10" s="237">
        <f>IF($N$1=1,INDEX({"Su";"M";"Tu";"W";"Th";"F";"Sa"},WEEKDAY(FI7,1)),IF($N$1=2,$M$1+INT((COLUMN()-COLUMN($R$7))/7),""))</f>
        <v/>
      </c>
      <c r="FJ10" s="225" t="n"/>
      <c r="FK10" s="225" t="n"/>
      <c r="FL10" s="225" t="n"/>
      <c r="FM10" s="225" t="n"/>
      <c r="FN10" s="225" t="n"/>
      <c r="FO10" s="225" t="n"/>
      <c r="FP10" s="237">
        <f>IF($N$1=1,INDEX({"Su";"M";"Tu";"W";"Th";"F";"Sa"},WEEKDAY(FP7,1)),IF($N$1=2,$M$1+INT((COLUMN()-COLUMN($R$7))/7),""))</f>
        <v/>
      </c>
      <c r="FQ10" s="225" t="n"/>
      <c r="FR10" s="225" t="n"/>
      <c r="FS10" s="225" t="n"/>
      <c r="FT10" s="225" t="n"/>
      <c r="FU10" s="225" t="n"/>
      <c r="FV10" s="225" t="n"/>
      <c r="FW10" s="237">
        <f>IF($N$1=1,INDEX({"Su";"M";"Tu";"W";"Th";"F";"Sa"},WEEKDAY(FW7,1)),IF($N$1=2,$M$1+INT((COLUMN()-COLUMN($R$7))/7),""))</f>
        <v/>
      </c>
      <c r="FX10" s="225" t="n"/>
      <c r="FY10" s="225" t="n"/>
      <c r="FZ10" s="225" t="n"/>
      <c r="GA10" s="225" t="n"/>
      <c r="GB10" s="225" t="n"/>
      <c r="GC10" s="225" t="n"/>
      <c r="GD10" s="237">
        <f>IF($N$1=1,INDEX({"Su";"M";"Tu";"W";"Th";"F";"Sa"},WEEKDAY(GD7,1)),IF($N$1=2,$M$1+INT((COLUMN()-COLUMN($R$7))/7),""))</f>
        <v/>
      </c>
      <c r="GE10" s="225" t="n"/>
      <c r="GF10" s="225" t="n"/>
      <c r="GG10" s="225" t="n"/>
      <c r="GH10" s="225" t="n"/>
      <c r="GI10" s="225" t="n"/>
      <c r="GJ10" s="225" t="n"/>
      <c r="GK10" s="237">
        <f>IF($N$1=1,INDEX({"Su";"M";"Tu";"W";"Th";"F";"Sa"},WEEKDAY(GK7,1)),IF($N$1=2,$M$1+INT((COLUMN()-COLUMN($R$7))/7),""))</f>
        <v/>
      </c>
      <c r="GL10" s="225" t="n"/>
      <c r="GM10" s="225" t="n"/>
      <c r="GN10" s="225" t="n"/>
      <c r="GO10" s="225" t="n"/>
      <c r="GP10" s="225" t="n"/>
      <c r="GQ10" s="225" t="n"/>
      <c r="GR10" s="237">
        <f>IF($N$1=1,INDEX({"Su";"M";"Tu";"W";"Th";"F";"Sa"},WEEKDAY(GR7,1)),IF($N$1=2,$M$1+INT((COLUMN()-COLUMN($R$7))/7),""))</f>
        <v/>
      </c>
      <c r="GS10" s="225" t="n"/>
      <c r="GT10" s="225" t="n"/>
      <c r="GU10" s="225" t="n"/>
      <c r="GV10" s="225" t="n"/>
      <c r="GW10" s="225" t="n"/>
      <c r="GX10" s="225" t="n"/>
      <c r="GY10" s="237">
        <f>IF($N$1=1,INDEX({"Su";"M";"Tu";"W";"Th";"F";"Sa"},WEEKDAY(GY7,1)),IF($N$1=2,$M$1+INT((COLUMN()-COLUMN($R$7))/7),""))</f>
        <v/>
      </c>
      <c r="GZ10" s="225" t="n"/>
      <c r="HA10" s="225" t="n"/>
      <c r="HB10" s="225" t="n"/>
      <c r="HC10" s="225" t="n"/>
      <c r="HD10" s="225" t="n"/>
      <c r="HE10" s="225" t="n"/>
      <c r="HF10" s="237">
        <f>IF($N$1=1,INDEX({"Su";"M";"Tu";"W";"Th";"F";"Sa"},WEEKDAY(HF7,1)),IF($N$1=2,$M$1+INT((COLUMN()-COLUMN($R$7))/7),""))</f>
        <v/>
      </c>
      <c r="HG10" s="225" t="n"/>
      <c r="HH10" s="225" t="n"/>
      <c r="HI10" s="225" t="n"/>
      <c r="HJ10" s="225" t="n"/>
      <c r="HK10" s="225" t="n"/>
      <c r="HL10" s="225" t="n"/>
      <c r="HM10" s="237">
        <f>IF($N$1=1,INDEX({"Su";"M";"Tu";"W";"Th";"F";"Sa"},WEEKDAY(HM7,1)),IF($N$1=2,$M$1+INT((COLUMN()-COLUMN($R$7))/7),""))</f>
        <v/>
      </c>
      <c r="HN10" s="225" t="n"/>
      <c r="HO10" s="225" t="n"/>
      <c r="HP10" s="225" t="n"/>
      <c r="HQ10" s="225" t="n"/>
      <c r="HR10" s="225" t="n"/>
      <c r="HS10" s="225" t="n"/>
      <c r="HT10" s="237">
        <f>IF($N$1=1,INDEX({"Su";"M";"Tu";"W";"Th";"F";"Sa"},WEEKDAY(HT7,1)),IF($N$1=2,$M$1+INT((COLUMN()-COLUMN($R$7))/7),""))</f>
        <v/>
      </c>
      <c r="HU10" s="225" t="n"/>
      <c r="HV10" s="225" t="n"/>
      <c r="HW10" s="225" t="n"/>
      <c r="HX10" s="225" t="n"/>
      <c r="HY10" s="225" t="n"/>
      <c r="HZ10" s="225" t="n"/>
      <c r="IA10" s="237">
        <f>IF($N$1=1,INDEX({"Su";"M";"Tu";"W";"Th";"F";"Sa"},WEEKDAY(IA7,1)),IF($N$1=2,$M$1+INT((COLUMN()-COLUMN($R$7))/7),""))</f>
        <v/>
      </c>
      <c r="IB10" s="225" t="n"/>
      <c r="IC10" s="225" t="n"/>
      <c r="ID10" s="225" t="n"/>
      <c r="IE10" s="225" t="n"/>
      <c r="IF10" s="225" t="n"/>
      <c r="IG10" s="225" t="n"/>
      <c r="IH10" s="237">
        <f>IF($N$1=1,INDEX({"Su";"M";"Tu";"W";"Th";"F";"Sa"},WEEKDAY(IH7,1)),IF($N$1=2,$M$1+INT((COLUMN()-COLUMN($R$7))/7),""))</f>
        <v/>
      </c>
      <c r="II10" s="225" t="n"/>
      <c r="IJ10" s="225" t="n"/>
      <c r="IK10" s="225" t="n"/>
      <c r="IL10" s="225" t="n"/>
      <c r="IM10" s="225" t="n"/>
      <c r="IN10" s="225" t="n"/>
      <c r="IO10" s="237">
        <f>IF($N$1=1,INDEX({"Su";"M";"Tu";"W";"Th";"F";"Sa"},WEEKDAY(IO7,1)),IF($N$1=2,$M$1+INT((COLUMN()-COLUMN($R$7))/7),""))</f>
        <v/>
      </c>
      <c r="IP10" s="225" t="n"/>
      <c r="IQ10" s="225" t="n"/>
      <c r="IR10" s="225" t="n"/>
      <c r="IS10" s="225" t="n"/>
      <c r="IT10" s="225" t="n"/>
      <c r="IU10" s="225" t="n"/>
      <c r="IV10" s="237">
        <f>IF($N$1=1,INDEX({"Su";"M";"Tu";"W";"Th";"F";"Sa"},WEEKDAY(IV7,1)),IF($N$1=2,$M$1+INT((COLUMN()-COLUMN($R$7))/7),""))</f>
        <v/>
      </c>
      <c r="IW10" s="225" t="n"/>
      <c r="IX10" s="225" t="n"/>
      <c r="IY10" s="225" t="n"/>
      <c r="IZ10" s="225" t="n"/>
      <c r="JA10" s="225" t="n"/>
      <c r="JB10" s="225" t="n"/>
      <c r="JC10" s="237">
        <f>IF($N$1=1,INDEX({"Su";"M";"Tu";"W";"Th";"F";"Sa"},WEEKDAY(JC7,1)),IF($N$1=2,$M$1+INT((COLUMN()-COLUMN($R$7))/7),""))</f>
        <v/>
      </c>
      <c r="JD10" s="225" t="n"/>
      <c r="JE10" s="225" t="n"/>
      <c r="JF10" s="225" t="n"/>
      <c r="JG10" s="225" t="n"/>
      <c r="JH10" s="225" t="n"/>
      <c r="JI10" s="225" t="n"/>
      <c r="JJ10" s="237">
        <f>IF($N$1=1,INDEX({"Su";"M";"Tu";"W";"Th";"F";"Sa"},WEEKDAY(JJ7,1)),IF($N$1=2,$M$1+INT((COLUMN()-COLUMN($R$7))/7),""))</f>
        <v/>
      </c>
      <c r="JK10" s="225" t="n"/>
      <c r="JL10" s="225" t="n"/>
      <c r="JM10" s="225" t="n"/>
      <c r="JN10" s="225" t="n"/>
      <c r="JO10" s="225" t="n"/>
      <c r="JP10" s="225" t="n"/>
      <c r="JQ10" s="237">
        <f>IF($N$1=1,INDEX({"Su";"M";"Tu";"W";"Th";"F";"Sa"},WEEKDAY(JQ7,1)),IF($N$1=2,$M$1+INT((COLUMN()-COLUMN($R$7))/7),""))</f>
        <v/>
      </c>
      <c r="JR10" s="225" t="n"/>
      <c r="JS10" s="225" t="n"/>
      <c r="JT10" s="225" t="n"/>
      <c r="JU10" s="225" t="n"/>
      <c r="JV10" s="225" t="n"/>
      <c r="JW10" s="225" t="n"/>
      <c r="JX10" s="237">
        <f>IF($N$1=1,INDEX({"Su";"M";"Tu";"W";"Th";"F";"Sa"},WEEKDAY(JX7,1)),IF($N$1=2,$M$1+INT((COLUMN()-COLUMN($R$7))/7),""))</f>
        <v/>
      </c>
      <c r="JY10" s="225" t="n"/>
      <c r="JZ10" s="225" t="n"/>
      <c r="KA10" s="225" t="n"/>
      <c r="KB10" s="225" t="n"/>
      <c r="KC10" s="225" t="n"/>
      <c r="KD10" s="225" t="n"/>
      <c r="KE10" s="237">
        <f>IF($N$1=1,INDEX({"Su";"M";"Tu";"W";"Th";"F";"Sa"},WEEKDAY(KE7,1)),IF($N$1=2,$M$1+INT((COLUMN()-COLUMN($R$7))/7),""))</f>
        <v/>
      </c>
      <c r="KF10" s="225" t="n"/>
      <c r="KG10" s="225" t="n"/>
      <c r="KH10" s="225" t="n"/>
      <c r="KI10" s="225" t="n"/>
      <c r="KJ10" s="225" t="n"/>
      <c r="KK10" s="225" t="n"/>
      <c r="KL10" s="237">
        <f>IF($N$1=1,INDEX({"Su";"M";"Tu";"W";"Th";"F";"Sa"},WEEKDAY(KL7,1)),IF($N$1=2,$M$1+INT((COLUMN()-COLUMN($R$7))/7),""))</f>
        <v/>
      </c>
      <c r="KM10" s="225" t="n"/>
      <c r="KN10" s="225" t="n"/>
      <c r="KO10" s="225" t="n"/>
      <c r="KP10" s="225" t="n"/>
      <c r="KQ10" s="225" t="n"/>
      <c r="KR10" s="225" t="n"/>
      <c r="KS10" s="237">
        <f>IF($N$1=1,INDEX({"Su";"M";"Tu";"W";"Th";"F";"Sa"},WEEKDAY(KS7,1)),IF($N$1=2,$M$1+INT((COLUMN()-COLUMN($R$7))/7),""))</f>
        <v/>
      </c>
      <c r="KT10" s="225" t="n"/>
      <c r="KU10" s="225" t="n"/>
      <c r="KV10" s="225" t="n"/>
      <c r="KW10" s="225" t="n"/>
      <c r="KX10" s="225" t="n"/>
      <c r="KY10" s="225" t="n"/>
      <c r="KZ10" s="237">
        <f>IF($N$1=1,INDEX({"Su";"M";"Tu";"W";"Th";"F";"Sa"},WEEKDAY(KZ7,1)),IF($N$1=2,$M$1+INT((COLUMN()-COLUMN($R$7))/7),""))</f>
        <v/>
      </c>
      <c r="LA10" s="225" t="n"/>
      <c r="LB10" s="225" t="n"/>
      <c r="LC10" s="225" t="n"/>
      <c r="LD10" s="225" t="n"/>
      <c r="LE10" s="225" t="n"/>
      <c r="LF10" s="225" t="n"/>
      <c r="LG10" s="237">
        <f>IF($N$1=1,INDEX({"Su";"M";"Tu";"W";"Th";"F";"Sa"},WEEKDAY(LG7,1)),IF($N$1=2,$M$1+INT((COLUMN()-COLUMN($R$7))/7),""))</f>
        <v/>
      </c>
      <c r="LH10" s="225" t="n"/>
      <c r="LI10" s="225" t="n"/>
      <c r="LJ10" s="225" t="n"/>
      <c r="LK10" s="225" t="n"/>
      <c r="LL10" s="225" t="n"/>
      <c r="LM10" s="225" t="n"/>
      <c r="LN10" s="237">
        <f>IF($N$1=1,INDEX({"Su";"M";"Tu";"W";"Th";"F";"Sa"},WEEKDAY(LN7,1)),IF($N$1=2,$M$1+INT((COLUMN()-COLUMN($R$7))/7),""))</f>
        <v/>
      </c>
      <c r="LO10" s="225" t="n"/>
      <c r="LP10" s="225" t="n"/>
      <c r="LQ10" s="225" t="n"/>
      <c r="LR10" s="225" t="n"/>
      <c r="LS10" s="225" t="n"/>
      <c r="LT10" s="225" t="n"/>
      <c r="LU10" s="237">
        <f>IF($N$1=1,INDEX({"Su";"M";"Tu";"W";"Th";"F";"Sa"},WEEKDAY(LU7,1)),IF($N$1=2,$M$1+INT((COLUMN()-COLUMN($R$7))/7),""))</f>
        <v/>
      </c>
      <c r="LV10" s="225" t="n"/>
      <c r="LW10" s="225" t="n"/>
      <c r="LX10" s="225" t="n"/>
      <c r="LY10" s="225" t="n"/>
      <c r="LZ10" s="225" t="n"/>
      <c r="MA10" s="225" t="n"/>
      <c r="MB10" s="237">
        <f>IF($N$1=1,INDEX({"Su";"M";"Tu";"W";"Th";"F";"Sa"},WEEKDAY(MB7,1)),IF($N$1=2,$M$1+INT((COLUMN()-COLUMN($R$7))/7),""))</f>
        <v/>
      </c>
      <c r="MC10" s="225" t="n"/>
      <c r="MD10" s="225" t="n"/>
      <c r="ME10" s="225" t="n"/>
      <c r="MF10" s="225" t="n"/>
      <c r="MG10" s="225" t="n"/>
      <c r="MH10" s="225" t="n"/>
      <c r="MI10" s="237">
        <f>IF($N$1=1,INDEX({"Su";"M";"Tu";"W";"Th";"F";"Sa"},WEEKDAY(MI7,1)),IF($N$1=2,$M$1+INT((COLUMN()-COLUMN($R$7))/7),""))</f>
        <v/>
      </c>
      <c r="MJ10" s="225" t="n"/>
      <c r="MK10" s="225" t="n"/>
      <c r="ML10" s="225" t="n"/>
      <c r="MM10" s="225" t="n"/>
      <c r="MN10" s="225" t="n"/>
      <c r="MO10" s="225" t="n"/>
      <c r="MP10" s="237">
        <f>IF($N$1=1,INDEX({"Su";"M";"Tu";"W";"Th";"F";"Sa"},WEEKDAY(MP7,1)),IF($N$1=2,$M$1+INT((COLUMN()-COLUMN($R$7))/7),""))</f>
        <v/>
      </c>
      <c r="MQ10" s="225" t="n"/>
      <c r="MR10" s="225" t="n"/>
      <c r="MS10" s="225" t="n"/>
      <c r="MT10" s="225" t="n"/>
      <c r="MU10" s="225" t="n"/>
      <c r="MV10" s="225" t="n"/>
      <c r="MW10" s="237">
        <f>IF($N$1=1,INDEX({"Su";"M";"Tu";"W";"Th";"F";"Sa"},WEEKDAY(MW7,1)),IF($N$1=2,$M$1+INT((COLUMN()-COLUMN($R$7))/7),""))</f>
        <v/>
      </c>
      <c r="MX10" s="225" t="n"/>
      <c r="MY10" s="225" t="n"/>
      <c r="MZ10" s="225" t="n"/>
      <c r="NA10" s="225" t="n"/>
      <c r="NB10" s="225" t="n"/>
      <c r="NC10" s="225" t="n"/>
      <c r="ND10" s="237">
        <f>IF($N$1=1,INDEX({"Su";"M";"Tu";"W";"Th";"F";"Sa"},WEEKDAY(ND7,1)),IF($N$1=2,$M$1+INT((COLUMN()-COLUMN($R$7))/7),""))</f>
        <v/>
      </c>
      <c r="NE10" s="225" t="n"/>
      <c r="NF10" s="225" t="n"/>
      <c r="NG10" s="225" t="n"/>
      <c r="NH10" s="225" t="n"/>
      <c r="NI10" s="225" t="n"/>
      <c r="NJ10" s="225" t="n"/>
      <c r="NK10" s="237">
        <f>IF($N$1=1,INDEX({"Su";"M";"Tu";"W";"Th";"F";"Sa"},WEEKDAY(NK7,1)),IF($N$1=2,$M$1+INT((COLUMN()-COLUMN($R$7))/7),""))</f>
        <v/>
      </c>
      <c r="NL10" s="225" t="n"/>
      <c r="NM10" s="225" t="n"/>
      <c r="NN10" s="225" t="n"/>
      <c r="NO10" s="225" t="n"/>
      <c r="NP10" s="225" t="n"/>
      <c r="NQ10" s="225" t="n"/>
    </row>
    <row r="11" hidden="1" customFormat="1" s="132">
      <c r="A11" s="125" t="n"/>
      <c r="B11" s="126" t="inlineStr">
        <is>
          <t>Project Duration</t>
        </is>
      </c>
      <c r="C11" s="127" t="n"/>
      <c r="D11" s="128" t="n"/>
      <c r="E11" s="128" t="n"/>
      <c r="F11" s="128" t="n"/>
      <c r="G11" s="261">
        <f>MIN(G12:G62)</f>
        <v/>
      </c>
      <c r="H11" s="261">
        <f>MAX(H12:H62)</f>
        <v/>
      </c>
      <c r="I11" s="272" t="n"/>
      <c r="J11" s="272" t="n"/>
      <c r="K11" s="105">
        <f>NETWORKDAYS(G11,H11)</f>
        <v/>
      </c>
      <c r="L11" s="130" t="n"/>
      <c r="M11" s="105">
        <f>IF(OR(G11=0,H11=0),0,H11-G11+1)</f>
        <v/>
      </c>
      <c r="N11" s="131">
        <f>MIN(M11,WORKDAY(G11,ROUNDDOWN(L11*K11,0),holidays)-G11)</f>
        <v/>
      </c>
      <c r="O11" s="105">
        <f>M11-N11</f>
        <v/>
      </c>
      <c r="P11" s="105" t="inlineStr">
        <is>
          <t>k</t>
        </is>
      </c>
      <c r="R11" s="133" t="n"/>
      <c r="S11" s="133" t="n"/>
      <c r="T11" s="133" t="n"/>
      <c r="U11" s="133" t="n"/>
      <c r="V11" s="133" t="n"/>
      <c r="W11" s="133" t="n"/>
      <c r="X11" s="133" t="n"/>
      <c r="Y11" s="133" t="n"/>
      <c r="Z11" s="133" t="n"/>
      <c r="AA11" s="133" t="n"/>
      <c r="AB11" s="133" t="n"/>
      <c r="AC11" s="133" t="n"/>
      <c r="AD11" s="133" t="n"/>
      <c r="AE11" s="133" t="n"/>
      <c r="AF11" s="133" t="n"/>
      <c r="AG11" s="133" t="n"/>
      <c r="AH11" s="133" t="n"/>
      <c r="AI11" s="133" t="n"/>
      <c r="AJ11" s="133" t="n"/>
      <c r="AK11" s="133" t="n"/>
      <c r="AL11" s="133" t="n"/>
      <c r="AM11" s="133" t="n"/>
      <c r="AN11" s="133" t="n"/>
      <c r="AO11" s="133" t="n"/>
      <c r="AP11" s="133" t="n"/>
      <c r="AQ11" s="133" t="n"/>
      <c r="AR11" s="133" t="n"/>
      <c r="AS11" s="133" t="n"/>
      <c r="AT11" s="133" t="n"/>
      <c r="AU11" s="133" t="n"/>
      <c r="AV11" s="133" t="n"/>
      <c r="AW11" s="133" t="n"/>
      <c r="AX11" s="133" t="n"/>
      <c r="AY11" s="133" t="n"/>
      <c r="AZ11" s="133" t="n"/>
      <c r="BA11" s="133" t="n"/>
      <c r="BB11" s="133" t="n"/>
      <c r="BC11" s="133" t="n"/>
      <c r="BD11" s="133" t="n"/>
      <c r="BE11" s="133" t="n"/>
      <c r="BF11" s="133" t="n"/>
      <c r="BG11" s="133" t="n"/>
      <c r="BH11" s="133" t="n"/>
      <c r="BI11" s="133" t="n"/>
      <c r="BJ11" s="133" t="n"/>
      <c r="BK11" s="133" t="n"/>
      <c r="BL11" s="133" t="n"/>
      <c r="BM11" s="133" t="n"/>
      <c r="BN11" s="133" t="n"/>
      <c r="BO11" s="133" t="n"/>
      <c r="BP11" s="133" t="n"/>
      <c r="BQ11" s="133" t="n"/>
      <c r="BR11" s="133" t="n"/>
      <c r="BS11" s="133" t="n"/>
      <c r="BT11" s="133" t="n"/>
      <c r="BU11" s="133" t="n"/>
      <c r="BV11" s="133" t="n"/>
      <c r="BW11" s="133" t="n"/>
      <c r="BX11" s="133" t="n"/>
      <c r="BY11" s="133" t="n"/>
      <c r="BZ11" s="133" t="n"/>
      <c r="CA11" s="133" t="n"/>
      <c r="CB11" s="133" t="n"/>
      <c r="CC11" s="133" t="n"/>
      <c r="CD11" s="133" t="n"/>
      <c r="CE11" s="133" t="n"/>
      <c r="CF11" s="133" t="n"/>
      <c r="CG11" s="133" t="n"/>
      <c r="CH11" s="133" t="n"/>
      <c r="CI11" s="133" t="n"/>
      <c r="CJ11" s="133" t="n"/>
      <c r="CK11" s="133" t="n"/>
      <c r="CL11" s="133" t="n"/>
      <c r="CM11" s="133" t="n"/>
      <c r="CN11" s="133" t="n"/>
      <c r="CO11" s="133" t="n"/>
      <c r="CP11" s="133" t="n"/>
      <c r="CQ11" s="133" t="n"/>
      <c r="CR11" s="133" t="n"/>
      <c r="CS11" s="133" t="n"/>
      <c r="CT11" s="133" t="n"/>
      <c r="CU11" s="133" t="n"/>
      <c r="CV11" s="133" t="n"/>
      <c r="CW11" s="133" t="n"/>
      <c r="CX11" s="133" t="n"/>
      <c r="CY11" s="133" t="n"/>
      <c r="CZ11" s="133" t="n"/>
      <c r="DA11" s="133" t="n"/>
      <c r="DB11" s="133" t="n"/>
      <c r="DC11" s="133" t="n"/>
      <c r="DD11" s="133" t="n"/>
      <c r="DE11" s="133" t="n"/>
      <c r="DF11" s="133" t="n"/>
      <c r="DG11" s="133" t="n"/>
      <c r="DH11" s="133" t="n"/>
      <c r="DI11" s="133" t="n"/>
      <c r="DJ11" s="133" t="n"/>
      <c r="DK11" s="133" t="n"/>
      <c r="DL11" s="133" t="n"/>
      <c r="DM11" s="133" t="n"/>
      <c r="DN11" s="133" t="n"/>
      <c r="DO11" s="133" t="n"/>
      <c r="DP11" s="133" t="n"/>
      <c r="DQ11" s="133" t="n"/>
      <c r="DR11" s="133" t="n"/>
      <c r="DS11" s="133" t="n"/>
      <c r="DT11" s="133" t="n"/>
      <c r="DU11" s="133" t="n"/>
      <c r="DV11" s="133" t="n"/>
      <c r="DW11" s="133" t="n"/>
      <c r="DX11" s="133" t="n"/>
      <c r="DY11" s="133" t="n"/>
      <c r="DZ11" s="133" t="n"/>
      <c r="EA11" s="133" t="n"/>
      <c r="EB11" s="133" t="n"/>
      <c r="EC11" s="133" t="n"/>
      <c r="ED11" s="133" t="n"/>
      <c r="EE11" s="133" t="n"/>
      <c r="EF11" s="133" t="n"/>
      <c r="EG11" s="133" t="n"/>
      <c r="EH11" s="133" t="n"/>
      <c r="EI11" s="133" t="n"/>
      <c r="EJ11" s="133" t="n"/>
      <c r="EK11" s="133" t="n"/>
      <c r="EL11" s="133" t="n"/>
      <c r="EM11" s="133" t="n"/>
      <c r="EN11" s="133" t="n"/>
      <c r="EO11" s="133" t="n"/>
      <c r="EP11" s="133" t="n"/>
      <c r="EQ11" s="133" t="n"/>
      <c r="ER11" s="133" t="n"/>
      <c r="ES11" s="133" t="n"/>
      <c r="ET11" s="133" t="n"/>
      <c r="EU11" s="133" t="n"/>
      <c r="EV11" s="133" t="n"/>
      <c r="EW11" s="133" t="n"/>
      <c r="EX11" s="133" t="n"/>
      <c r="EY11" s="133" t="n"/>
      <c r="EZ11" s="133" t="n"/>
      <c r="FA11" s="133" t="n"/>
      <c r="FB11" s="133" t="n"/>
      <c r="FC11" s="133" t="n"/>
      <c r="FD11" s="133" t="n"/>
      <c r="FE11" s="133" t="n"/>
      <c r="FF11" s="133" t="n"/>
      <c r="FG11" s="133" t="n"/>
      <c r="FH11" s="133" t="n"/>
      <c r="FI11" s="133" t="n"/>
      <c r="FJ11" s="133" t="n"/>
      <c r="FK11" s="133" t="n"/>
      <c r="FL11" s="133" t="n"/>
      <c r="FM11" s="133" t="n"/>
      <c r="FN11" s="133" t="n"/>
      <c r="FO11" s="133" t="n"/>
      <c r="FP11" s="133" t="n"/>
      <c r="FQ11" s="133" t="n"/>
      <c r="FR11" s="133" t="n"/>
      <c r="FS11" s="133" t="n"/>
      <c r="FT11" s="133" t="n"/>
      <c r="FU11" s="133" t="n"/>
      <c r="FV11" s="133" t="n"/>
      <c r="FW11" s="133" t="n"/>
      <c r="FX11" s="133" t="n"/>
      <c r="FY11" s="133" t="n"/>
      <c r="FZ11" s="133" t="n"/>
      <c r="GA11" s="133" t="n"/>
      <c r="GB11" s="133" t="n"/>
      <c r="GC11" s="133" t="n"/>
      <c r="GD11" s="133" t="n"/>
      <c r="GE11" s="133" t="n"/>
      <c r="GF11" s="133" t="n"/>
      <c r="GG11" s="133" t="n"/>
      <c r="GH11" s="133" t="n"/>
      <c r="GI11" s="133" t="n"/>
      <c r="GJ11" s="133" t="n"/>
      <c r="GK11" s="133" t="n"/>
      <c r="GL11" s="133" t="n"/>
      <c r="GM11" s="133" t="n"/>
      <c r="GN11" s="133" t="n"/>
      <c r="GO11" s="133" t="n"/>
      <c r="GP11" s="133" t="n"/>
      <c r="GQ11" s="133" t="n"/>
      <c r="GR11" s="133" t="n"/>
      <c r="GS11" s="133" t="n"/>
      <c r="GT11" s="133" t="n"/>
      <c r="GU11" s="133" t="n"/>
      <c r="GV11" s="133" t="n"/>
      <c r="GW11" s="133" t="n"/>
      <c r="GX11" s="133" t="n"/>
      <c r="GY11" s="133" t="n"/>
      <c r="GZ11" s="133" t="n"/>
      <c r="HA11" s="133" t="n"/>
      <c r="HB11" s="133" t="n"/>
      <c r="HC11" s="133" t="n"/>
      <c r="HD11" s="133" t="n"/>
      <c r="HE11" s="133" t="n"/>
      <c r="HF11" s="133" t="n"/>
      <c r="HG11" s="133" t="n"/>
      <c r="HH11" s="133" t="n"/>
      <c r="HI11" s="133" t="n"/>
      <c r="HJ11" s="133" t="n"/>
      <c r="HK11" s="133" t="n"/>
      <c r="HL11" s="133" t="n"/>
      <c r="HM11" s="133" t="n"/>
      <c r="HN11" s="133" t="n"/>
      <c r="HO11" s="133" t="n"/>
      <c r="HP11" s="133" t="n"/>
      <c r="HQ11" s="133" t="n"/>
      <c r="HR11" s="133" t="n"/>
      <c r="HS11" s="133" t="n"/>
      <c r="HT11" s="133" t="n"/>
      <c r="HU11" s="133" t="n"/>
      <c r="HV11" s="133" t="n"/>
      <c r="HW11" s="133" t="n"/>
      <c r="HX11" s="133" t="n"/>
      <c r="HY11" s="133" t="n"/>
      <c r="HZ11" s="133" t="n"/>
      <c r="IA11" s="133" t="n"/>
      <c r="IB11" s="133" t="n"/>
      <c r="IC11" s="133" t="n"/>
      <c r="ID11" s="133" t="n"/>
      <c r="IE11" s="133" t="n"/>
      <c r="IF11" s="133" t="n"/>
      <c r="IG11" s="133" t="n"/>
      <c r="IH11" s="133" t="n"/>
      <c r="II11" s="133" t="n"/>
      <c r="IJ11" s="133" t="n"/>
      <c r="IK11" s="133" t="n"/>
      <c r="IL11" s="133" t="n"/>
      <c r="IM11" s="133" t="n"/>
      <c r="IN11" s="133" t="n"/>
      <c r="IO11" s="133" t="n"/>
      <c r="IP11" s="133" t="n"/>
      <c r="IQ11" s="133" t="n"/>
      <c r="IR11" s="133" t="n"/>
      <c r="IS11" s="133" t="n"/>
      <c r="IT11" s="133" t="n"/>
      <c r="IU11" s="133" t="n"/>
      <c r="IV11" s="133" t="n"/>
      <c r="IW11" s="133" t="n"/>
      <c r="IX11" s="133" t="n"/>
      <c r="IY11" s="133" t="n"/>
      <c r="IZ11" s="133" t="n"/>
      <c r="JA11" s="133" t="n"/>
      <c r="JB11" s="133" t="n"/>
      <c r="JC11" s="133" t="n"/>
      <c r="JD11" s="133" t="n"/>
      <c r="JE11" s="133" t="n"/>
      <c r="JF11" s="133" t="n"/>
      <c r="JG11" s="133" t="n"/>
      <c r="JH11" s="133" t="n"/>
      <c r="JI11" s="133" t="n"/>
      <c r="JJ11" s="133" t="n"/>
      <c r="JK11" s="133" t="n"/>
      <c r="JL11" s="133" t="n"/>
      <c r="JM11" s="133" t="n"/>
      <c r="JN11" s="133" t="n"/>
      <c r="JO11" s="133" t="n"/>
      <c r="JP11" s="133" t="n"/>
      <c r="JQ11" s="133" t="n"/>
      <c r="JR11" s="133" t="n"/>
      <c r="JS11" s="133" t="n"/>
      <c r="JT11" s="133" t="n"/>
      <c r="JU11" s="133" t="n"/>
      <c r="JV11" s="133" t="n"/>
      <c r="JW11" s="133" t="n"/>
      <c r="JX11" s="133" t="n"/>
      <c r="JY11" s="133" t="n"/>
      <c r="JZ11" s="133" t="n"/>
      <c r="KA11" s="133" t="n"/>
      <c r="KB11" s="133" t="n"/>
      <c r="KC11" s="133" t="n"/>
      <c r="KD11" s="133" t="n"/>
      <c r="KE11" s="133" t="n"/>
      <c r="KF11" s="133" t="n"/>
      <c r="KG11" s="133" t="n"/>
      <c r="KH11" s="133" t="n"/>
      <c r="KI11" s="133" t="n"/>
      <c r="KJ11" s="133" t="n"/>
      <c r="KK11" s="133" t="n"/>
      <c r="KL11" s="133" t="n"/>
      <c r="KM11" s="133" t="n"/>
      <c r="KN11" s="133" t="n"/>
      <c r="KO11" s="133" t="n"/>
      <c r="KP11" s="133" t="n"/>
      <c r="KQ11" s="133" t="n"/>
      <c r="KR11" s="133" t="n"/>
      <c r="KS11" s="133" t="n"/>
      <c r="KT11" s="133" t="n"/>
      <c r="KU11" s="133" t="n"/>
      <c r="KV11" s="133" t="n"/>
      <c r="KW11" s="133" t="n"/>
      <c r="KX11" s="133" t="n"/>
      <c r="KY11" s="133" t="n"/>
      <c r="KZ11" s="133" t="n"/>
      <c r="LA11" s="133" t="n"/>
      <c r="LB11" s="133" t="n"/>
      <c r="LC11" s="133" t="n"/>
      <c r="LD11" s="133" t="n"/>
      <c r="LE11" s="133" t="n"/>
      <c r="LF11" s="133" t="n"/>
      <c r="LG11" s="133" t="n"/>
      <c r="LH11" s="133" t="n"/>
      <c r="LI11" s="133" t="n"/>
      <c r="LJ11" s="133" t="n"/>
      <c r="LK11" s="133" t="n"/>
      <c r="LL11" s="133" t="n"/>
      <c r="LM11" s="133" t="n"/>
      <c r="LN11" s="133" t="n"/>
      <c r="LO11" s="133" t="n"/>
      <c r="LP11" s="133" t="n"/>
      <c r="LQ11" s="133" t="n"/>
      <c r="LR11" s="133" t="n"/>
      <c r="LS11" s="133" t="n"/>
      <c r="LT11" s="133" t="n"/>
      <c r="LU11" s="133" t="n"/>
      <c r="LV11" s="133" t="n"/>
      <c r="LW11" s="133" t="n"/>
      <c r="LX11" s="133" t="n"/>
      <c r="LY11" s="133" t="n"/>
      <c r="LZ11" s="133" t="n"/>
      <c r="MA11" s="133" t="n"/>
      <c r="MB11" s="133" t="n"/>
      <c r="MC11" s="133" t="n"/>
      <c r="MD11" s="133" t="n"/>
      <c r="ME11" s="133" t="n"/>
      <c r="MF11" s="133" t="n"/>
      <c r="MG11" s="133" t="n"/>
      <c r="MH11" s="133" t="n"/>
      <c r="MI11" s="133" t="n"/>
      <c r="MJ11" s="133" t="n"/>
      <c r="MK11" s="133" t="n"/>
      <c r="ML11" s="133" t="n"/>
      <c r="MM11" s="133" t="n"/>
      <c r="MN11" s="133" t="n"/>
      <c r="MO11" s="133" t="n"/>
      <c r="MP11" s="133" t="n"/>
      <c r="MQ11" s="133" t="n"/>
      <c r="MR11" s="133" t="n"/>
      <c r="MS11" s="133" t="n"/>
      <c r="MT11" s="133" t="n"/>
      <c r="MU11" s="133" t="n"/>
      <c r="MV11" s="133" t="n"/>
      <c r="MW11" s="133" t="n"/>
      <c r="MX11" s="133" t="n"/>
      <c r="MY11" s="133" t="n"/>
      <c r="MZ11" s="133" t="n"/>
      <c r="NA11" s="133" t="n"/>
      <c r="NB11" s="133" t="n"/>
      <c r="NC11" s="133" t="n"/>
      <c r="ND11" s="133" t="n"/>
      <c r="NE11" s="133" t="n"/>
      <c r="NF11" s="133" t="n"/>
      <c r="NG11" s="133" t="n"/>
      <c r="NH11" s="133" t="n"/>
      <c r="NI11" s="133" t="n"/>
      <c r="NJ11" s="133" t="n"/>
      <c r="NK11" s="133" t="n"/>
      <c r="NL11" s="133" t="n"/>
      <c r="NM11" s="133" t="n"/>
      <c r="NN11" s="133" t="n"/>
      <c r="NO11" s="133" t="n"/>
      <c r="NP11" s="133" t="n"/>
      <c r="NQ11" s="133" t="n"/>
    </row>
    <row r="12" s="99"/>
    <row r="13" customFormat="1" s="76">
      <c r="A13" s="70">
        <f>IF(ISERROR(VALUE(SUBSTITUTE(OFFSET(A13,-1,0,1,1),".",""))),"1",IF(ISERROR(FIND("`",SUBSTITUTE(OFFSET(A13,-1,0,1,1),".","`",1))),TEXT(VALUE(OFFSET(A13,-1,0,1,1))+1,"#"),TEXT(VALUE(LEFT(OFFSET(A13,-1,0,1,1),FIND("`",SUBSTITUTE(OFFSET(A13,-1,0,1,1),".","`",1))-1))+1,"#")))</f>
        <v/>
      </c>
      <c r="B13" s="71" t="inlineStr">
        <is>
          <t>[ Task Category ]</t>
        </is>
      </c>
      <c r="C13" s="72" t="inlineStr">
        <is>
          <t>[ name ]</t>
        </is>
      </c>
      <c r="D13" s="73" t="n"/>
      <c r="E13" s="73" t="n"/>
      <c r="F13" s="73" t="n"/>
      <c r="G13" s="273">
        <f>MIN(G14:G24)</f>
        <v/>
      </c>
      <c r="H13" s="273">
        <f>MAX(H14:H24)</f>
        <v/>
      </c>
      <c r="I13" s="272" t="n">
        <v>41640</v>
      </c>
      <c r="J13" s="272" t="n">
        <v>41718</v>
      </c>
      <c r="K13" s="74">
        <f>NETWORKDAYS(G13,H13,holidays)</f>
        <v/>
      </c>
      <c r="L13" s="83">
        <f>SUMPRODUCT(K14:K24,L14:L24)/SUM(K14:K24)</f>
        <v/>
      </c>
      <c r="M13" s="74">
        <f>IF(OR(G13=0,H13=0),0,H13-G13+1)</f>
        <v/>
      </c>
      <c r="N13" s="75">
        <f>MIN(M13,WORKDAY(G13,ROUNDDOWN(L13*K13,0),holidays)-G13)</f>
        <v/>
      </c>
      <c r="O13" s="74">
        <f>M13-N13</f>
        <v/>
      </c>
      <c r="P13" s="113" t="n"/>
      <c r="Q13" s="17" t="n"/>
      <c r="R13" s="111" t="n"/>
      <c r="S13" s="111" t="n"/>
      <c r="T13" s="111" t="n"/>
      <c r="U13" s="111" t="n"/>
      <c r="V13" s="111" t="n"/>
      <c r="W13" s="111" t="n"/>
      <c r="X13" s="111" t="n"/>
      <c r="Y13" s="111" t="n"/>
      <c r="Z13" s="111" t="n"/>
      <c r="AA13" s="111" t="n"/>
      <c r="AB13" s="111" t="n"/>
      <c r="AC13" s="111" t="n"/>
      <c r="AD13" s="111" t="n"/>
      <c r="AE13" s="111" t="n"/>
      <c r="AF13" s="111" t="n"/>
      <c r="AG13" s="111" t="n"/>
      <c r="AH13" s="111" t="n"/>
      <c r="AI13" s="111" t="n"/>
      <c r="AJ13" s="111" t="n"/>
      <c r="AK13" s="111" t="n"/>
      <c r="AL13" s="111" t="n"/>
      <c r="AM13" s="111" t="n"/>
      <c r="AN13" s="111" t="n"/>
      <c r="AO13" s="111" t="n"/>
      <c r="AP13" s="111" t="n"/>
      <c r="AQ13" s="111" t="n"/>
      <c r="AR13" s="111" t="n"/>
      <c r="AS13" s="111" t="n"/>
      <c r="AT13" s="111" t="n"/>
      <c r="AU13" s="111" t="n"/>
      <c r="AV13" s="111" t="n"/>
      <c r="AW13" s="111" t="n"/>
      <c r="AX13" s="111" t="n"/>
      <c r="AY13" s="111" t="n"/>
      <c r="AZ13" s="111" t="n"/>
      <c r="BA13" s="111" t="n"/>
      <c r="BB13" s="111" t="n"/>
      <c r="BC13" s="111" t="n"/>
      <c r="BD13" s="111" t="n"/>
      <c r="BE13" s="111" t="n"/>
      <c r="BF13" s="111" t="n"/>
      <c r="BG13" s="111" t="n"/>
      <c r="BH13" s="111" t="n"/>
      <c r="BI13" s="111" t="n"/>
      <c r="BJ13" s="111" t="n"/>
      <c r="BK13" s="111" t="n"/>
      <c r="BL13" s="111" t="n"/>
      <c r="BM13" s="111" t="n"/>
      <c r="BN13" s="111" t="n"/>
      <c r="BO13" s="111" t="n"/>
      <c r="BP13" s="111" t="n"/>
      <c r="BQ13" s="111" t="n"/>
      <c r="BR13" s="111" t="n"/>
      <c r="BS13" s="111" t="n"/>
      <c r="BT13" s="111" t="n"/>
      <c r="BU13" s="111" t="n"/>
      <c r="BV13" s="111" t="n"/>
      <c r="BW13" s="111" t="n"/>
      <c r="BX13" s="111" t="n"/>
      <c r="BY13" s="111" t="n"/>
      <c r="BZ13" s="111" t="n"/>
      <c r="CA13" s="111" t="n"/>
      <c r="CB13" s="111" t="n"/>
      <c r="CC13" s="111" t="n"/>
      <c r="CD13" s="111" t="n"/>
      <c r="CE13" s="111" t="n"/>
      <c r="CF13" s="111" t="n"/>
      <c r="CG13" s="111" t="n"/>
      <c r="CH13" s="111" t="n"/>
      <c r="CI13" s="111" t="n"/>
      <c r="CJ13" s="111" t="n"/>
      <c r="CK13" s="111" t="n"/>
      <c r="CL13" s="111" t="n"/>
      <c r="CM13" s="111" t="n"/>
      <c r="CN13" s="111" t="n"/>
      <c r="CO13" s="111" t="n"/>
      <c r="CP13" s="111" t="n"/>
      <c r="CQ13" s="111" t="n"/>
      <c r="CR13" s="111" t="n"/>
      <c r="CS13" s="111" t="n"/>
      <c r="CT13" s="111" t="n"/>
      <c r="CU13" s="111" t="n"/>
      <c r="CV13" s="111" t="n"/>
      <c r="CW13" s="111" t="n"/>
      <c r="CX13" s="111" t="n"/>
      <c r="CY13" s="111" t="n"/>
      <c r="CZ13" s="111" t="n"/>
      <c r="DA13" s="111" t="n"/>
      <c r="DB13" s="111" t="n"/>
      <c r="DC13" s="111" t="n"/>
      <c r="DD13" s="111" t="n"/>
      <c r="DE13" s="111" t="n"/>
      <c r="DF13" s="111" t="n"/>
      <c r="DG13" s="111" t="n"/>
      <c r="DH13" s="111" t="n"/>
      <c r="DI13" s="111" t="n"/>
      <c r="DJ13" s="111" t="n"/>
      <c r="DK13" s="111" t="n"/>
      <c r="DL13" s="111" t="n"/>
      <c r="DM13" s="111" t="n"/>
      <c r="DN13" s="111" t="n"/>
      <c r="DO13" s="111" t="n"/>
      <c r="DP13" s="111" t="n"/>
      <c r="DQ13" s="111" t="n"/>
      <c r="DR13" s="111" t="n"/>
      <c r="DS13" s="111" t="n"/>
      <c r="DT13" s="111" t="n"/>
      <c r="DU13" s="111" t="n"/>
      <c r="DV13" s="111" t="n"/>
      <c r="DW13" s="111" t="n"/>
      <c r="DX13" s="111" t="n"/>
      <c r="DY13" s="111" t="n"/>
      <c r="DZ13" s="111" t="n"/>
      <c r="EA13" s="111" t="n"/>
      <c r="EB13" s="111" t="n"/>
      <c r="EC13" s="111" t="n"/>
      <c r="ED13" s="111" t="n"/>
      <c r="EE13" s="111" t="n"/>
      <c r="EF13" s="111" t="n"/>
      <c r="EG13" s="111" t="n"/>
      <c r="EH13" s="111" t="n"/>
      <c r="EI13" s="111" t="n"/>
      <c r="EJ13" s="111" t="n"/>
      <c r="EK13" s="111" t="n"/>
      <c r="EL13" s="111" t="n"/>
      <c r="EM13" s="111" t="n"/>
      <c r="EN13" s="111" t="n"/>
      <c r="EO13" s="111" t="n"/>
      <c r="EP13" s="111" t="n"/>
      <c r="EQ13" s="111" t="n"/>
      <c r="ER13" s="111" t="n"/>
      <c r="ES13" s="111" t="n"/>
      <c r="ET13" s="111" t="n"/>
      <c r="EU13" s="111" t="n"/>
      <c r="EV13" s="111" t="n"/>
      <c r="EW13" s="111" t="n"/>
      <c r="EX13" s="111" t="n"/>
      <c r="EY13" s="111" t="n"/>
      <c r="EZ13" s="111" t="n"/>
      <c r="FA13" s="111" t="n"/>
      <c r="FB13" s="111" t="n"/>
      <c r="FC13" s="111" t="n"/>
      <c r="FD13" s="111" t="n"/>
      <c r="FE13" s="111" t="n"/>
      <c r="FF13" s="111" t="n"/>
      <c r="FG13" s="111" t="n"/>
      <c r="FH13" s="111" t="n"/>
      <c r="FI13" s="111" t="n"/>
      <c r="FJ13" s="111" t="n"/>
      <c r="FK13" s="111" t="n"/>
      <c r="FL13" s="111" t="n"/>
      <c r="FM13" s="111" t="n"/>
      <c r="FN13" s="111" t="n"/>
      <c r="FO13" s="111" t="n"/>
      <c r="FP13" s="111" t="n"/>
      <c r="FQ13" s="111" t="n"/>
      <c r="FR13" s="111" t="n"/>
      <c r="FS13" s="111" t="n"/>
      <c r="FT13" s="111" t="n"/>
      <c r="FU13" s="111" t="n"/>
      <c r="FV13" s="111" t="n"/>
      <c r="FW13" s="111" t="n"/>
      <c r="FX13" s="111" t="n"/>
      <c r="FY13" s="111" t="n"/>
      <c r="FZ13" s="111" t="n"/>
      <c r="GA13" s="111" t="n"/>
      <c r="GB13" s="111" t="n"/>
      <c r="GC13" s="111" t="n"/>
      <c r="GD13" s="111" t="n"/>
      <c r="GE13" s="111" t="n"/>
      <c r="GF13" s="111" t="n"/>
      <c r="GG13" s="111" t="n"/>
      <c r="GH13" s="111" t="n"/>
      <c r="GI13" s="111" t="n"/>
      <c r="GJ13" s="111" t="n"/>
      <c r="GK13" s="111" t="n"/>
      <c r="GL13" s="111" t="n"/>
      <c r="GM13" s="111" t="n"/>
      <c r="GN13" s="111" t="n"/>
      <c r="GO13" s="111" t="n"/>
      <c r="GP13" s="111" t="n"/>
      <c r="GQ13" s="111" t="n"/>
      <c r="GR13" s="111" t="n"/>
      <c r="GS13" s="111" t="n"/>
      <c r="GT13" s="111" t="n"/>
      <c r="GU13" s="111" t="n"/>
      <c r="GV13" s="111" t="n"/>
      <c r="GW13" s="111" t="n"/>
      <c r="GX13" s="111" t="n"/>
      <c r="GY13" s="111" t="n"/>
      <c r="GZ13" s="111" t="n"/>
      <c r="HA13" s="111" t="n"/>
      <c r="HB13" s="111" t="n"/>
      <c r="HC13" s="111" t="n"/>
      <c r="HD13" s="111" t="n"/>
      <c r="HE13" s="111" t="n"/>
      <c r="HF13" s="111" t="n"/>
      <c r="HG13" s="111" t="n"/>
      <c r="HH13" s="111" t="n"/>
      <c r="HI13" s="111" t="n"/>
      <c r="HJ13" s="111" t="n"/>
      <c r="HK13" s="111" t="n"/>
      <c r="HL13" s="111" t="n"/>
      <c r="HM13" s="111" t="n"/>
      <c r="HN13" s="111" t="n"/>
      <c r="HO13" s="111" t="n"/>
      <c r="HP13" s="111" t="n"/>
      <c r="HQ13" s="111" t="n"/>
      <c r="HR13" s="111" t="n"/>
      <c r="HS13" s="111" t="n"/>
      <c r="HT13" s="111" t="n"/>
      <c r="HU13" s="111" t="n"/>
      <c r="HV13" s="111" t="n"/>
      <c r="HW13" s="111" t="n"/>
      <c r="HX13" s="111" t="n"/>
      <c r="HY13" s="111" t="n"/>
      <c r="HZ13" s="111" t="n"/>
      <c r="IA13" s="111" t="n"/>
      <c r="IB13" s="111" t="n"/>
      <c r="IC13" s="111" t="n"/>
      <c r="ID13" s="111" t="n"/>
      <c r="IE13" s="111" t="n"/>
      <c r="IF13" s="111" t="n"/>
      <c r="IG13" s="111" t="n"/>
      <c r="IH13" s="111" t="n"/>
      <c r="II13" s="111" t="n"/>
      <c r="IJ13" s="111" t="n"/>
      <c r="IK13" s="111" t="n"/>
      <c r="IL13" s="111" t="n"/>
      <c r="IM13" s="111" t="n"/>
      <c r="IN13" s="111" t="n"/>
      <c r="IO13" s="111" t="n"/>
      <c r="IP13" s="111" t="n"/>
      <c r="IQ13" s="111" t="n"/>
      <c r="IR13" s="111" t="n"/>
      <c r="IS13" s="111" t="n"/>
      <c r="IT13" s="111" t="n"/>
      <c r="IU13" s="111" t="n"/>
      <c r="IV13" s="111" t="n"/>
      <c r="IW13" s="111" t="n"/>
      <c r="IX13" s="111" t="n"/>
      <c r="IY13" s="111" t="n"/>
      <c r="IZ13" s="111" t="n"/>
      <c r="JA13" s="111" t="n"/>
      <c r="JB13" s="111" t="n"/>
      <c r="JC13" s="111" t="n"/>
      <c r="JD13" s="111" t="n"/>
      <c r="JE13" s="111" t="n"/>
      <c r="JF13" s="111" t="n"/>
      <c r="JG13" s="111" t="n"/>
      <c r="JH13" s="111" t="n"/>
      <c r="JI13" s="111" t="n"/>
      <c r="JJ13" s="111" t="n"/>
      <c r="JK13" s="111" t="n"/>
      <c r="JL13" s="111" t="n"/>
      <c r="JM13" s="111" t="n"/>
      <c r="JN13" s="111" t="n"/>
      <c r="JO13" s="111" t="n"/>
      <c r="JP13" s="111" t="n"/>
      <c r="JQ13" s="111" t="n"/>
      <c r="JR13" s="111" t="n"/>
      <c r="JS13" s="111" t="n"/>
      <c r="JT13" s="111" t="n"/>
      <c r="JU13" s="111" t="n"/>
      <c r="JV13" s="111" t="n"/>
      <c r="JW13" s="111" t="n"/>
      <c r="JX13" s="111" t="n"/>
      <c r="JY13" s="111" t="n"/>
      <c r="JZ13" s="111" t="n"/>
      <c r="KA13" s="111" t="n"/>
      <c r="KB13" s="111" t="n"/>
      <c r="KC13" s="111" t="n"/>
      <c r="KD13" s="111" t="n"/>
      <c r="KE13" s="111" t="n"/>
      <c r="KF13" s="111" t="n"/>
      <c r="KG13" s="111" t="n"/>
      <c r="KH13" s="111" t="n"/>
      <c r="KI13" s="111" t="n"/>
      <c r="KJ13" s="111" t="n"/>
      <c r="KK13" s="111" t="n"/>
      <c r="KL13" s="111" t="n"/>
      <c r="KM13" s="111" t="n"/>
      <c r="KN13" s="111" t="n"/>
      <c r="KO13" s="111" t="n"/>
      <c r="KP13" s="111" t="n"/>
      <c r="KQ13" s="111" t="n"/>
      <c r="KR13" s="111" t="n"/>
      <c r="KS13" s="111" t="n"/>
      <c r="KT13" s="111" t="n"/>
      <c r="KU13" s="111" t="n"/>
      <c r="KV13" s="111" t="n"/>
      <c r="KW13" s="111" t="n"/>
      <c r="KX13" s="111" t="n"/>
      <c r="KY13" s="111" t="n"/>
      <c r="KZ13" s="111" t="n"/>
      <c r="LA13" s="111" t="n"/>
      <c r="LB13" s="111" t="n"/>
      <c r="LC13" s="111" t="n"/>
      <c r="LD13" s="111" t="n"/>
      <c r="LE13" s="111" t="n"/>
      <c r="LF13" s="111" t="n"/>
      <c r="LG13" s="111" t="n"/>
      <c r="LH13" s="111" t="n"/>
      <c r="LI13" s="111" t="n"/>
      <c r="LJ13" s="111" t="n"/>
      <c r="LK13" s="111" t="n"/>
      <c r="LL13" s="111" t="n"/>
      <c r="LM13" s="111" t="n"/>
      <c r="LN13" s="111" t="n"/>
      <c r="LO13" s="111" t="n"/>
      <c r="LP13" s="111" t="n"/>
      <c r="LQ13" s="111" t="n"/>
      <c r="LR13" s="111" t="n"/>
      <c r="LS13" s="111" t="n"/>
      <c r="LT13" s="111" t="n"/>
      <c r="LU13" s="111" t="n"/>
      <c r="LV13" s="111" t="n"/>
      <c r="LW13" s="111" t="n"/>
      <c r="LX13" s="111" t="n"/>
      <c r="LY13" s="111" t="n"/>
      <c r="LZ13" s="111" t="n"/>
      <c r="MA13" s="111" t="n"/>
      <c r="MB13" s="111" t="n"/>
      <c r="MC13" s="111" t="n"/>
      <c r="MD13" s="111" t="n"/>
      <c r="ME13" s="111" t="n"/>
      <c r="MF13" s="111" t="n"/>
      <c r="MG13" s="111" t="n"/>
      <c r="MH13" s="111" t="n"/>
      <c r="MI13" s="111" t="n"/>
      <c r="MJ13" s="111" t="n"/>
      <c r="MK13" s="111" t="n"/>
      <c r="ML13" s="111" t="n"/>
      <c r="MM13" s="111" t="n"/>
      <c r="MN13" s="111" t="n"/>
      <c r="MO13" s="111" t="n"/>
      <c r="MP13" s="111" t="n"/>
      <c r="MQ13" s="111" t="n"/>
      <c r="MR13" s="111" t="n"/>
      <c r="MS13" s="111" t="n"/>
      <c r="MT13" s="111" t="n"/>
      <c r="MU13" s="111" t="n"/>
      <c r="MV13" s="111" t="n"/>
      <c r="MW13" s="111" t="n"/>
      <c r="MX13" s="111" t="n"/>
      <c r="MY13" s="111" t="n"/>
      <c r="MZ13" s="111" t="n"/>
      <c r="NA13" s="111" t="n"/>
      <c r="NB13" s="111" t="n"/>
      <c r="NC13" s="111" t="n"/>
      <c r="ND13" s="111" t="n"/>
      <c r="NE13" s="111" t="n"/>
      <c r="NF13" s="111" t="n"/>
      <c r="NG13" s="111" t="n"/>
      <c r="NH13" s="111" t="n"/>
      <c r="NI13" s="111" t="n"/>
      <c r="NJ13" s="111" t="n"/>
      <c r="NK13" s="111" t="n"/>
      <c r="NL13" s="111" t="n"/>
      <c r="NM13" s="111" t="n"/>
      <c r="NN13" s="111" t="n"/>
      <c r="NO13" s="111" t="n"/>
      <c r="NP13" s="111" t="n"/>
      <c r="NQ13" s="111" t="n"/>
    </row>
    <row r="14" customFormat="1" s="17">
      <c r="A14" s="33">
        <f>IF(ISERROR(VALUE(SUBSTITUTE(OFFSET(A14,-1,0,1,1),".",""))),"0.1",IF(ISERROR(FIND("`",SUBSTITUTE(OFFSET(A14,-1,0,1,1),".","`",1))),OFFSET(A14,-1,0,1,1)&amp;".1",LEFT(OFFSET(A14,-1,0,1,1),FIND("`",SUBSTITUTE(OFFSET(A14,-1,0,1,1),".","`",1)))&amp;IF(ISERROR(FIND("`",SUBSTITUTE(OFFSET(A14,-1,0,1,1),".","`",2))),VALUE(RIGHT(OFFSET(A14,-1,0,1,1),LEN(OFFSET(A14,-1,0,1,1))-FIND("`",SUBSTITUTE(OFFSET(A14,-1,0,1,1),".","`",1))))+1,VALUE(MID(OFFSET(A14,-1,0,1,1),FIND("`",SUBSTITUTE(OFFSET(A14,-1,0,1,1),".","`",1))+1,(FIND("`",SUBSTITUTE(OFFSET(A14,-1,0,1,1),".","`",2))-FIND("`",SUBSTITUTE(OFFSET(A14,-1,0,1,1),".","`",1))-1)))+1)))</f>
        <v/>
      </c>
      <c r="B14" s="10" t="inlineStr">
        <is>
          <t>[ Level 2 Task ]</t>
        </is>
      </c>
      <c r="C14" s="11" t="n"/>
      <c r="D14" s="37" t="n"/>
      <c r="E14" s="37" t="n"/>
      <c r="F14" s="37" t="n"/>
      <c r="G14" s="274" t="n">
        <v>41644</v>
      </c>
      <c r="H14" s="275">
        <f>IF(K14=0,G14,WORKDAY(IF(WEEKDAY(G14,1)=7,G14+2,IF(WEEKDAY(G14,1)=1,G14+1,G14)),K14-1,holidays))</f>
        <v/>
      </c>
      <c r="I14" s="272" t="n">
        <v>41640</v>
      </c>
      <c r="J14" s="272" t="n">
        <v>41640</v>
      </c>
      <c r="K14" s="79" t="n">
        <v>1</v>
      </c>
      <c r="L14" s="80" t="n">
        <v>0.25</v>
      </c>
      <c r="M14" s="14">
        <f>IF(OR(G14=0,H14=0),0,H14-G14+1)</f>
        <v/>
      </c>
      <c r="N14" s="15">
        <f>MIN(M14,WORKDAY(G14,ROUNDDOWN(L14*K14,0),holidays)-G14)</f>
        <v/>
      </c>
      <c r="O14" s="14">
        <f>M14-N14</f>
        <v/>
      </c>
      <c r="P14" s="113" t="n"/>
      <c r="Q14" s="17" t="n"/>
      <c r="R14" s="111" t="n"/>
      <c r="S14" s="111" t="n"/>
      <c r="T14" s="111" t="n"/>
      <c r="U14" s="111" t="n"/>
      <c r="V14" s="111" t="n"/>
      <c r="W14" s="111" t="n"/>
      <c r="X14" s="111" t="n"/>
      <c r="Y14" s="111" t="n"/>
      <c r="Z14" s="111" t="n"/>
      <c r="AA14" s="111" t="n"/>
      <c r="AB14" s="111" t="n"/>
      <c r="AC14" s="111" t="n"/>
      <c r="AD14" s="111" t="n"/>
      <c r="AE14" s="111" t="n"/>
      <c r="AF14" s="111" t="n"/>
      <c r="AG14" s="111" t="n"/>
      <c r="AH14" s="111" t="n"/>
      <c r="AI14" s="111" t="n"/>
      <c r="AJ14" s="111" t="n"/>
      <c r="AK14" s="111" t="n"/>
      <c r="AL14" s="111" t="n"/>
      <c r="AM14" s="111" t="n"/>
      <c r="AN14" s="111" t="n"/>
      <c r="AO14" s="111" t="n"/>
      <c r="AP14" s="111" t="n"/>
      <c r="AQ14" s="111" t="n"/>
      <c r="AR14" s="111" t="n"/>
      <c r="AS14" s="111" t="n"/>
      <c r="AT14" s="111" t="n"/>
      <c r="AU14" s="111" t="n"/>
      <c r="AV14" s="111" t="n"/>
      <c r="AW14" s="111" t="n"/>
      <c r="AX14" s="111" t="n"/>
      <c r="AY14" s="111" t="n"/>
      <c r="AZ14" s="111" t="n"/>
      <c r="BA14" s="111" t="n"/>
      <c r="BB14" s="111" t="n"/>
      <c r="BC14" s="111" t="n"/>
      <c r="BD14" s="111" t="n"/>
      <c r="BE14" s="111" t="n"/>
      <c r="BF14" s="111" t="n"/>
      <c r="BG14" s="111" t="n"/>
      <c r="BH14" s="111" t="n"/>
      <c r="BI14" s="111" t="n"/>
      <c r="BJ14" s="111" t="n"/>
      <c r="BK14" s="111" t="n"/>
      <c r="BL14" s="111" t="n"/>
      <c r="BM14" s="111" t="n"/>
      <c r="BN14" s="111" t="n"/>
      <c r="BO14" s="111" t="n"/>
      <c r="BP14" s="111" t="n"/>
      <c r="BQ14" s="111" t="n"/>
      <c r="BR14" s="111" t="n"/>
      <c r="BS14" s="111" t="n"/>
      <c r="BT14" s="111" t="n"/>
      <c r="BU14" s="111" t="n"/>
      <c r="BV14" s="111" t="n"/>
      <c r="BW14" s="111" t="n"/>
      <c r="BX14" s="111" t="n"/>
      <c r="BY14" s="111" t="n"/>
      <c r="BZ14" s="111" t="n"/>
      <c r="CA14" s="111" t="n"/>
      <c r="CB14" s="111" t="n"/>
      <c r="CC14" s="111" t="n"/>
      <c r="CD14" s="111" t="n"/>
      <c r="CE14" s="111" t="n"/>
      <c r="CF14" s="111" t="n"/>
      <c r="CG14" s="111" t="n"/>
      <c r="CH14" s="111" t="n"/>
      <c r="CI14" s="111" t="n"/>
      <c r="CJ14" s="111" t="n"/>
      <c r="CK14" s="111" t="n"/>
      <c r="CL14" s="111" t="n"/>
      <c r="CM14" s="111" t="n"/>
      <c r="CN14" s="111" t="n"/>
      <c r="CO14" s="111" t="n"/>
      <c r="CP14" s="111" t="n"/>
      <c r="CQ14" s="111" t="n"/>
      <c r="CR14" s="111" t="n"/>
      <c r="CS14" s="111" t="n"/>
      <c r="CT14" s="111" t="n"/>
      <c r="CU14" s="111" t="n"/>
      <c r="CV14" s="111" t="n"/>
      <c r="CW14" s="111" t="n"/>
      <c r="CX14" s="111" t="n"/>
      <c r="CY14" s="111" t="n"/>
      <c r="CZ14" s="111" t="n"/>
      <c r="DA14" s="111" t="n"/>
      <c r="DB14" s="111" t="n"/>
      <c r="DC14" s="111" t="n"/>
      <c r="DD14" s="111" t="n"/>
      <c r="DE14" s="111" t="n"/>
      <c r="DF14" s="111" t="n"/>
      <c r="DG14" s="111" t="n"/>
      <c r="DH14" s="111" t="n"/>
      <c r="DI14" s="111" t="n"/>
      <c r="DJ14" s="111" t="n"/>
      <c r="DK14" s="111" t="n"/>
      <c r="DL14" s="111" t="n"/>
      <c r="DM14" s="111" t="n"/>
      <c r="DN14" s="111" t="n"/>
      <c r="DO14" s="111" t="n"/>
      <c r="DP14" s="111" t="n"/>
      <c r="DQ14" s="111" t="n"/>
      <c r="DR14" s="111" t="n"/>
      <c r="DS14" s="111" t="n"/>
      <c r="DT14" s="111" t="n"/>
      <c r="DU14" s="111" t="n"/>
      <c r="DV14" s="111" t="n"/>
      <c r="DW14" s="111" t="n"/>
      <c r="DX14" s="111" t="n"/>
      <c r="DY14" s="111" t="n"/>
      <c r="DZ14" s="111" t="n"/>
      <c r="EA14" s="111" t="n"/>
      <c r="EB14" s="111" t="n"/>
      <c r="EC14" s="111" t="n"/>
      <c r="ED14" s="111" t="n"/>
      <c r="EE14" s="111" t="n"/>
      <c r="EF14" s="111" t="n"/>
      <c r="EG14" s="111" t="n"/>
      <c r="EH14" s="111" t="n"/>
      <c r="EI14" s="111" t="n"/>
      <c r="EJ14" s="111" t="n"/>
      <c r="EK14" s="111" t="n"/>
      <c r="EL14" s="111" t="n"/>
      <c r="EM14" s="111" t="n"/>
      <c r="EN14" s="111" t="n"/>
      <c r="EO14" s="111" t="n"/>
      <c r="EP14" s="111" t="n"/>
      <c r="EQ14" s="111" t="n"/>
      <c r="ER14" s="111" t="n"/>
      <c r="ES14" s="111" t="n"/>
      <c r="ET14" s="111" t="n"/>
      <c r="EU14" s="111" t="n"/>
      <c r="EV14" s="111" t="n"/>
      <c r="EW14" s="111" t="n"/>
      <c r="EX14" s="111" t="n"/>
      <c r="EY14" s="111" t="n"/>
      <c r="EZ14" s="111" t="n"/>
      <c r="FA14" s="111" t="n"/>
      <c r="FB14" s="111" t="n"/>
      <c r="FC14" s="111" t="n"/>
      <c r="FD14" s="111" t="n"/>
      <c r="FE14" s="111" t="n"/>
      <c r="FF14" s="111" t="n"/>
      <c r="FG14" s="111" t="n"/>
      <c r="FH14" s="111" t="n"/>
      <c r="FI14" s="111" t="n"/>
      <c r="FJ14" s="111" t="n"/>
      <c r="FK14" s="111" t="n"/>
      <c r="FL14" s="111" t="n"/>
      <c r="FM14" s="111" t="n"/>
      <c r="FN14" s="111" t="n"/>
      <c r="FO14" s="111" t="n"/>
      <c r="FP14" s="111" t="n"/>
      <c r="FQ14" s="111" t="n"/>
      <c r="FR14" s="111" t="n"/>
      <c r="FS14" s="111" t="n"/>
      <c r="FT14" s="111" t="n"/>
      <c r="FU14" s="111" t="n"/>
      <c r="FV14" s="111" t="n"/>
      <c r="FW14" s="111" t="n"/>
      <c r="FX14" s="111" t="n"/>
      <c r="FY14" s="111" t="n"/>
      <c r="FZ14" s="111" t="n"/>
      <c r="GA14" s="111" t="n"/>
      <c r="GB14" s="111" t="n"/>
      <c r="GC14" s="111" t="n"/>
      <c r="GD14" s="111" t="n"/>
      <c r="GE14" s="111" t="n"/>
      <c r="GF14" s="111" t="n"/>
      <c r="GG14" s="111" t="n"/>
      <c r="GH14" s="111" t="n"/>
      <c r="GI14" s="111" t="n"/>
      <c r="GJ14" s="111" t="n"/>
      <c r="GK14" s="111" t="n"/>
      <c r="GL14" s="111" t="n"/>
      <c r="GM14" s="111" t="n"/>
      <c r="GN14" s="111" t="n"/>
      <c r="GO14" s="111" t="n"/>
      <c r="GP14" s="111" t="n"/>
      <c r="GQ14" s="111" t="n"/>
      <c r="GR14" s="111" t="n"/>
      <c r="GS14" s="111" t="n"/>
      <c r="GT14" s="111" t="n"/>
      <c r="GU14" s="111" t="n"/>
      <c r="GV14" s="111" t="n"/>
      <c r="GW14" s="111" t="n"/>
      <c r="GX14" s="111" t="n"/>
      <c r="GY14" s="111" t="n"/>
      <c r="GZ14" s="111" t="n"/>
      <c r="HA14" s="111" t="n"/>
      <c r="HB14" s="111" t="n"/>
      <c r="HC14" s="111" t="n"/>
      <c r="HD14" s="111" t="n"/>
      <c r="HE14" s="111" t="n"/>
      <c r="HF14" s="111" t="n"/>
      <c r="HG14" s="111" t="n"/>
      <c r="HH14" s="111" t="n"/>
      <c r="HI14" s="111" t="n"/>
      <c r="HJ14" s="111" t="n"/>
      <c r="HK14" s="111" t="n"/>
      <c r="HL14" s="111" t="n"/>
      <c r="HM14" s="111" t="n"/>
      <c r="HN14" s="111" t="n"/>
      <c r="HO14" s="111" t="n"/>
      <c r="HP14" s="111" t="n"/>
      <c r="HQ14" s="111" t="n"/>
      <c r="HR14" s="111" t="n"/>
      <c r="HS14" s="111" t="n"/>
      <c r="HT14" s="111" t="n"/>
      <c r="HU14" s="111" t="n"/>
      <c r="HV14" s="111" t="n"/>
      <c r="HW14" s="111" t="n"/>
      <c r="HX14" s="111" t="n"/>
      <c r="HY14" s="111" t="n"/>
      <c r="HZ14" s="111" t="n"/>
      <c r="IA14" s="111" t="n"/>
      <c r="IB14" s="111" t="n"/>
      <c r="IC14" s="111" t="n"/>
      <c r="ID14" s="111" t="n"/>
      <c r="IE14" s="111" t="n"/>
      <c r="IF14" s="111" t="n"/>
      <c r="IG14" s="111" t="n"/>
      <c r="IH14" s="111" t="n"/>
      <c r="II14" s="111" t="n"/>
      <c r="IJ14" s="111" t="n"/>
      <c r="IK14" s="111" t="n"/>
      <c r="IL14" s="111" t="n"/>
      <c r="IM14" s="111" t="n"/>
      <c r="IN14" s="111" t="n"/>
      <c r="IO14" s="111" t="n"/>
      <c r="IP14" s="111" t="n"/>
      <c r="IQ14" s="111" t="n"/>
      <c r="IR14" s="111" t="n"/>
      <c r="IS14" s="111" t="n"/>
      <c r="IT14" s="111" t="n"/>
      <c r="IU14" s="111" t="n"/>
      <c r="IV14" s="111" t="n"/>
      <c r="IW14" s="111" t="n"/>
      <c r="IX14" s="111" t="n"/>
      <c r="IY14" s="111" t="n"/>
      <c r="IZ14" s="111" t="n"/>
      <c r="JA14" s="111" t="n"/>
      <c r="JB14" s="111" t="n"/>
      <c r="JC14" s="111" t="n"/>
      <c r="JD14" s="111" t="n"/>
      <c r="JE14" s="111" t="n"/>
      <c r="JF14" s="111" t="n"/>
      <c r="JG14" s="111" t="n"/>
      <c r="JH14" s="111" t="n"/>
      <c r="JI14" s="111" t="n"/>
      <c r="JJ14" s="111" t="n"/>
      <c r="JK14" s="111" t="n"/>
      <c r="JL14" s="111" t="n"/>
      <c r="JM14" s="111" t="n"/>
      <c r="JN14" s="111" t="n"/>
      <c r="JO14" s="111" t="n"/>
      <c r="JP14" s="111" t="n"/>
      <c r="JQ14" s="111" t="n"/>
      <c r="JR14" s="111" t="n"/>
      <c r="JS14" s="111" t="n"/>
      <c r="JT14" s="111" t="n"/>
      <c r="JU14" s="111" t="n"/>
      <c r="JV14" s="111" t="n"/>
      <c r="JW14" s="111" t="n"/>
      <c r="JX14" s="111" t="n"/>
      <c r="JY14" s="111" t="n"/>
      <c r="JZ14" s="111" t="n"/>
      <c r="KA14" s="111" t="n"/>
      <c r="KB14" s="111" t="n"/>
      <c r="KC14" s="111" t="n"/>
      <c r="KD14" s="111" t="n"/>
      <c r="KE14" s="111" t="n"/>
      <c r="KF14" s="111" t="n"/>
      <c r="KG14" s="111" t="n"/>
      <c r="KH14" s="111" t="n"/>
      <c r="KI14" s="111" t="n"/>
      <c r="KJ14" s="111" t="n"/>
      <c r="KK14" s="111" t="n"/>
      <c r="KL14" s="111" t="n"/>
      <c r="KM14" s="111" t="n"/>
      <c r="KN14" s="111" t="n"/>
      <c r="KO14" s="111" t="n"/>
      <c r="KP14" s="111" t="n"/>
      <c r="KQ14" s="111" t="n"/>
      <c r="KR14" s="111" t="n"/>
      <c r="KS14" s="111" t="n"/>
      <c r="KT14" s="111" t="n"/>
      <c r="KU14" s="111" t="n"/>
      <c r="KV14" s="111" t="n"/>
      <c r="KW14" s="111" t="n"/>
      <c r="KX14" s="111" t="n"/>
      <c r="KY14" s="111" t="n"/>
      <c r="KZ14" s="111" t="n"/>
      <c r="LA14" s="111" t="n"/>
      <c r="LB14" s="111" t="n"/>
      <c r="LC14" s="111" t="n"/>
      <c r="LD14" s="111" t="n"/>
      <c r="LE14" s="111" t="n"/>
      <c r="LF14" s="111" t="n"/>
      <c r="LG14" s="111" t="n"/>
      <c r="LH14" s="111" t="n"/>
      <c r="LI14" s="111" t="n"/>
      <c r="LJ14" s="111" t="n"/>
      <c r="LK14" s="111" t="n"/>
      <c r="LL14" s="111" t="n"/>
      <c r="LM14" s="111" t="n"/>
      <c r="LN14" s="111" t="n"/>
      <c r="LO14" s="111" t="n"/>
      <c r="LP14" s="111" t="n"/>
      <c r="LQ14" s="111" t="n"/>
      <c r="LR14" s="111" t="n"/>
      <c r="LS14" s="111" t="n"/>
      <c r="LT14" s="111" t="n"/>
      <c r="LU14" s="111" t="n"/>
      <c r="LV14" s="111" t="n"/>
      <c r="LW14" s="111" t="n"/>
      <c r="LX14" s="111" t="n"/>
      <c r="LY14" s="111" t="n"/>
      <c r="LZ14" s="111" t="n"/>
      <c r="MA14" s="111" t="n"/>
      <c r="MB14" s="111" t="n"/>
      <c r="MC14" s="111" t="n"/>
      <c r="MD14" s="111" t="n"/>
      <c r="ME14" s="111" t="n"/>
      <c r="MF14" s="111" t="n"/>
      <c r="MG14" s="111" t="n"/>
      <c r="MH14" s="111" t="n"/>
      <c r="MI14" s="111" t="n"/>
      <c r="MJ14" s="111" t="n"/>
      <c r="MK14" s="111" t="n"/>
      <c r="ML14" s="111" t="n"/>
      <c r="MM14" s="111" t="n"/>
      <c r="MN14" s="111" t="n"/>
      <c r="MO14" s="111" t="n"/>
      <c r="MP14" s="111" t="n"/>
      <c r="MQ14" s="111" t="n"/>
      <c r="MR14" s="111" t="n"/>
      <c r="MS14" s="111" t="n"/>
      <c r="MT14" s="111" t="n"/>
      <c r="MU14" s="111" t="n"/>
      <c r="MV14" s="111" t="n"/>
      <c r="MW14" s="111" t="n"/>
      <c r="MX14" s="111" t="n"/>
      <c r="MY14" s="111" t="n"/>
      <c r="MZ14" s="111" t="n"/>
      <c r="NA14" s="111" t="n"/>
      <c r="NB14" s="111" t="n"/>
      <c r="NC14" s="111" t="n"/>
      <c r="ND14" s="111" t="n"/>
      <c r="NE14" s="111" t="n"/>
      <c r="NF14" s="111" t="n"/>
      <c r="NG14" s="111" t="n"/>
      <c r="NH14" s="111" t="n"/>
      <c r="NI14" s="111" t="n"/>
      <c r="NJ14" s="111" t="n"/>
      <c r="NK14" s="111" t="n"/>
      <c r="NL14" s="111" t="n"/>
      <c r="NM14" s="111" t="n"/>
      <c r="NN14" s="111" t="n"/>
      <c r="NO14" s="111" t="n"/>
      <c r="NP14" s="111" t="n"/>
      <c r="NQ14" s="111" t="n"/>
    </row>
    <row r="15" customFormat="1" s="17">
      <c r="A15" s="33">
        <f>IF(ISERROR(VALUE(SUBSTITUTE(OFFSET(A15,-1,0,1,1),".",""))),"0.1",IF(ISERROR(FIND("`",SUBSTITUTE(OFFSET(A15,-1,0,1,1),".","`",1))),OFFSET(A15,-1,0,1,1)&amp;".1",LEFT(OFFSET(A15,-1,0,1,1),FIND("`",SUBSTITUTE(OFFSET(A15,-1,0,1,1),".","`",1)))&amp;IF(ISERROR(FIND("`",SUBSTITUTE(OFFSET(A15,-1,0,1,1),".","`",2))),VALUE(RIGHT(OFFSET(A15,-1,0,1,1),LEN(OFFSET(A15,-1,0,1,1))-FIND("`",SUBSTITUTE(OFFSET(A15,-1,0,1,1),".","`",1))))+1,VALUE(MID(OFFSET(A15,-1,0,1,1),FIND("`",SUBSTITUTE(OFFSET(A15,-1,0,1,1),".","`",1))+1,(FIND("`",SUBSTITUTE(OFFSET(A15,-1,0,1,1),".","`",2))-FIND("`",SUBSTITUTE(OFFSET(A15,-1,0,1,1),".","`",1))-1)))+1)))</f>
        <v/>
      </c>
      <c r="B15" s="10" t="inlineStr">
        <is>
          <t>[ Level 2 Task ]</t>
        </is>
      </c>
      <c r="C15" s="11" t="n"/>
      <c r="D15" s="37" t="n"/>
      <c r="E15" s="37" t="n"/>
      <c r="F15" s="37" t="n"/>
      <c r="G15" s="274">
        <f>H14+1</f>
        <v/>
      </c>
      <c r="H15" s="275">
        <f>IF(K15=0,G15,WORKDAY(IF(WEEKDAY(G15,1)=7,G15+2,IF(WEEKDAY(G15,1)=1,G15+1,G15)),K15-1,holidays))</f>
        <v/>
      </c>
      <c r="I15" s="272" t="n">
        <v>41641</v>
      </c>
      <c r="J15" s="272" t="n">
        <v>41642</v>
      </c>
      <c r="K15" s="79" t="n">
        <v>2</v>
      </c>
      <c r="L15" s="80" t="n">
        <v>0.25</v>
      </c>
      <c r="M15" s="14">
        <f>IF(OR(G15=0,H15=0),0,H15-G15+1)</f>
        <v/>
      </c>
      <c r="N15" s="15">
        <f>MIN(M15,WORKDAY(G15,ROUNDDOWN(L15*K15,0),holidays)-G15)</f>
        <v/>
      </c>
      <c r="O15" s="14">
        <f>M15-N15</f>
        <v/>
      </c>
      <c r="P15" s="113" t="n"/>
      <c r="Q15" s="17"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1" t="n"/>
      <c r="AY15" s="111" t="n"/>
      <c r="AZ15" s="111" t="n"/>
      <c r="BA15" s="111" t="n"/>
      <c r="BB15" s="111" t="n"/>
      <c r="BC15" s="111" t="n"/>
      <c r="BD15" s="111" t="n"/>
      <c r="BE15" s="111" t="n"/>
      <c r="BF15" s="111" t="n"/>
      <c r="BG15" s="111" t="n"/>
      <c r="BH15" s="111" t="n"/>
      <c r="BI15" s="111" t="n"/>
      <c r="BJ15" s="111" t="n"/>
      <c r="BK15" s="111" t="n"/>
      <c r="BL15" s="111" t="n"/>
      <c r="BM15" s="111" t="n"/>
      <c r="BN15" s="111" t="n"/>
      <c r="BO15" s="111" t="n"/>
      <c r="BP15" s="111" t="n"/>
      <c r="BQ15" s="111" t="n"/>
      <c r="BR15" s="111" t="n"/>
      <c r="BS15" s="111" t="n"/>
      <c r="BT15" s="111" t="n"/>
      <c r="BU15" s="111" t="n"/>
      <c r="BV15" s="111" t="n"/>
      <c r="BW15" s="111" t="n"/>
      <c r="BX15" s="111" t="n"/>
      <c r="BY15" s="111" t="n"/>
      <c r="BZ15" s="111" t="n"/>
      <c r="CA15" s="111" t="n"/>
      <c r="CB15" s="111" t="n"/>
      <c r="CC15" s="111" t="n"/>
      <c r="CD15" s="111" t="n"/>
      <c r="CE15" s="111" t="n"/>
      <c r="CF15" s="111"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1" t="n"/>
      <c r="DS15" s="111" t="n"/>
      <c r="DT15" s="111" t="n"/>
      <c r="DU15" s="111" t="n"/>
      <c r="DV15" s="111" t="n"/>
      <c r="DW15" s="111" t="n"/>
      <c r="DX15" s="111" t="n"/>
      <c r="DY15" s="111" t="n"/>
      <c r="DZ15" s="111" t="n"/>
      <c r="EA15" s="111" t="n"/>
      <c r="EB15" s="111" t="n"/>
      <c r="EC15" s="111" t="n"/>
      <c r="ED15" s="111" t="n"/>
      <c r="EE15" s="111" t="n"/>
      <c r="EF15" s="111" t="n"/>
      <c r="EG15" s="111" t="n"/>
      <c r="EH15" s="111" t="n"/>
      <c r="EI15" s="111" t="n"/>
      <c r="EJ15" s="111" t="n"/>
      <c r="EK15" s="111" t="n"/>
      <c r="EL15" s="111" t="n"/>
      <c r="EM15" s="111" t="n"/>
      <c r="EN15" s="111" t="n"/>
      <c r="EO15" s="111" t="n"/>
      <c r="EP15" s="111" t="n"/>
      <c r="EQ15" s="111" t="n"/>
      <c r="ER15" s="111" t="n"/>
      <c r="ES15" s="111" t="n"/>
      <c r="ET15" s="111" t="n"/>
      <c r="EU15" s="111" t="n"/>
      <c r="EV15" s="111" t="n"/>
      <c r="EW15" s="111" t="n"/>
      <c r="EX15" s="111" t="n"/>
      <c r="EY15" s="111" t="n"/>
      <c r="EZ15" s="111" t="n"/>
      <c r="FA15" s="111" t="n"/>
      <c r="FB15" s="111"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1" t="n"/>
      <c r="GH15" s="111" t="n"/>
      <c r="GI15" s="111" t="n"/>
      <c r="GJ15" s="111" t="n"/>
      <c r="GK15" s="111" t="n"/>
      <c r="GL15" s="111" t="n"/>
      <c r="GM15" s="111" t="n"/>
      <c r="GN15" s="111" t="n"/>
      <c r="GO15" s="111" t="n"/>
      <c r="GP15" s="111" t="n"/>
      <c r="GQ15" s="111" t="n"/>
      <c r="GR15" s="111" t="n"/>
      <c r="GS15" s="111" t="n"/>
      <c r="GT15" s="111" t="n"/>
      <c r="GU15" s="111" t="n"/>
      <c r="GV15" s="111" t="n"/>
      <c r="GW15" s="111" t="n"/>
      <c r="GX15" s="111" t="n"/>
      <c r="GY15" s="111" t="n"/>
      <c r="GZ15" s="111" t="n"/>
      <c r="HA15" s="111" t="n"/>
      <c r="HB15" s="111" t="n"/>
      <c r="HC15" s="111" t="n"/>
      <c r="HD15" s="111" t="n"/>
      <c r="HE15" s="111" t="n"/>
      <c r="HF15" s="111" t="n"/>
      <c r="HG15" s="111" t="n"/>
      <c r="HH15" s="111" t="n"/>
      <c r="HI15" s="111" t="n"/>
      <c r="HJ15" s="111" t="n"/>
      <c r="HK15" s="111" t="n"/>
      <c r="HL15" s="111" t="n"/>
      <c r="HM15" s="111" t="n"/>
      <c r="HN15" s="111" t="n"/>
      <c r="HO15" s="111" t="n"/>
      <c r="HP15" s="111" t="n"/>
      <c r="HQ15" s="111" t="n"/>
      <c r="HR15" s="111" t="n"/>
      <c r="HS15" s="111" t="n"/>
      <c r="HT15" s="111" t="n"/>
      <c r="HU15" s="111" t="n"/>
      <c r="HV15" s="111" t="n"/>
      <c r="HW15" s="111" t="n"/>
      <c r="HX15" s="111" t="n"/>
      <c r="HY15" s="111" t="n"/>
      <c r="HZ15" s="111" t="n"/>
      <c r="IA15" s="111" t="n"/>
      <c r="IB15" s="111" t="n"/>
      <c r="IC15" s="111" t="n"/>
      <c r="ID15" s="111" t="n"/>
      <c r="IE15" s="111" t="n"/>
      <c r="IF15" s="111" t="n"/>
      <c r="IG15" s="111" t="n"/>
      <c r="IH15" s="111" t="n"/>
      <c r="II15" s="111" t="n"/>
      <c r="IJ15" s="111" t="n"/>
      <c r="IK15" s="111" t="n"/>
      <c r="IL15" s="111" t="n"/>
      <c r="IM15" s="111" t="n"/>
      <c r="IN15" s="111" t="n"/>
      <c r="IO15" s="111" t="n"/>
      <c r="IP15" s="111" t="n"/>
      <c r="IQ15" s="111" t="n"/>
      <c r="IR15" s="111" t="n"/>
      <c r="IS15" s="111" t="n"/>
      <c r="IT15" s="111" t="n"/>
      <c r="IU15" s="111" t="n"/>
      <c r="IV15" s="111" t="n"/>
      <c r="IW15" s="111" t="n"/>
      <c r="IX15" s="111" t="n"/>
      <c r="IY15" s="111" t="n"/>
      <c r="IZ15" s="111" t="n"/>
      <c r="JA15" s="111" t="n"/>
      <c r="JB15" s="111" t="n"/>
      <c r="JC15" s="111" t="n"/>
      <c r="JD15" s="111" t="n"/>
      <c r="JE15" s="111" t="n"/>
      <c r="JF15" s="111" t="n"/>
      <c r="JG15" s="111" t="n"/>
      <c r="JH15" s="111" t="n"/>
      <c r="JI15" s="111" t="n"/>
      <c r="JJ15" s="111" t="n"/>
      <c r="JK15" s="111" t="n"/>
      <c r="JL15" s="111" t="n"/>
      <c r="JM15" s="111" t="n"/>
      <c r="JN15" s="111" t="n"/>
      <c r="JO15" s="111" t="n"/>
      <c r="JP15" s="111" t="n"/>
      <c r="JQ15" s="111" t="n"/>
      <c r="JR15" s="111" t="n"/>
      <c r="JS15" s="111" t="n"/>
      <c r="JT15" s="111" t="n"/>
      <c r="JU15" s="111" t="n"/>
      <c r="JV15" s="111" t="n"/>
      <c r="JW15" s="111" t="n"/>
      <c r="JX15" s="111" t="n"/>
      <c r="JY15" s="111" t="n"/>
      <c r="JZ15" s="111" t="n"/>
      <c r="KA15" s="111" t="n"/>
      <c r="KB15" s="111" t="n"/>
      <c r="KC15" s="111" t="n"/>
      <c r="KD15" s="111" t="n"/>
      <c r="KE15" s="111" t="n"/>
      <c r="KF15" s="111" t="n"/>
      <c r="KG15" s="111" t="n"/>
      <c r="KH15" s="111" t="n"/>
      <c r="KI15" s="111" t="n"/>
      <c r="KJ15" s="111" t="n"/>
      <c r="KK15" s="111" t="n"/>
      <c r="KL15" s="111" t="n"/>
      <c r="KM15" s="111" t="n"/>
      <c r="KN15" s="111" t="n"/>
      <c r="KO15" s="111" t="n"/>
      <c r="KP15" s="111" t="n"/>
      <c r="KQ15" s="111" t="n"/>
      <c r="KR15" s="111" t="n"/>
      <c r="KS15" s="111" t="n"/>
      <c r="KT15" s="111" t="n"/>
      <c r="KU15" s="111" t="n"/>
      <c r="KV15" s="111" t="n"/>
      <c r="KW15" s="111" t="n"/>
      <c r="KX15" s="111" t="n"/>
      <c r="KY15" s="111" t="n"/>
      <c r="KZ15" s="111" t="n"/>
      <c r="LA15" s="111" t="n"/>
      <c r="LB15" s="111" t="n"/>
      <c r="LC15" s="111" t="n"/>
      <c r="LD15" s="111" t="n"/>
      <c r="LE15" s="111" t="n"/>
      <c r="LF15" s="111" t="n"/>
      <c r="LG15" s="111" t="n"/>
      <c r="LH15" s="111" t="n"/>
      <c r="LI15" s="111" t="n"/>
      <c r="LJ15" s="111" t="n"/>
      <c r="LK15" s="111" t="n"/>
      <c r="LL15" s="111" t="n"/>
      <c r="LM15" s="111" t="n"/>
      <c r="LN15" s="111" t="n"/>
      <c r="LO15" s="111" t="n"/>
      <c r="LP15" s="111" t="n"/>
      <c r="LQ15" s="111" t="n"/>
      <c r="LR15" s="111" t="n"/>
      <c r="LS15" s="111" t="n"/>
      <c r="LT15" s="111" t="n"/>
      <c r="LU15" s="111" t="n"/>
      <c r="LV15" s="111" t="n"/>
      <c r="LW15" s="111" t="n"/>
      <c r="LX15" s="111" t="n"/>
      <c r="LY15" s="111" t="n"/>
      <c r="LZ15" s="111" t="n"/>
      <c r="MA15" s="111" t="n"/>
      <c r="MB15" s="111" t="n"/>
      <c r="MC15" s="111" t="n"/>
      <c r="MD15" s="111" t="n"/>
      <c r="ME15" s="111" t="n"/>
      <c r="MF15" s="111" t="n"/>
      <c r="MG15" s="111" t="n"/>
      <c r="MH15" s="111" t="n"/>
      <c r="MI15" s="111" t="n"/>
      <c r="MJ15" s="111" t="n"/>
      <c r="MK15" s="111" t="n"/>
      <c r="ML15" s="111" t="n"/>
      <c r="MM15" s="111" t="n"/>
      <c r="MN15" s="111" t="n"/>
      <c r="MO15" s="111" t="n"/>
      <c r="MP15" s="111" t="n"/>
      <c r="MQ15" s="111" t="n"/>
      <c r="MR15" s="111" t="n"/>
      <c r="MS15" s="111" t="n"/>
      <c r="MT15" s="111" t="n"/>
      <c r="MU15" s="111" t="n"/>
      <c r="MV15" s="111" t="n"/>
      <c r="MW15" s="111" t="n"/>
      <c r="MX15" s="111" t="n"/>
      <c r="MY15" s="111" t="n"/>
      <c r="MZ15" s="111" t="n"/>
      <c r="NA15" s="111" t="n"/>
      <c r="NB15" s="111" t="n"/>
      <c r="NC15" s="111" t="n"/>
      <c r="ND15" s="111" t="n"/>
      <c r="NE15" s="111" t="n"/>
      <c r="NF15" s="111" t="n"/>
      <c r="NG15" s="111" t="n"/>
      <c r="NH15" s="111" t="n"/>
      <c r="NI15" s="111" t="n"/>
      <c r="NJ15" s="111" t="n"/>
      <c r="NK15" s="111" t="n"/>
      <c r="NL15" s="111" t="n"/>
      <c r="NM15" s="111" t="n"/>
      <c r="NN15" s="111" t="n"/>
      <c r="NO15" s="111" t="n"/>
      <c r="NP15" s="111" t="n"/>
      <c r="NQ15" s="111" t="n"/>
    </row>
    <row r="16" customFormat="1" s="17">
      <c r="A16" s="33">
        <f>IF(ISERROR(VALUE(SUBSTITUTE(OFFSET(A16,-1,0,1,1),".",""))),"0.1",IF(ISERROR(FIND("`",SUBSTITUTE(OFFSET(A16,-1,0,1,1),".","`",1))),OFFSET(A16,-1,0,1,1)&amp;".1",LEFT(OFFSET(A16,-1,0,1,1),FIND("`",SUBSTITUTE(OFFSET(A16,-1,0,1,1),".","`",1)))&amp;IF(ISERROR(FIND("`",SUBSTITUTE(OFFSET(A16,-1,0,1,1),".","`",2))),VALUE(RIGHT(OFFSET(A16,-1,0,1,1),LEN(OFFSET(A16,-1,0,1,1))-FIND("`",SUBSTITUTE(OFFSET(A16,-1,0,1,1),".","`",1))))+1,VALUE(MID(OFFSET(A16,-1,0,1,1),FIND("`",SUBSTITUTE(OFFSET(A16,-1,0,1,1),".","`",1))+1,(FIND("`",SUBSTITUTE(OFFSET(A16,-1,0,1,1),".","`",2))-FIND("`",SUBSTITUTE(OFFSET(A16,-1,0,1,1),".","`",1))-1)))+1)))</f>
        <v/>
      </c>
      <c r="B16" s="10" t="inlineStr">
        <is>
          <t>[ Level 2 Task ]</t>
        </is>
      </c>
      <c r="C16" s="11" t="n"/>
      <c r="D16" s="37" t="n"/>
      <c r="E16" s="37" t="n"/>
      <c r="F16" s="37" t="n"/>
      <c r="G16" s="274">
        <f>H15+1</f>
        <v/>
      </c>
      <c r="H16" s="275">
        <f>IF(K16=0,G16,WORKDAY(IF(WEEKDAY(G16,1)=7,G16+2,IF(WEEKDAY(G16,1)=1,G16+1,G16)),K16-1,holidays))</f>
        <v/>
      </c>
      <c r="I16" s="272" t="n">
        <v>41643</v>
      </c>
      <c r="J16" s="272" t="n">
        <v>41647</v>
      </c>
      <c r="K16" s="79" t="n">
        <v>3</v>
      </c>
      <c r="L16" s="80" t="n">
        <v>0.25</v>
      </c>
      <c r="M16" s="14">
        <f>IF(OR(G16=0,H16=0),0,H16-G16+1)</f>
        <v/>
      </c>
      <c r="N16" s="15">
        <f>MIN(M16,WORKDAY(G16,ROUNDDOWN(L16*K16,0),holidays)-G16)</f>
        <v/>
      </c>
      <c r="O16" s="14">
        <f>M16-N16</f>
        <v/>
      </c>
      <c r="P16" s="113" t="n"/>
      <c r="Q16" s="17"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1" t="n"/>
      <c r="AY16" s="111" t="n"/>
      <c r="AZ16" s="111" t="n"/>
      <c r="BA16" s="111" t="n"/>
      <c r="BB16" s="111" t="n"/>
      <c r="BC16" s="111" t="n"/>
      <c r="BD16" s="111" t="n"/>
      <c r="BE16" s="111" t="n"/>
      <c r="BF16" s="111" t="n"/>
      <c r="BG16" s="111" t="n"/>
      <c r="BH16" s="111" t="n"/>
      <c r="BI16" s="111" t="n"/>
      <c r="BJ16" s="111" t="n"/>
      <c r="BK16" s="111" t="n"/>
      <c r="BL16" s="111" t="n"/>
      <c r="BM16" s="111" t="n"/>
      <c r="BN16" s="111" t="n"/>
      <c r="BO16" s="111" t="n"/>
      <c r="BP16" s="111" t="n"/>
      <c r="BQ16" s="111" t="n"/>
      <c r="BR16" s="111" t="n"/>
      <c r="BS16" s="111" t="n"/>
      <c r="BT16" s="111" t="n"/>
      <c r="BU16" s="111" t="n"/>
      <c r="BV16" s="111" t="n"/>
      <c r="BW16" s="111" t="n"/>
      <c r="BX16" s="111" t="n"/>
      <c r="BY16" s="111" t="n"/>
      <c r="BZ16" s="111" t="n"/>
      <c r="CA16" s="111" t="n"/>
      <c r="CB16" s="111" t="n"/>
      <c r="CC16" s="111" t="n"/>
      <c r="CD16" s="111" t="n"/>
      <c r="CE16" s="111" t="n"/>
      <c r="CF16" s="111" t="n"/>
      <c r="CG16" s="111" t="n"/>
      <c r="CH16" s="111" t="n"/>
      <c r="CI16" s="111" t="n"/>
      <c r="CJ16" s="111" t="n"/>
      <c r="CK16" s="111" t="n"/>
      <c r="CL16" s="111" t="n"/>
      <c r="CM16" s="111" t="n"/>
      <c r="CN16" s="111" t="n"/>
      <c r="CO16" s="111" t="n"/>
      <c r="CP16" s="111" t="n"/>
      <c r="CQ16" s="111" t="n"/>
      <c r="CR16" s="111" t="n"/>
      <c r="CS16" s="111" t="n"/>
      <c r="CT16" s="111" t="n"/>
      <c r="CU16" s="111" t="n"/>
      <c r="CV16" s="111" t="n"/>
      <c r="CW16" s="111" t="n"/>
      <c r="CX16" s="111" t="n"/>
      <c r="CY16" s="111" t="n"/>
      <c r="CZ16" s="111" t="n"/>
      <c r="DA16" s="111" t="n"/>
      <c r="DB16" s="111" t="n"/>
      <c r="DC16" s="111" t="n"/>
      <c r="DD16" s="111" t="n"/>
      <c r="DE16" s="111" t="n"/>
      <c r="DF16" s="111" t="n"/>
      <c r="DG16" s="111" t="n"/>
      <c r="DH16" s="111" t="n"/>
      <c r="DI16" s="111" t="n"/>
      <c r="DJ16" s="111" t="n"/>
      <c r="DK16" s="111" t="n"/>
      <c r="DL16" s="111" t="n"/>
      <c r="DM16" s="111" t="n"/>
      <c r="DN16" s="111" t="n"/>
      <c r="DO16" s="111" t="n"/>
      <c r="DP16" s="111" t="n"/>
      <c r="DQ16" s="111" t="n"/>
      <c r="DR16" s="111" t="n"/>
      <c r="DS16" s="111" t="n"/>
      <c r="DT16" s="111" t="n"/>
      <c r="DU16" s="111" t="n"/>
      <c r="DV16" s="111" t="n"/>
      <c r="DW16" s="111" t="n"/>
      <c r="DX16" s="111" t="n"/>
      <c r="DY16" s="111" t="n"/>
      <c r="DZ16" s="111" t="n"/>
      <c r="EA16" s="111" t="n"/>
      <c r="EB16" s="111" t="n"/>
      <c r="EC16" s="111" t="n"/>
      <c r="ED16" s="111" t="n"/>
      <c r="EE16" s="111" t="n"/>
      <c r="EF16" s="111" t="n"/>
      <c r="EG16" s="111" t="n"/>
      <c r="EH16" s="111" t="n"/>
      <c r="EI16" s="111" t="n"/>
      <c r="EJ16" s="111" t="n"/>
      <c r="EK16" s="111" t="n"/>
      <c r="EL16" s="111" t="n"/>
      <c r="EM16" s="111" t="n"/>
      <c r="EN16" s="111" t="n"/>
      <c r="EO16" s="111" t="n"/>
      <c r="EP16" s="111" t="n"/>
      <c r="EQ16" s="111" t="n"/>
      <c r="ER16" s="111" t="n"/>
      <c r="ES16" s="111" t="n"/>
      <c r="ET16" s="111" t="n"/>
      <c r="EU16" s="111" t="n"/>
      <c r="EV16" s="111" t="n"/>
      <c r="EW16" s="111" t="n"/>
      <c r="EX16" s="111" t="n"/>
      <c r="EY16" s="111" t="n"/>
      <c r="EZ16" s="111" t="n"/>
      <c r="FA16" s="111" t="n"/>
      <c r="FB16" s="111" t="n"/>
      <c r="FC16" s="111" t="n"/>
      <c r="FD16" s="111" t="n"/>
      <c r="FE16" s="111" t="n"/>
      <c r="FF16" s="111" t="n"/>
      <c r="FG16" s="111" t="n"/>
      <c r="FH16" s="111" t="n"/>
      <c r="FI16" s="111" t="n"/>
      <c r="FJ16" s="111" t="n"/>
      <c r="FK16" s="111" t="n"/>
      <c r="FL16" s="111" t="n"/>
      <c r="FM16" s="111" t="n"/>
      <c r="FN16" s="111" t="n"/>
      <c r="FO16" s="111" t="n"/>
      <c r="FP16" s="111" t="n"/>
      <c r="FQ16" s="111" t="n"/>
      <c r="FR16" s="111" t="n"/>
      <c r="FS16" s="111" t="n"/>
      <c r="FT16" s="111" t="n"/>
      <c r="FU16" s="111" t="n"/>
      <c r="FV16" s="111" t="n"/>
      <c r="FW16" s="111" t="n"/>
      <c r="FX16" s="111" t="n"/>
      <c r="FY16" s="111" t="n"/>
      <c r="FZ16" s="111" t="n"/>
      <c r="GA16" s="111" t="n"/>
      <c r="GB16" s="111" t="n"/>
      <c r="GC16" s="111" t="n"/>
      <c r="GD16" s="111" t="n"/>
      <c r="GE16" s="111" t="n"/>
      <c r="GF16" s="111" t="n"/>
      <c r="GG16" s="111" t="n"/>
      <c r="GH16" s="111" t="n"/>
      <c r="GI16" s="111" t="n"/>
      <c r="GJ16" s="111" t="n"/>
      <c r="GK16" s="111" t="n"/>
      <c r="GL16" s="111" t="n"/>
      <c r="GM16" s="111" t="n"/>
      <c r="GN16" s="111" t="n"/>
      <c r="GO16" s="111" t="n"/>
      <c r="GP16" s="111" t="n"/>
      <c r="GQ16" s="111" t="n"/>
      <c r="GR16" s="111" t="n"/>
      <c r="GS16" s="111" t="n"/>
      <c r="GT16" s="111" t="n"/>
      <c r="GU16" s="111" t="n"/>
      <c r="GV16" s="111" t="n"/>
      <c r="GW16" s="111" t="n"/>
      <c r="GX16" s="111" t="n"/>
      <c r="GY16" s="111" t="n"/>
      <c r="GZ16" s="111" t="n"/>
      <c r="HA16" s="111" t="n"/>
      <c r="HB16" s="111" t="n"/>
      <c r="HC16" s="111" t="n"/>
      <c r="HD16" s="111" t="n"/>
      <c r="HE16" s="111" t="n"/>
      <c r="HF16" s="111" t="n"/>
      <c r="HG16" s="111" t="n"/>
      <c r="HH16" s="111" t="n"/>
      <c r="HI16" s="111" t="n"/>
      <c r="HJ16" s="111" t="n"/>
      <c r="HK16" s="111" t="n"/>
      <c r="HL16" s="111" t="n"/>
      <c r="HM16" s="111" t="n"/>
      <c r="HN16" s="111" t="n"/>
      <c r="HO16" s="111" t="n"/>
      <c r="HP16" s="111" t="n"/>
      <c r="HQ16" s="111" t="n"/>
      <c r="HR16" s="111" t="n"/>
      <c r="HS16" s="111" t="n"/>
      <c r="HT16" s="111" t="n"/>
      <c r="HU16" s="111" t="n"/>
      <c r="HV16" s="111" t="n"/>
      <c r="HW16" s="111" t="n"/>
      <c r="HX16" s="111" t="n"/>
      <c r="HY16" s="111" t="n"/>
      <c r="HZ16" s="111" t="n"/>
      <c r="IA16" s="111" t="n"/>
      <c r="IB16" s="111" t="n"/>
      <c r="IC16" s="111" t="n"/>
      <c r="ID16" s="111" t="n"/>
      <c r="IE16" s="111" t="n"/>
      <c r="IF16" s="111" t="n"/>
      <c r="IG16" s="111" t="n"/>
      <c r="IH16" s="111" t="n"/>
      <c r="II16" s="111" t="n"/>
      <c r="IJ16" s="111" t="n"/>
      <c r="IK16" s="111" t="n"/>
      <c r="IL16" s="111" t="n"/>
      <c r="IM16" s="111" t="n"/>
      <c r="IN16" s="111" t="n"/>
      <c r="IO16" s="111" t="n"/>
      <c r="IP16" s="111" t="n"/>
      <c r="IQ16" s="111" t="n"/>
      <c r="IR16" s="111" t="n"/>
      <c r="IS16" s="111" t="n"/>
      <c r="IT16" s="111" t="n"/>
      <c r="IU16" s="111" t="n"/>
      <c r="IV16" s="111" t="n"/>
      <c r="IW16" s="111" t="n"/>
      <c r="IX16" s="111" t="n"/>
      <c r="IY16" s="111" t="n"/>
      <c r="IZ16" s="111" t="n"/>
      <c r="JA16" s="111" t="n"/>
      <c r="JB16" s="111" t="n"/>
      <c r="JC16" s="111" t="n"/>
      <c r="JD16" s="111" t="n"/>
      <c r="JE16" s="111" t="n"/>
      <c r="JF16" s="111" t="n"/>
      <c r="JG16" s="111" t="n"/>
      <c r="JH16" s="111" t="n"/>
      <c r="JI16" s="111" t="n"/>
      <c r="JJ16" s="111" t="n"/>
      <c r="JK16" s="111" t="n"/>
      <c r="JL16" s="111" t="n"/>
      <c r="JM16" s="111" t="n"/>
      <c r="JN16" s="111" t="n"/>
      <c r="JO16" s="111" t="n"/>
      <c r="JP16" s="111" t="n"/>
      <c r="JQ16" s="111" t="n"/>
      <c r="JR16" s="111" t="n"/>
      <c r="JS16" s="111" t="n"/>
      <c r="JT16" s="111" t="n"/>
      <c r="JU16" s="111" t="n"/>
      <c r="JV16" s="111" t="n"/>
      <c r="JW16" s="111" t="n"/>
      <c r="JX16" s="111" t="n"/>
      <c r="JY16" s="111" t="n"/>
      <c r="JZ16" s="111" t="n"/>
      <c r="KA16" s="111" t="n"/>
      <c r="KB16" s="111" t="n"/>
      <c r="KC16" s="111" t="n"/>
      <c r="KD16" s="111" t="n"/>
      <c r="KE16" s="111" t="n"/>
      <c r="KF16" s="111" t="n"/>
      <c r="KG16" s="111" t="n"/>
      <c r="KH16" s="111" t="n"/>
      <c r="KI16" s="111" t="n"/>
      <c r="KJ16" s="111" t="n"/>
      <c r="KK16" s="111" t="n"/>
      <c r="KL16" s="111" t="n"/>
      <c r="KM16" s="111" t="n"/>
      <c r="KN16" s="111" t="n"/>
      <c r="KO16" s="111" t="n"/>
      <c r="KP16" s="111" t="n"/>
      <c r="KQ16" s="111" t="n"/>
      <c r="KR16" s="111" t="n"/>
      <c r="KS16" s="111" t="n"/>
      <c r="KT16" s="111" t="n"/>
      <c r="KU16" s="111" t="n"/>
      <c r="KV16" s="111" t="n"/>
      <c r="KW16" s="111" t="n"/>
      <c r="KX16" s="111" t="n"/>
      <c r="KY16" s="111" t="n"/>
      <c r="KZ16" s="111" t="n"/>
      <c r="LA16" s="111" t="n"/>
      <c r="LB16" s="111" t="n"/>
      <c r="LC16" s="111" t="n"/>
      <c r="LD16" s="111" t="n"/>
      <c r="LE16" s="111" t="n"/>
      <c r="LF16" s="111" t="n"/>
      <c r="LG16" s="111" t="n"/>
      <c r="LH16" s="111" t="n"/>
      <c r="LI16" s="111" t="n"/>
      <c r="LJ16" s="111" t="n"/>
      <c r="LK16" s="111" t="n"/>
      <c r="LL16" s="111" t="n"/>
      <c r="LM16" s="111" t="n"/>
      <c r="LN16" s="111" t="n"/>
      <c r="LO16" s="111" t="n"/>
      <c r="LP16" s="111" t="n"/>
      <c r="LQ16" s="111" t="n"/>
      <c r="LR16" s="111" t="n"/>
      <c r="LS16" s="111" t="n"/>
      <c r="LT16" s="111" t="n"/>
      <c r="LU16" s="111" t="n"/>
      <c r="LV16" s="111" t="n"/>
      <c r="LW16" s="111" t="n"/>
      <c r="LX16" s="111" t="n"/>
      <c r="LY16" s="111" t="n"/>
      <c r="LZ16" s="111" t="n"/>
      <c r="MA16" s="111" t="n"/>
      <c r="MB16" s="111" t="n"/>
      <c r="MC16" s="111" t="n"/>
      <c r="MD16" s="111" t="n"/>
      <c r="ME16" s="111" t="n"/>
      <c r="MF16" s="111" t="n"/>
      <c r="MG16" s="111" t="n"/>
      <c r="MH16" s="111" t="n"/>
      <c r="MI16" s="111" t="n"/>
      <c r="MJ16" s="111" t="n"/>
      <c r="MK16" s="111" t="n"/>
      <c r="ML16" s="111" t="n"/>
      <c r="MM16" s="111" t="n"/>
      <c r="MN16" s="111" t="n"/>
      <c r="MO16" s="111" t="n"/>
      <c r="MP16" s="111" t="n"/>
      <c r="MQ16" s="111" t="n"/>
      <c r="MR16" s="111" t="n"/>
      <c r="MS16" s="111" t="n"/>
      <c r="MT16" s="111" t="n"/>
      <c r="MU16" s="111" t="n"/>
      <c r="MV16" s="111" t="n"/>
      <c r="MW16" s="111" t="n"/>
      <c r="MX16" s="111" t="n"/>
      <c r="MY16" s="111" t="n"/>
      <c r="MZ16" s="111" t="n"/>
      <c r="NA16" s="111" t="n"/>
      <c r="NB16" s="111" t="n"/>
      <c r="NC16" s="111" t="n"/>
      <c r="ND16" s="111" t="n"/>
      <c r="NE16" s="111" t="n"/>
      <c r="NF16" s="111" t="n"/>
      <c r="NG16" s="111" t="n"/>
      <c r="NH16" s="111" t="n"/>
      <c r="NI16" s="111" t="n"/>
      <c r="NJ16" s="111" t="n"/>
      <c r="NK16" s="111" t="n"/>
      <c r="NL16" s="111" t="n"/>
      <c r="NM16" s="111" t="n"/>
      <c r="NN16" s="111" t="n"/>
      <c r="NO16" s="111" t="n"/>
      <c r="NP16" s="111" t="n"/>
      <c r="NQ16" s="111" t="n"/>
    </row>
    <row r="17" customFormat="1" s="17">
      <c r="A17" s="33">
        <f>IF(ISERROR(VALUE(SUBSTITUTE(OFFSET(A17,-1,0,1,1),".",""))),"0.1",IF(ISERROR(FIND("`",SUBSTITUTE(OFFSET(A17,-1,0,1,1),".","`",1))),OFFSET(A17,-1,0,1,1)&amp;".1",LEFT(OFFSET(A17,-1,0,1,1),FIND("`",SUBSTITUTE(OFFSET(A17,-1,0,1,1),".","`",1)))&amp;IF(ISERROR(FIND("`",SUBSTITUTE(OFFSET(A17,-1,0,1,1),".","`",2))),VALUE(RIGHT(OFFSET(A17,-1,0,1,1),LEN(OFFSET(A17,-1,0,1,1))-FIND("`",SUBSTITUTE(OFFSET(A17,-1,0,1,1),".","`",1))))+1,VALUE(MID(OFFSET(A17,-1,0,1,1),FIND("`",SUBSTITUTE(OFFSET(A17,-1,0,1,1),".","`",1))+1,(FIND("`",SUBSTITUTE(OFFSET(A17,-1,0,1,1),".","`",2))-FIND("`",SUBSTITUTE(OFFSET(A17,-1,0,1,1),".","`",1))-1)))+1)))</f>
        <v/>
      </c>
      <c r="B17" s="10" t="inlineStr">
        <is>
          <t>[ Level 2 Task ]</t>
        </is>
      </c>
      <c r="C17" s="11" t="n"/>
      <c r="D17" s="37" t="n"/>
      <c r="E17" s="37" t="n"/>
      <c r="F17" s="37" t="n"/>
      <c r="G17" s="274">
        <f>H16+1</f>
        <v/>
      </c>
      <c r="H17" s="275">
        <f>IF(K17=0,G17,WORKDAY(IF(WEEKDAY(G17,1)=7,G17+2,IF(WEEKDAY(G17,1)=1,G17+1,G17)),K17-1,holidays))</f>
        <v/>
      </c>
      <c r="I17" s="272" t="n">
        <v>41648</v>
      </c>
      <c r="J17" s="272" t="n">
        <v>41653</v>
      </c>
      <c r="K17" s="79" t="n">
        <v>4</v>
      </c>
      <c r="L17" s="80" t="n">
        <v>0.25</v>
      </c>
      <c r="M17" s="14">
        <f>IF(OR(G17=0,H17=0),0,H17-G17+1)</f>
        <v/>
      </c>
      <c r="N17" s="15">
        <f>MIN(M17,WORKDAY(G17,ROUNDDOWN(L17*K17,0),holidays)-G17)</f>
        <v/>
      </c>
      <c r="O17" s="14">
        <f>M17-N17</f>
        <v/>
      </c>
      <c r="P17" s="113" t="n"/>
      <c r="Q17" s="17" t="n"/>
      <c r="R17" s="111" t="n"/>
      <c r="S17" s="111" t="n"/>
      <c r="T17" s="111" t="n"/>
      <c r="U17" s="111" t="n"/>
      <c r="V17" s="111" t="n"/>
      <c r="W17" s="111" t="n"/>
      <c r="X17" s="111" t="n"/>
      <c r="Y17" s="111" t="n"/>
      <c r="Z17" s="111" t="n"/>
      <c r="AA17" s="111" t="n"/>
      <c r="AB17" s="111" t="n"/>
      <c r="AC17" s="111" t="n"/>
      <c r="AD17" s="111" t="n"/>
      <c r="AE17" s="111" t="n"/>
      <c r="AF17" s="111" t="n"/>
      <c r="AG17" s="111" t="n"/>
      <c r="AH17" s="111" t="n"/>
      <c r="AI17" s="111" t="n"/>
      <c r="AJ17" s="111" t="n"/>
      <c r="AK17" s="111" t="n"/>
      <c r="AL17" s="111" t="n"/>
      <c r="AM17" s="111" t="n"/>
      <c r="AN17" s="111" t="n"/>
      <c r="AO17" s="111" t="n"/>
      <c r="AP17" s="111" t="n"/>
      <c r="AQ17" s="111" t="n"/>
      <c r="AR17" s="111" t="n"/>
      <c r="AS17" s="111" t="n"/>
      <c r="AT17" s="111" t="n"/>
      <c r="AU17" s="111" t="n"/>
      <c r="AV17" s="111" t="n"/>
      <c r="AW17" s="111" t="n"/>
      <c r="AX17" s="111" t="n"/>
      <c r="AY17" s="111" t="n"/>
      <c r="AZ17" s="111" t="n"/>
      <c r="BA17" s="111" t="n"/>
      <c r="BB17" s="111" t="n"/>
      <c r="BC17" s="111" t="n"/>
      <c r="BD17" s="111" t="n"/>
      <c r="BE17" s="111" t="n"/>
      <c r="BF17" s="111" t="n"/>
      <c r="BG17" s="111" t="n"/>
      <c r="BH17" s="111" t="n"/>
      <c r="BI17" s="111" t="n"/>
      <c r="BJ17" s="111" t="n"/>
      <c r="BK17" s="111" t="n"/>
      <c r="BL17" s="111" t="n"/>
      <c r="BM17" s="111" t="n"/>
      <c r="BN17" s="111" t="n"/>
      <c r="BO17" s="111" t="n"/>
      <c r="BP17" s="111" t="n"/>
      <c r="BQ17" s="111" t="n"/>
      <c r="BR17" s="111" t="n"/>
      <c r="BS17" s="111" t="n"/>
      <c r="BT17" s="111" t="n"/>
      <c r="BU17" s="111" t="n"/>
      <c r="BV17" s="111" t="n"/>
      <c r="BW17" s="111" t="n"/>
      <c r="BX17" s="111" t="n"/>
      <c r="BY17" s="111" t="n"/>
      <c r="BZ17" s="111" t="n"/>
      <c r="CA17" s="111" t="n"/>
      <c r="CB17" s="111" t="n"/>
      <c r="CC17" s="111" t="n"/>
      <c r="CD17" s="111" t="n"/>
      <c r="CE17" s="111" t="n"/>
      <c r="CF17" s="111" t="n"/>
      <c r="CG17" s="111" t="n"/>
      <c r="CH17" s="111" t="n"/>
      <c r="CI17" s="111" t="n"/>
      <c r="CJ17" s="111" t="n"/>
      <c r="CK17" s="111" t="n"/>
      <c r="CL17" s="111" t="n"/>
      <c r="CM17" s="111" t="n"/>
      <c r="CN17" s="111" t="n"/>
      <c r="CO17" s="111" t="n"/>
      <c r="CP17" s="111" t="n"/>
      <c r="CQ17" s="111" t="n"/>
      <c r="CR17" s="111" t="n"/>
      <c r="CS17" s="111" t="n"/>
      <c r="CT17" s="111" t="n"/>
      <c r="CU17" s="111" t="n"/>
      <c r="CV17" s="111" t="n"/>
      <c r="CW17" s="111" t="n"/>
      <c r="CX17" s="111" t="n"/>
      <c r="CY17" s="111" t="n"/>
      <c r="CZ17" s="111" t="n"/>
      <c r="DA17" s="111" t="n"/>
      <c r="DB17" s="111" t="n"/>
      <c r="DC17" s="111" t="n"/>
      <c r="DD17" s="111" t="n"/>
      <c r="DE17" s="111" t="n"/>
      <c r="DF17" s="111" t="n"/>
      <c r="DG17" s="111" t="n"/>
      <c r="DH17" s="111" t="n"/>
      <c r="DI17" s="111" t="n"/>
      <c r="DJ17" s="111" t="n"/>
      <c r="DK17" s="111" t="n"/>
      <c r="DL17" s="111" t="n"/>
      <c r="DM17" s="111" t="n"/>
      <c r="DN17" s="111" t="n"/>
      <c r="DO17" s="111" t="n"/>
      <c r="DP17" s="111" t="n"/>
      <c r="DQ17" s="111" t="n"/>
      <c r="DR17" s="111" t="n"/>
      <c r="DS17" s="111" t="n"/>
      <c r="DT17" s="111" t="n"/>
      <c r="DU17" s="111" t="n"/>
      <c r="DV17" s="111" t="n"/>
      <c r="DW17" s="111" t="n"/>
      <c r="DX17" s="111" t="n"/>
      <c r="DY17" s="111" t="n"/>
      <c r="DZ17" s="111" t="n"/>
      <c r="EA17" s="111" t="n"/>
      <c r="EB17" s="111" t="n"/>
      <c r="EC17" s="111" t="n"/>
      <c r="ED17" s="111" t="n"/>
      <c r="EE17" s="111" t="n"/>
      <c r="EF17" s="111" t="n"/>
      <c r="EG17" s="111" t="n"/>
      <c r="EH17" s="111" t="n"/>
      <c r="EI17" s="111" t="n"/>
      <c r="EJ17" s="111" t="n"/>
      <c r="EK17" s="111" t="n"/>
      <c r="EL17" s="111" t="n"/>
      <c r="EM17" s="111" t="n"/>
      <c r="EN17" s="111" t="n"/>
      <c r="EO17" s="111" t="n"/>
      <c r="EP17" s="111" t="n"/>
      <c r="EQ17" s="111" t="n"/>
      <c r="ER17" s="111" t="n"/>
      <c r="ES17" s="111" t="n"/>
      <c r="ET17" s="111" t="n"/>
      <c r="EU17" s="111" t="n"/>
      <c r="EV17" s="111" t="n"/>
      <c r="EW17" s="111" t="n"/>
      <c r="EX17" s="111" t="n"/>
      <c r="EY17" s="111" t="n"/>
      <c r="EZ17" s="111" t="n"/>
      <c r="FA17" s="111" t="n"/>
      <c r="FB17" s="111" t="n"/>
      <c r="FC17" s="111" t="n"/>
      <c r="FD17" s="111" t="n"/>
      <c r="FE17" s="111" t="n"/>
      <c r="FF17" s="111" t="n"/>
      <c r="FG17" s="111" t="n"/>
      <c r="FH17" s="111" t="n"/>
      <c r="FI17" s="111" t="n"/>
      <c r="FJ17" s="111" t="n"/>
      <c r="FK17" s="111" t="n"/>
      <c r="FL17" s="111" t="n"/>
      <c r="FM17" s="111" t="n"/>
      <c r="FN17" s="111" t="n"/>
      <c r="FO17" s="111" t="n"/>
      <c r="FP17" s="111" t="n"/>
      <c r="FQ17" s="111" t="n"/>
      <c r="FR17" s="111" t="n"/>
      <c r="FS17" s="111" t="n"/>
      <c r="FT17" s="111" t="n"/>
      <c r="FU17" s="111" t="n"/>
      <c r="FV17" s="111" t="n"/>
      <c r="FW17" s="111" t="n"/>
      <c r="FX17" s="111" t="n"/>
      <c r="FY17" s="111" t="n"/>
      <c r="FZ17" s="111" t="n"/>
      <c r="GA17" s="111" t="n"/>
      <c r="GB17" s="111" t="n"/>
      <c r="GC17" s="111" t="n"/>
      <c r="GD17" s="111" t="n"/>
      <c r="GE17" s="111" t="n"/>
      <c r="GF17" s="111" t="n"/>
      <c r="GG17" s="111" t="n"/>
      <c r="GH17" s="111" t="n"/>
      <c r="GI17" s="111" t="n"/>
      <c r="GJ17" s="111" t="n"/>
      <c r="GK17" s="111" t="n"/>
      <c r="GL17" s="111" t="n"/>
      <c r="GM17" s="111" t="n"/>
      <c r="GN17" s="111" t="n"/>
      <c r="GO17" s="111" t="n"/>
      <c r="GP17" s="111" t="n"/>
      <c r="GQ17" s="111" t="n"/>
      <c r="GR17" s="111" t="n"/>
      <c r="GS17" s="111" t="n"/>
      <c r="GT17" s="111" t="n"/>
      <c r="GU17" s="111" t="n"/>
      <c r="GV17" s="111" t="n"/>
      <c r="GW17" s="111" t="n"/>
      <c r="GX17" s="111" t="n"/>
      <c r="GY17" s="111" t="n"/>
      <c r="GZ17" s="111" t="n"/>
      <c r="HA17" s="111" t="n"/>
      <c r="HB17" s="111" t="n"/>
      <c r="HC17" s="111" t="n"/>
      <c r="HD17" s="111" t="n"/>
      <c r="HE17" s="111" t="n"/>
      <c r="HF17" s="111" t="n"/>
      <c r="HG17" s="111" t="n"/>
      <c r="HH17" s="111" t="n"/>
      <c r="HI17" s="111" t="n"/>
      <c r="HJ17" s="111" t="n"/>
      <c r="HK17" s="111" t="n"/>
      <c r="HL17" s="111" t="n"/>
      <c r="HM17" s="111" t="n"/>
      <c r="HN17" s="111" t="n"/>
      <c r="HO17" s="111" t="n"/>
      <c r="HP17" s="111" t="n"/>
      <c r="HQ17" s="111" t="n"/>
      <c r="HR17" s="111" t="n"/>
      <c r="HS17" s="111" t="n"/>
      <c r="HT17" s="111" t="n"/>
      <c r="HU17" s="111" t="n"/>
      <c r="HV17" s="111" t="n"/>
      <c r="HW17" s="111" t="n"/>
      <c r="HX17" s="111" t="n"/>
      <c r="HY17" s="111" t="n"/>
      <c r="HZ17" s="111" t="n"/>
      <c r="IA17" s="111" t="n"/>
      <c r="IB17" s="111" t="n"/>
      <c r="IC17" s="111" t="n"/>
      <c r="ID17" s="111" t="n"/>
      <c r="IE17" s="111" t="n"/>
      <c r="IF17" s="111" t="n"/>
      <c r="IG17" s="111" t="n"/>
      <c r="IH17" s="111" t="n"/>
      <c r="II17" s="111" t="n"/>
      <c r="IJ17" s="111" t="n"/>
      <c r="IK17" s="111" t="n"/>
      <c r="IL17" s="111" t="n"/>
      <c r="IM17" s="111" t="n"/>
      <c r="IN17" s="111" t="n"/>
      <c r="IO17" s="111" t="n"/>
      <c r="IP17" s="111" t="n"/>
      <c r="IQ17" s="111" t="n"/>
      <c r="IR17" s="111" t="n"/>
      <c r="IS17" s="111" t="n"/>
      <c r="IT17" s="111" t="n"/>
      <c r="IU17" s="111" t="n"/>
      <c r="IV17" s="111" t="n"/>
      <c r="IW17" s="111" t="n"/>
      <c r="IX17" s="111" t="n"/>
      <c r="IY17" s="111" t="n"/>
      <c r="IZ17" s="111" t="n"/>
      <c r="JA17" s="111" t="n"/>
      <c r="JB17" s="111" t="n"/>
      <c r="JC17" s="111" t="n"/>
      <c r="JD17" s="111" t="n"/>
      <c r="JE17" s="111" t="n"/>
      <c r="JF17" s="111" t="n"/>
      <c r="JG17" s="111" t="n"/>
      <c r="JH17" s="111" t="n"/>
      <c r="JI17" s="111" t="n"/>
      <c r="JJ17" s="111" t="n"/>
      <c r="JK17" s="111" t="n"/>
      <c r="JL17" s="111" t="n"/>
      <c r="JM17" s="111" t="n"/>
      <c r="JN17" s="111" t="n"/>
      <c r="JO17" s="111" t="n"/>
      <c r="JP17" s="111" t="n"/>
      <c r="JQ17" s="111" t="n"/>
      <c r="JR17" s="111" t="n"/>
      <c r="JS17" s="111" t="n"/>
      <c r="JT17" s="111" t="n"/>
      <c r="JU17" s="111" t="n"/>
      <c r="JV17" s="111" t="n"/>
      <c r="JW17" s="111" t="n"/>
      <c r="JX17" s="111" t="n"/>
      <c r="JY17" s="111" t="n"/>
      <c r="JZ17" s="111" t="n"/>
      <c r="KA17" s="111" t="n"/>
      <c r="KB17" s="111" t="n"/>
      <c r="KC17" s="111" t="n"/>
      <c r="KD17" s="111" t="n"/>
      <c r="KE17" s="111" t="n"/>
      <c r="KF17" s="111" t="n"/>
      <c r="KG17" s="111" t="n"/>
      <c r="KH17" s="111" t="n"/>
      <c r="KI17" s="111" t="n"/>
      <c r="KJ17" s="111" t="n"/>
      <c r="KK17" s="111" t="n"/>
      <c r="KL17" s="111" t="n"/>
      <c r="KM17" s="111" t="n"/>
      <c r="KN17" s="111" t="n"/>
      <c r="KO17" s="111" t="n"/>
      <c r="KP17" s="111" t="n"/>
      <c r="KQ17" s="111" t="n"/>
      <c r="KR17" s="111" t="n"/>
      <c r="KS17" s="111" t="n"/>
      <c r="KT17" s="111" t="n"/>
      <c r="KU17" s="111" t="n"/>
      <c r="KV17" s="111" t="n"/>
      <c r="KW17" s="111" t="n"/>
      <c r="KX17" s="111" t="n"/>
      <c r="KY17" s="111" t="n"/>
      <c r="KZ17" s="111" t="n"/>
      <c r="LA17" s="111" t="n"/>
      <c r="LB17" s="111" t="n"/>
      <c r="LC17" s="111" t="n"/>
      <c r="LD17" s="111" t="n"/>
      <c r="LE17" s="111" t="n"/>
      <c r="LF17" s="111" t="n"/>
      <c r="LG17" s="111" t="n"/>
      <c r="LH17" s="111" t="n"/>
      <c r="LI17" s="111" t="n"/>
      <c r="LJ17" s="111" t="n"/>
      <c r="LK17" s="111" t="n"/>
      <c r="LL17" s="111" t="n"/>
      <c r="LM17" s="111" t="n"/>
      <c r="LN17" s="111" t="n"/>
      <c r="LO17" s="111" t="n"/>
      <c r="LP17" s="111" t="n"/>
      <c r="LQ17" s="111" t="n"/>
      <c r="LR17" s="111" t="n"/>
      <c r="LS17" s="111" t="n"/>
      <c r="LT17" s="111" t="n"/>
      <c r="LU17" s="111" t="n"/>
      <c r="LV17" s="111" t="n"/>
      <c r="LW17" s="111" t="n"/>
      <c r="LX17" s="111" t="n"/>
      <c r="LY17" s="111" t="n"/>
      <c r="LZ17" s="111" t="n"/>
      <c r="MA17" s="111" t="n"/>
      <c r="MB17" s="111" t="n"/>
      <c r="MC17" s="111" t="n"/>
      <c r="MD17" s="111" t="n"/>
      <c r="ME17" s="111" t="n"/>
      <c r="MF17" s="111" t="n"/>
      <c r="MG17" s="111" t="n"/>
      <c r="MH17" s="111" t="n"/>
      <c r="MI17" s="111" t="n"/>
      <c r="MJ17" s="111" t="n"/>
      <c r="MK17" s="111" t="n"/>
      <c r="ML17" s="111" t="n"/>
      <c r="MM17" s="111" t="n"/>
      <c r="MN17" s="111" t="n"/>
      <c r="MO17" s="111" t="n"/>
      <c r="MP17" s="111" t="n"/>
      <c r="MQ17" s="111" t="n"/>
      <c r="MR17" s="111" t="n"/>
      <c r="MS17" s="111" t="n"/>
      <c r="MT17" s="111" t="n"/>
      <c r="MU17" s="111" t="n"/>
      <c r="MV17" s="111" t="n"/>
      <c r="MW17" s="111" t="n"/>
      <c r="MX17" s="111" t="n"/>
      <c r="MY17" s="111" t="n"/>
      <c r="MZ17" s="111" t="n"/>
      <c r="NA17" s="111" t="n"/>
      <c r="NB17" s="111" t="n"/>
      <c r="NC17" s="111" t="n"/>
      <c r="ND17" s="111" t="n"/>
      <c r="NE17" s="111" t="n"/>
      <c r="NF17" s="111" t="n"/>
      <c r="NG17" s="111" t="n"/>
      <c r="NH17" s="111" t="n"/>
      <c r="NI17" s="111" t="n"/>
      <c r="NJ17" s="111" t="n"/>
      <c r="NK17" s="111" t="n"/>
      <c r="NL17" s="111" t="n"/>
      <c r="NM17" s="111" t="n"/>
      <c r="NN17" s="111" t="n"/>
      <c r="NO17" s="111" t="n"/>
      <c r="NP17" s="111" t="n"/>
      <c r="NQ17" s="111" t="n"/>
    </row>
    <row r="18" customFormat="1" s="17">
      <c r="A18" s="33">
        <f>IF(ISERROR(VALUE(SUBSTITUTE(OFFSET(A18,-1,0,1,1),".",""))),"0.1",IF(ISERROR(FIND("`",SUBSTITUTE(OFFSET(A18,-1,0,1,1),".","`",1))),OFFSET(A18,-1,0,1,1)&amp;".1",LEFT(OFFSET(A18,-1,0,1,1),FIND("`",SUBSTITUTE(OFFSET(A18,-1,0,1,1),".","`",1)))&amp;IF(ISERROR(FIND("`",SUBSTITUTE(OFFSET(A18,-1,0,1,1),".","`",2))),VALUE(RIGHT(OFFSET(A18,-1,0,1,1),LEN(OFFSET(A18,-1,0,1,1))-FIND("`",SUBSTITUTE(OFFSET(A18,-1,0,1,1),".","`",1))))+1,VALUE(MID(OFFSET(A18,-1,0,1,1),FIND("`",SUBSTITUTE(OFFSET(A18,-1,0,1,1),".","`",1))+1,(FIND("`",SUBSTITUTE(OFFSET(A18,-1,0,1,1),".","`",2))-FIND("`",SUBSTITUTE(OFFSET(A18,-1,0,1,1),".","`",1))-1)))+1)))</f>
        <v/>
      </c>
      <c r="B18" s="10" t="inlineStr">
        <is>
          <t>[ Level 2 Task ]</t>
        </is>
      </c>
      <c r="C18" s="11" t="n"/>
      <c r="D18" s="37" t="n"/>
      <c r="E18" s="37" t="n"/>
      <c r="F18" s="37" t="n"/>
      <c r="G18" s="274">
        <f>H17+1</f>
        <v/>
      </c>
      <c r="H18" s="275">
        <f>IF(K18=0,G18,WORKDAY(IF(WEEKDAY(G18,1)=7,G18+2,IF(WEEKDAY(G18,1)=1,G18+1,G18)),K18-1,holidays))</f>
        <v/>
      </c>
      <c r="I18" s="272" t="n">
        <v>41654</v>
      </c>
      <c r="J18" s="272" t="n">
        <v>41661</v>
      </c>
      <c r="K18" s="79" t="n">
        <v>5</v>
      </c>
      <c r="L18" s="80" t="n">
        <v>0.25</v>
      </c>
      <c r="M18" s="14">
        <f>IF(OR(G18=0,H18=0),0,H18-G18+1)</f>
        <v/>
      </c>
      <c r="N18" s="15">
        <f>MIN(M18,WORKDAY(G18,ROUNDDOWN(L18*K18,0),holidays)-G18)</f>
        <v/>
      </c>
      <c r="O18" s="14">
        <f>M18-N18</f>
        <v/>
      </c>
      <c r="P18" s="113" t="inlineStr">
        <is>
          <t>g</t>
        </is>
      </c>
      <c r="Q18" s="17" t="n"/>
      <c r="R18" s="111" t="n"/>
      <c r="S18" s="111" t="n"/>
      <c r="T18" s="111" t="n"/>
      <c r="U18" s="111" t="n"/>
      <c r="V18" s="111" t="n"/>
      <c r="W18" s="111" t="n"/>
      <c r="X18" s="111" t="n"/>
      <c r="Y18" s="111" t="n"/>
      <c r="Z18" s="111" t="n"/>
      <c r="AA18" s="111" t="n"/>
      <c r="AB18" s="111" t="n"/>
      <c r="AC18" s="111" t="n"/>
      <c r="AD18" s="111" t="n"/>
      <c r="AE18" s="111" t="n"/>
      <c r="AF18" s="111" t="n"/>
      <c r="AG18" s="111" t="n"/>
      <c r="AH18" s="111" t="n"/>
      <c r="AI18" s="111" t="n"/>
      <c r="AJ18" s="111" t="n"/>
      <c r="AK18" s="111" t="n"/>
      <c r="AL18" s="111" t="n"/>
      <c r="AM18" s="111" t="n"/>
      <c r="AN18" s="111" t="n"/>
      <c r="AO18" s="111" t="n"/>
      <c r="AP18" s="111" t="n"/>
      <c r="AQ18" s="111" t="n"/>
      <c r="AR18" s="111" t="n"/>
      <c r="AS18" s="111" t="n"/>
      <c r="AT18" s="111" t="n"/>
      <c r="AU18" s="111" t="n"/>
      <c r="AV18" s="111" t="n"/>
      <c r="AW18" s="111" t="n"/>
      <c r="AX18" s="111" t="n"/>
      <c r="AY18" s="111" t="n"/>
      <c r="AZ18" s="111" t="n"/>
      <c r="BA18" s="111" t="n"/>
      <c r="BB18" s="111" t="n"/>
      <c r="BC18" s="111" t="n"/>
      <c r="BD18" s="111" t="n"/>
      <c r="BE18" s="111" t="n"/>
      <c r="BF18" s="111" t="n"/>
      <c r="BG18" s="111" t="n"/>
      <c r="BH18" s="111" t="n"/>
      <c r="BI18" s="111" t="n"/>
      <c r="BJ18" s="111" t="n"/>
      <c r="BK18" s="111" t="n"/>
      <c r="BL18" s="111" t="n"/>
      <c r="BM18" s="111" t="n"/>
      <c r="BN18" s="111" t="n"/>
      <c r="BO18" s="111" t="n"/>
      <c r="BP18" s="111" t="n"/>
      <c r="BQ18" s="111" t="n"/>
      <c r="BR18" s="111" t="n"/>
      <c r="BS18" s="111" t="n"/>
      <c r="BT18" s="111" t="n"/>
      <c r="BU18" s="111" t="n"/>
      <c r="BV18" s="111" t="n"/>
      <c r="BW18" s="111" t="n"/>
      <c r="BX18" s="111" t="n"/>
      <c r="BY18" s="111" t="n"/>
      <c r="BZ18" s="111" t="n"/>
      <c r="CA18" s="111" t="n"/>
      <c r="CB18" s="111" t="n"/>
      <c r="CC18" s="111" t="n"/>
      <c r="CD18" s="111" t="n"/>
      <c r="CE18" s="111" t="n"/>
      <c r="CF18" s="111" t="n"/>
      <c r="CG18" s="111" t="n"/>
      <c r="CH18" s="111" t="n"/>
      <c r="CI18" s="111" t="n"/>
      <c r="CJ18" s="111" t="n"/>
      <c r="CK18" s="111" t="n"/>
      <c r="CL18" s="111" t="n"/>
      <c r="CM18" s="111" t="n"/>
      <c r="CN18" s="111" t="n"/>
      <c r="CO18" s="111" t="n"/>
      <c r="CP18" s="111" t="n"/>
      <c r="CQ18" s="111" t="n"/>
      <c r="CR18" s="111" t="n"/>
      <c r="CS18" s="111" t="n"/>
      <c r="CT18" s="111" t="n"/>
      <c r="CU18" s="111" t="n"/>
      <c r="CV18" s="111" t="n"/>
      <c r="CW18" s="111" t="n"/>
      <c r="CX18" s="111" t="n"/>
      <c r="CY18" s="111" t="n"/>
      <c r="CZ18" s="111" t="n"/>
      <c r="DA18" s="111" t="n"/>
      <c r="DB18" s="111" t="n"/>
      <c r="DC18" s="111" t="n"/>
      <c r="DD18" s="111" t="n"/>
      <c r="DE18" s="111" t="n"/>
      <c r="DF18" s="111" t="n"/>
      <c r="DG18" s="111" t="n"/>
      <c r="DH18" s="111" t="n"/>
      <c r="DI18" s="111" t="n"/>
      <c r="DJ18" s="111" t="n"/>
      <c r="DK18" s="111" t="n"/>
      <c r="DL18" s="111" t="n"/>
      <c r="DM18" s="111" t="n"/>
      <c r="DN18" s="111" t="n"/>
      <c r="DO18" s="111" t="n"/>
      <c r="DP18" s="111" t="n"/>
      <c r="DQ18" s="111" t="n"/>
      <c r="DR18" s="111" t="n"/>
      <c r="DS18" s="111" t="n"/>
      <c r="DT18" s="111" t="n"/>
      <c r="DU18" s="111" t="n"/>
      <c r="DV18" s="111" t="n"/>
      <c r="DW18" s="111" t="n"/>
      <c r="DX18" s="111" t="n"/>
      <c r="DY18" s="111" t="n"/>
      <c r="DZ18" s="111" t="n"/>
      <c r="EA18" s="111" t="n"/>
      <c r="EB18" s="111" t="n"/>
      <c r="EC18" s="111" t="n"/>
      <c r="ED18" s="111" t="n"/>
      <c r="EE18" s="111" t="n"/>
      <c r="EF18" s="111" t="n"/>
      <c r="EG18" s="111" t="n"/>
      <c r="EH18" s="111" t="n"/>
      <c r="EI18" s="111" t="n"/>
      <c r="EJ18" s="111" t="n"/>
      <c r="EK18" s="111" t="n"/>
      <c r="EL18" s="111" t="n"/>
      <c r="EM18" s="111" t="n"/>
      <c r="EN18" s="111" t="n"/>
      <c r="EO18" s="111" t="n"/>
      <c r="EP18" s="111" t="n"/>
      <c r="EQ18" s="111" t="n"/>
      <c r="ER18" s="111" t="n"/>
      <c r="ES18" s="111" t="n"/>
      <c r="ET18" s="111" t="n"/>
      <c r="EU18" s="111" t="n"/>
      <c r="EV18" s="111" t="n"/>
      <c r="EW18" s="111" t="n"/>
      <c r="EX18" s="111" t="n"/>
      <c r="EY18" s="111" t="n"/>
      <c r="EZ18" s="111" t="n"/>
      <c r="FA18" s="111" t="n"/>
      <c r="FB18" s="111" t="n"/>
      <c r="FC18" s="111" t="n"/>
      <c r="FD18" s="111" t="n"/>
      <c r="FE18" s="111" t="n"/>
      <c r="FF18" s="111" t="n"/>
      <c r="FG18" s="111" t="n"/>
      <c r="FH18" s="111" t="n"/>
      <c r="FI18" s="111" t="n"/>
      <c r="FJ18" s="111" t="n"/>
      <c r="FK18" s="111" t="n"/>
      <c r="FL18" s="111" t="n"/>
      <c r="FM18" s="111" t="n"/>
      <c r="FN18" s="111" t="n"/>
      <c r="FO18" s="111" t="n"/>
      <c r="FP18" s="111" t="n"/>
      <c r="FQ18" s="111" t="n"/>
      <c r="FR18" s="111" t="n"/>
      <c r="FS18" s="111" t="n"/>
      <c r="FT18" s="111" t="n"/>
      <c r="FU18" s="111" t="n"/>
      <c r="FV18" s="111" t="n"/>
      <c r="FW18" s="111" t="n"/>
      <c r="FX18" s="111" t="n"/>
      <c r="FY18" s="111" t="n"/>
      <c r="FZ18" s="111" t="n"/>
      <c r="GA18" s="111" t="n"/>
      <c r="GB18" s="111" t="n"/>
      <c r="GC18" s="111" t="n"/>
      <c r="GD18" s="111" t="n"/>
      <c r="GE18" s="111" t="n"/>
      <c r="GF18" s="111" t="n"/>
      <c r="GG18" s="111" t="n"/>
      <c r="GH18" s="111" t="n"/>
      <c r="GI18" s="111" t="n"/>
      <c r="GJ18" s="111" t="n"/>
      <c r="GK18" s="111" t="n"/>
      <c r="GL18" s="111" t="n"/>
      <c r="GM18" s="111" t="n"/>
      <c r="GN18" s="111" t="n"/>
      <c r="GO18" s="111" t="n"/>
      <c r="GP18" s="111" t="n"/>
      <c r="GQ18" s="111" t="n"/>
      <c r="GR18" s="111" t="n"/>
      <c r="GS18" s="111" t="n"/>
      <c r="GT18" s="111" t="n"/>
      <c r="GU18" s="111" t="n"/>
      <c r="GV18" s="111" t="n"/>
      <c r="GW18" s="111" t="n"/>
      <c r="GX18" s="111" t="n"/>
      <c r="GY18" s="111" t="n"/>
      <c r="GZ18" s="111" t="n"/>
      <c r="HA18" s="111" t="n"/>
      <c r="HB18" s="111" t="n"/>
      <c r="HC18" s="111" t="n"/>
      <c r="HD18" s="111" t="n"/>
      <c r="HE18" s="111" t="n"/>
      <c r="HF18" s="111" t="n"/>
      <c r="HG18" s="111" t="n"/>
      <c r="HH18" s="111" t="n"/>
      <c r="HI18" s="111" t="n"/>
      <c r="HJ18" s="111" t="n"/>
      <c r="HK18" s="111" t="n"/>
      <c r="HL18" s="111" t="n"/>
      <c r="HM18" s="111" t="n"/>
      <c r="HN18" s="111" t="n"/>
      <c r="HO18" s="111" t="n"/>
      <c r="HP18" s="111" t="n"/>
      <c r="HQ18" s="111" t="n"/>
      <c r="HR18" s="111" t="n"/>
      <c r="HS18" s="111" t="n"/>
      <c r="HT18" s="111" t="n"/>
      <c r="HU18" s="111" t="n"/>
      <c r="HV18" s="111" t="n"/>
      <c r="HW18" s="111" t="n"/>
      <c r="HX18" s="111" t="n"/>
      <c r="HY18" s="111" t="n"/>
      <c r="HZ18" s="111" t="n"/>
      <c r="IA18" s="111" t="n"/>
      <c r="IB18" s="111" t="n"/>
      <c r="IC18" s="111" t="n"/>
      <c r="ID18" s="111" t="n"/>
      <c r="IE18" s="111" t="n"/>
      <c r="IF18" s="111" t="n"/>
      <c r="IG18" s="111" t="n"/>
      <c r="IH18" s="111" t="n"/>
      <c r="II18" s="111" t="n"/>
      <c r="IJ18" s="111" t="n"/>
      <c r="IK18" s="111" t="n"/>
      <c r="IL18" s="111" t="n"/>
      <c r="IM18" s="111" t="n"/>
      <c r="IN18" s="111" t="n"/>
      <c r="IO18" s="111" t="n"/>
      <c r="IP18" s="111" t="n"/>
      <c r="IQ18" s="111" t="n"/>
      <c r="IR18" s="111" t="n"/>
      <c r="IS18" s="111" t="n"/>
      <c r="IT18" s="111" t="n"/>
      <c r="IU18" s="111" t="n"/>
      <c r="IV18" s="111" t="n"/>
      <c r="IW18" s="111" t="n"/>
      <c r="IX18" s="111" t="n"/>
      <c r="IY18" s="111" t="n"/>
      <c r="IZ18" s="111" t="n"/>
      <c r="JA18" s="111" t="n"/>
      <c r="JB18" s="111" t="n"/>
      <c r="JC18" s="111" t="n"/>
      <c r="JD18" s="111" t="n"/>
      <c r="JE18" s="111" t="n"/>
      <c r="JF18" s="111" t="n"/>
      <c r="JG18" s="111" t="n"/>
      <c r="JH18" s="111" t="n"/>
      <c r="JI18" s="111" t="n"/>
      <c r="JJ18" s="111" t="n"/>
      <c r="JK18" s="111" t="n"/>
      <c r="JL18" s="111" t="n"/>
      <c r="JM18" s="111" t="n"/>
      <c r="JN18" s="111" t="n"/>
      <c r="JO18" s="111" t="n"/>
      <c r="JP18" s="111" t="n"/>
      <c r="JQ18" s="111" t="n"/>
      <c r="JR18" s="111" t="n"/>
      <c r="JS18" s="111" t="n"/>
      <c r="JT18" s="111" t="n"/>
      <c r="JU18" s="111" t="n"/>
      <c r="JV18" s="111" t="n"/>
      <c r="JW18" s="111" t="n"/>
      <c r="JX18" s="111" t="n"/>
      <c r="JY18" s="111" t="n"/>
      <c r="JZ18" s="111" t="n"/>
      <c r="KA18" s="111" t="n"/>
      <c r="KB18" s="111" t="n"/>
      <c r="KC18" s="111" t="n"/>
      <c r="KD18" s="111" t="n"/>
      <c r="KE18" s="111" t="n"/>
      <c r="KF18" s="111" t="n"/>
      <c r="KG18" s="111" t="n"/>
      <c r="KH18" s="111" t="n"/>
      <c r="KI18" s="111" t="n"/>
      <c r="KJ18" s="111" t="n"/>
      <c r="KK18" s="111" t="n"/>
      <c r="KL18" s="111" t="n"/>
      <c r="KM18" s="111" t="n"/>
      <c r="KN18" s="111" t="n"/>
      <c r="KO18" s="111" t="n"/>
      <c r="KP18" s="111" t="n"/>
      <c r="KQ18" s="111" t="n"/>
      <c r="KR18" s="111" t="n"/>
      <c r="KS18" s="111" t="n"/>
      <c r="KT18" s="111" t="n"/>
      <c r="KU18" s="111" t="n"/>
      <c r="KV18" s="111" t="n"/>
      <c r="KW18" s="111" t="n"/>
      <c r="KX18" s="111" t="n"/>
      <c r="KY18" s="111" t="n"/>
      <c r="KZ18" s="111" t="n"/>
      <c r="LA18" s="111" t="n"/>
      <c r="LB18" s="111" t="n"/>
      <c r="LC18" s="111" t="n"/>
      <c r="LD18" s="111" t="n"/>
      <c r="LE18" s="111" t="n"/>
      <c r="LF18" s="111" t="n"/>
      <c r="LG18" s="111" t="n"/>
      <c r="LH18" s="111" t="n"/>
      <c r="LI18" s="111" t="n"/>
      <c r="LJ18" s="111" t="n"/>
      <c r="LK18" s="111" t="n"/>
      <c r="LL18" s="111" t="n"/>
      <c r="LM18" s="111" t="n"/>
      <c r="LN18" s="111" t="n"/>
      <c r="LO18" s="111" t="n"/>
      <c r="LP18" s="111" t="n"/>
      <c r="LQ18" s="111" t="n"/>
      <c r="LR18" s="111" t="n"/>
      <c r="LS18" s="111" t="n"/>
      <c r="LT18" s="111" t="n"/>
      <c r="LU18" s="111" t="n"/>
      <c r="LV18" s="111" t="n"/>
      <c r="LW18" s="111" t="n"/>
      <c r="LX18" s="111" t="n"/>
      <c r="LY18" s="111" t="n"/>
      <c r="LZ18" s="111" t="n"/>
      <c r="MA18" s="111" t="n"/>
      <c r="MB18" s="111" t="n"/>
      <c r="MC18" s="111" t="n"/>
      <c r="MD18" s="111" t="n"/>
      <c r="ME18" s="111" t="n"/>
      <c r="MF18" s="111" t="n"/>
      <c r="MG18" s="111" t="n"/>
      <c r="MH18" s="111" t="n"/>
      <c r="MI18" s="111" t="n"/>
      <c r="MJ18" s="111" t="n"/>
      <c r="MK18" s="111" t="n"/>
      <c r="ML18" s="111" t="n"/>
      <c r="MM18" s="111" t="n"/>
      <c r="MN18" s="111" t="n"/>
      <c r="MO18" s="111" t="n"/>
      <c r="MP18" s="111" t="n"/>
      <c r="MQ18" s="111" t="n"/>
      <c r="MR18" s="111" t="n"/>
      <c r="MS18" s="111" t="n"/>
      <c r="MT18" s="111" t="n"/>
      <c r="MU18" s="111" t="n"/>
      <c r="MV18" s="111" t="n"/>
      <c r="MW18" s="111" t="n"/>
      <c r="MX18" s="111" t="n"/>
      <c r="MY18" s="111" t="n"/>
      <c r="MZ18" s="111" t="n"/>
      <c r="NA18" s="111" t="n"/>
      <c r="NB18" s="111" t="n"/>
      <c r="NC18" s="111" t="n"/>
      <c r="ND18" s="111" t="n"/>
      <c r="NE18" s="111" t="n"/>
      <c r="NF18" s="111" t="n"/>
      <c r="NG18" s="111" t="n"/>
      <c r="NH18" s="111" t="n"/>
      <c r="NI18" s="111" t="n"/>
      <c r="NJ18" s="111" t="n"/>
      <c r="NK18" s="111" t="n"/>
      <c r="NL18" s="111" t="n"/>
      <c r="NM18" s="111" t="n"/>
      <c r="NN18" s="111" t="n"/>
      <c r="NO18" s="111" t="n"/>
      <c r="NP18" s="111" t="n"/>
      <c r="NQ18" s="111" t="n"/>
    </row>
    <row r="19" customFormat="1" s="17">
      <c r="A19" s="33">
        <f>IF(ISERROR(VALUE(SUBSTITUTE(OFFSET(A19,-1,0,1,1),".",""))),"0.1",IF(ISERROR(FIND("`",SUBSTITUTE(OFFSET(A19,-1,0,1,1),".","`",1))),OFFSET(A19,-1,0,1,1)&amp;".1",LEFT(OFFSET(A19,-1,0,1,1),FIND("`",SUBSTITUTE(OFFSET(A19,-1,0,1,1),".","`",1)))&amp;IF(ISERROR(FIND("`",SUBSTITUTE(OFFSET(A19,-1,0,1,1),".","`",2))),VALUE(RIGHT(OFFSET(A19,-1,0,1,1),LEN(OFFSET(A19,-1,0,1,1))-FIND("`",SUBSTITUTE(OFFSET(A19,-1,0,1,1),".","`",1))))+1,VALUE(MID(OFFSET(A19,-1,0,1,1),FIND("`",SUBSTITUTE(OFFSET(A19,-1,0,1,1),".","`",1))+1,(FIND("`",SUBSTITUTE(OFFSET(A19,-1,0,1,1),".","`",2))-FIND("`",SUBSTITUTE(OFFSET(A19,-1,0,1,1),".","`",1))-1)))+1)))</f>
        <v/>
      </c>
      <c r="B19" s="10" t="inlineStr">
        <is>
          <t>[ Level 2 Task ]</t>
        </is>
      </c>
      <c r="C19" s="11" t="n"/>
      <c r="D19" s="37" t="n"/>
      <c r="E19" s="37" t="n"/>
      <c r="F19" s="37" t="n"/>
      <c r="G19" s="274">
        <f>H18+1</f>
        <v/>
      </c>
      <c r="H19" s="275">
        <f>IF(K19=0,G19,WORKDAY(IF(WEEKDAY(G19,1)=7,G19+2,IF(WEEKDAY(G19,1)=1,G19+1,G19)),K19-1,holidays))</f>
        <v/>
      </c>
      <c r="I19" s="272" t="n">
        <v>41662</v>
      </c>
      <c r="J19" s="272" t="n">
        <v>41669</v>
      </c>
      <c r="K19" s="79" t="n">
        <v>6</v>
      </c>
      <c r="L19" s="80" t="n">
        <v>0.25</v>
      </c>
      <c r="M19" s="14">
        <f>IF(OR(G19=0,H19=0),0,H19-G19+1)</f>
        <v/>
      </c>
      <c r="N19" s="15">
        <f>MIN(M19,WORKDAY(G19,ROUNDDOWN(L19*K19,0),holidays)-G19)</f>
        <v/>
      </c>
      <c r="O19" s="14">
        <f>M19-N19</f>
        <v/>
      </c>
      <c r="P19" s="113" t="inlineStr">
        <is>
          <t>y</t>
        </is>
      </c>
      <c r="Q19" s="17" t="n"/>
      <c r="R19" s="111" t="n"/>
      <c r="S19" s="111" t="n"/>
      <c r="T19" s="111" t="n"/>
      <c r="U19" s="111" t="n"/>
      <c r="V19" s="111" t="n"/>
      <c r="W19" s="111" t="n"/>
      <c r="X19" s="111" t="n"/>
      <c r="Y19" s="111" t="n"/>
      <c r="Z19" s="111" t="n"/>
      <c r="AA19" s="111" t="n"/>
      <c r="AB19" s="111" t="n"/>
      <c r="AC19" s="111" t="n"/>
      <c r="AD19" s="111" t="n"/>
      <c r="AE19" s="111" t="n"/>
      <c r="AF19" s="111" t="n"/>
      <c r="AG19" s="111" t="n"/>
      <c r="AH19" s="111" t="n"/>
      <c r="AI19" s="111" t="n"/>
      <c r="AJ19" s="111" t="n"/>
      <c r="AK19" s="111" t="n"/>
      <c r="AL19" s="111" t="n"/>
      <c r="AM19" s="111" t="n"/>
      <c r="AN19" s="111" t="n"/>
      <c r="AO19" s="111" t="n"/>
      <c r="AP19" s="111" t="n"/>
      <c r="AQ19" s="111" t="n"/>
      <c r="AR19" s="111" t="n"/>
      <c r="AS19" s="111" t="n"/>
      <c r="AT19" s="111" t="n"/>
      <c r="AU19" s="111" t="n"/>
      <c r="AV19" s="111" t="n"/>
      <c r="AW19" s="111" t="n"/>
      <c r="AX19" s="111" t="n"/>
      <c r="AY19" s="111" t="n"/>
      <c r="AZ19" s="111" t="n"/>
      <c r="BA19" s="111" t="n"/>
      <c r="BB19" s="111" t="n"/>
      <c r="BC19" s="111" t="n"/>
      <c r="BD19" s="111" t="n"/>
      <c r="BE19" s="111" t="n"/>
      <c r="BF19" s="111" t="n"/>
      <c r="BG19" s="111" t="n"/>
      <c r="BH19" s="111" t="n"/>
      <c r="BI19" s="111" t="n"/>
      <c r="BJ19" s="111" t="n"/>
      <c r="BK19" s="111" t="n"/>
      <c r="BL19" s="111" t="n"/>
      <c r="BM19" s="111" t="n"/>
      <c r="BN19" s="111" t="n"/>
      <c r="BO19" s="111" t="n"/>
      <c r="BP19" s="111" t="n"/>
      <c r="BQ19" s="111" t="n"/>
      <c r="BR19" s="111" t="n"/>
      <c r="BS19" s="111" t="n"/>
      <c r="BT19" s="111" t="n"/>
      <c r="BU19" s="111" t="n"/>
      <c r="BV19" s="111" t="n"/>
      <c r="BW19" s="111" t="n"/>
      <c r="BX19" s="111" t="n"/>
      <c r="BY19" s="111" t="n"/>
      <c r="BZ19" s="111" t="n"/>
      <c r="CA19" s="111" t="n"/>
      <c r="CB19" s="111" t="n"/>
      <c r="CC19" s="111" t="n"/>
      <c r="CD19" s="111" t="n"/>
      <c r="CE19" s="111" t="n"/>
      <c r="CF19" s="111" t="n"/>
      <c r="CG19" s="111" t="n"/>
      <c r="CH19" s="111" t="n"/>
      <c r="CI19" s="111" t="n"/>
      <c r="CJ19" s="111" t="n"/>
      <c r="CK19" s="111" t="n"/>
      <c r="CL19" s="111" t="n"/>
      <c r="CM19" s="111" t="n"/>
      <c r="CN19" s="111" t="n"/>
      <c r="CO19" s="111" t="n"/>
      <c r="CP19" s="111" t="n"/>
      <c r="CQ19" s="111" t="n"/>
      <c r="CR19" s="111" t="n"/>
      <c r="CS19" s="111" t="n"/>
      <c r="CT19" s="111" t="n"/>
      <c r="CU19" s="111" t="n"/>
      <c r="CV19" s="111" t="n"/>
      <c r="CW19" s="111" t="n"/>
      <c r="CX19" s="111" t="n"/>
      <c r="CY19" s="111" t="n"/>
      <c r="CZ19" s="111" t="n"/>
      <c r="DA19" s="111" t="n"/>
      <c r="DB19" s="111" t="n"/>
      <c r="DC19" s="111" t="n"/>
      <c r="DD19" s="111" t="n"/>
      <c r="DE19" s="111" t="n"/>
      <c r="DF19" s="111" t="n"/>
      <c r="DG19" s="111" t="n"/>
      <c r="DH19" s="111" t="n"/>
      <c r="DI19" s="111" t="n"/>
      <c r="DJ19" s="111" t="n"/>
      <c r="DK19" s="111" t="n"/>
      <c r="DL19" s="111" t="n"/>
      <c r="DM19" s="111" t="n"/>
      <c r="DN19" s="111" t="n"/>
      <c r="DO19" s="111" t="n"/>
      <c r="DP19" s="111" t="n"/>
      <c r="DQ19" s="111" t="n"/>
      <c r="DR19" s="111" t="n"/>
      <c r="DS19" s="111" t="n"/>
      <c r="DT19" s="111" t="n"/>
      <c r="DU19" s="111" t="n"/>
      <c r="DV19" s="111" t="n"/>
      <c r="DW19" s="111" t="n"/>
      <c r="DX19" s="111" t="n"/>
      <c r="DY19" s="111" t="n"/>
      <c r="DZ19" s="111" t="n"/>
      <c r="EA19" s="111" t="n"/>
      <c r="EB19" s="111" t="n"/>
      <c r="EC19" s="111" t="n"/>
      <c r="ED19" s="111" t="n"/>
      <c r="EE19" s="111" t="n"/>
      <c r="EF19" s="111" t="n"/>
      <c r="EG19" s="111" t="n"/>
      <c r="EH19" s="111" t="n"/>
      <c r="EI19" s="111" t="n"/>
      <c r="EJ19" s="111" t="n"/>
      <c r="EK19" s="111" t="n"/>
      <c r="EL19" s="111" t="n"/>
      <c r="EM19" s="111" t="n"/>
      <c r="EN19" s="111" t="n"/>
      <c r="EO19" s="111" t="n"/>
      <c r="EP19" s="111" t="n"/>
      <c r="EQ19" s="111" t="n"/>
      <c r="ER19" s="111" t="n"/>
      <c r="ES19" s="111" t="n"/>
      <c r="ET19" s="111" t="n"/>
      <c r="EU19" s="111" t="n"/>
      <c r="EV19" s="111" t="n"/>
      <c r="EW19" s="111" t="n"/>
      <c r="EX19" s="111" t="n"/>
      <c r="EY19" s="111" t="n"/>
      <c r="EZ19" s="111" t="n"/>
      <c r="FA19" s="111" t="n"/>
      <c r="FB19" s="111" t="n"/>
      <c r="FC19" s="111" t="n"/>
      <c r="FD19" s="111" t="n"/>
      <c r="FE19" s="111" t="n"/>
      <c r="FF19" s="111" t="n"/>
      <c r="FG19" s="111" t="n"/>
      <c r="FH19" s="111" t="n"/>
      <c r="FI19" s="111" t="n"/>
      <c r="FJ19" s="111" t="n"/>
      <c r="FK19" s="111" t="n"/>
      <c r="FL19" s="111" t="n"/>
      <c r="FM19" s="111" t="n"/>
      <c r="FN19" s="111" t="n"/>
      <c r="FO19" s="111" t="n"/>
      <c r="FP19" s="111" t="n"/>
      <c r="FQ19" s="111" t="n"/>
      <c r="FR19" s="111" t="n"/>
      <c r="FS19" s="111" t="n"/>
      <c r="FT19" s="111" t="n"/>
      <c r="FU19" s="111" t="n"/>
      <c r="FV19" s="111" t="n"/>
      <c r="FW19" s="111" t="n"/>
      <c r="FX19" s="111" t="n"/>
      <c r="FY19" s="111" t="n"/>
      <c r="FZ19" s="111" t="n"/>
      <c r="GA19" s="111" t="n"/>
      <c r="GB19" s="111" t="n"/>
      <c r="GC19" s="111" t="n"/>
      <c r="GD19" s="111" t="n"/>
      <c r="GE19" s="111" t="n"/>
      <c r="GF19" s="111" t="n"/>
      <c r="GG19" s="111" t="n"/>
      <c r="GH19" s="111" t="n"/>
      <c r="GI19" s="111" t="n"/>
      <c r="GJ19" s="111" t="n"/>
      <c r="GK19" s="111" t="n"/>
      <c r="GL19" s="111" t="n"/>
      <c r="GM19" s="111" t="n"/>
      <c r="GN19" s="111" t="n"/>
      <c r="GO19" s="111" t="n"/>
      <c r="GP19" s="111" t="n"/>
      <c r="GQ19" s="111" t="n"/>
      <c r="GR19" s="111" t="n"/>
      <c r="GS19" s="111" t="n"/>
      <c r="GT19" s="111" t="n"/>
      <c r="GU19" s="111" t="n"/>
      <c r="GV19" s="111" t="n"/>
      <c r="GW19" s="111" t="n"/>
      <c r="GX19" s="111" t="n"/>
      <c r="GY19" s="111" t="n"/>
      <c r="GZ19" s="111" t="n"/>
      <c r="HA19" s="111" t="n"/>
      <c r="HB19" s="111" t="n"/>
      <c r="HC19" s="111" t="n"/>
      <c r="HD19" s="111" t="n"/>
      <c r="HE19" s="111" t="n"/>
      <c r="HF19" s="111" t="n"/>
      <c r="HG19" s="111" t="n"/>
      <c r="HH19" s="111" t="n"/>
      <c r="HI19" s="111" t="n"/>
      <c r="HJ19" s="111" t="n"/>
      <c r="HK19" s="111" t="n"/>
      <c r="HL19" s="111" t="n"/>
      <c r="HM19" s="111" t="n"/>
      <c r="HN19" s="111" t="n"/>
      <c r="HO19" s="111" t="n"/>
      <c r="HP19" s="111" t="n"/>
      <c r="HQ19" s="111" t="n"/>
      <c r="HR19" s="111" t="n"/>
      <c r="HS19" s="111" t="n"/>
      <c r="HT19" s="111" t="n"/>
      <c r="HU19" s="111" t="n"/>
      <c r="HV19" s="111" t="n"/>
      <c r="HW19" s="111" t="n"/>
      <c r="HX19" s="111" t="n"/>
      <c r="HY19" s="111" t="n"/>
      <c r="HZ19" s="111" t="n"/>
      <c r="IA19" s="111" t="n"/>
      <c r="IB19" s="111" t="n"/>
      <c r="IC19" s="111" t="n"/>
      <c r="ID19" s="111" t="n"/>
      <c r="IE19" s="111" t="n"/>
      <c r="IF19" s="111" t="n"/>
      <c r="IG19" s="111" t="n"/>
      <c r="IH19" s="111" t="n"/>
      <c r="II19" s="111" t="n"/>
      <c r="IJ19" s="111" t="n"/>
      <c r="IK19" s="111" t="n"/>
      <c r="IL19" s="111" t="n"/>
      <c r="IM19" s="111" t="n"/>
      <c r="IN19" s="111" t="n"/>
      <c r="IO19" s="111" t="n"/>
      <c r="IP19" s="111" t="n"/>
      <c r="IQ19" s="111" t="n"/>
      <c r="IR19" s="111" t="n"/>
      <c r="IS19" s="111" t="n"/>
      <c r="IT19" s="111" t="n"/>
      <c r="IU19" s="111" t="n"/>
      <c r="IV19" s="111" t="n"/>
      <c r="IW19" s="111" t="n"/>
      <c r="IX19" s="111" t="n"/>
      <c r="IY19" s="111" t="n"/>
      <c r="IZ19" s="111" t="n"/>
      <c r="JA19" s="111" t="n"/>
      <c r="JB19" s="111" t="n"/>
      <c r="JC19" s="111" t="n"/>
      <c r="JD19" s="111" t="n"/>
      <c r="JE19" s="111" t="n"/>
      <c r="JF19" s="111" t="n"/>
      <c r="JG19" s="111" t="n"/>
      <c r="JH19" s="111" t="n"/>
      <c r="JI19" s="111" t="n"/>
      <c r="JJ19" s="111" t="n"/>
      <c r="JK19" s="111" t="n"/>
      <c r="JL19" s="111" t="n"/>
      <c r="JM19" s="111" t="n"/>
      <c r="JN19" s="111" t="n"/>
      <c r="JO19" s="111" t="n"/>
      <c r="JP19" s="111" t="n"/>
      <c r="JQ19" s="111" t="n"/>
      <c r="JR19" s="111" t="n"/>
      <c r="JS19" s="111" t="n"/>
      <c r="JT19" s="111" t="n"/>
      <c r="JU19" s="111" t="n"/>
      <c r="JV19" s="111" t="n"/>
      <c r="JW19" s="111" t="n"/>
      <c r="JX19" s="111" t="n"/>
      <c r="JY19" s="111" t="n"/>
      <c r="JZ19" s="111" t="n"/>
      <c r="KA19" s="111" t="n"/>
      <c r="KB19" s="111" t="n"/>
      <c r="KC19" s="111" t="n"/>
      <c r="KD19" s="111" t="n"/>
      <c r="KE19" s="111" t="n"/>
      <c r="KF19" s="111" t="n"/>
      <c r="KG19" s="111" t="n"/>
      <c r="KH19" s="111" t="n"/>
      <c r="KI19" s="111" t="n"/>
      <c r="KJ19" s="111" t="n"/>
      <c r="KK19" s="111" t="n"/>
      <c r="KL19" s="111" t="n"/>
      <c r="KM19" s="111" t="n"/>
      <c r="KN19" s="111" t="n"/>
      <c r="KO19" s="111" t="n"/>
      <c r="KP19" s="111" t="n"/>
      <c r="KQ19" s="111" t="n"/>
      <c r="KR19" s="111" t="n"/>
      <c r="KS19" s="111" t="n"/>
      <c r="KT19" s="111" t="n"/>
      <c r="KU19" s="111" t="n"/>
      <c r="KV19" s="111" t="n"/>
      <c r="KW19" s="111" t="n"/>
      <c r="KX19" s="111" t="n"/>
      <c r="KY19" s="111" t="n"/>
      <c r="KZ19" s="111" t="n"/>
      <c r="LA19" s="111" t="n"/>
      <c r="LB19" s="111" t="n"/>
      <c r="LC19" s="111" t="n"/>
      <c r="LD19" s="111" t="n"/>
      <c r="LE19" s="111" t="n"/>
      <c r="LF19" s="111" t="n"/>
      <c r="LG19" s="111" t="n"/>
      <c r="LH19" s="111" t="n"/>
      <c r="LI19" s="111" t="n"/>
      <c r="LJ19" s="111" t="n"/>
      <c r="LK19" s="111" t="n"/>
      <c r="LL19" s="111" t="n"/>
      <c r="LM19" s="111" t="n"/>
      <c r="LN19" s="111" t="n"/>
      <c r="LO19" s="111" t="n"/>
      <c r="LP19" s="111" t="n"/>
      <c r="LQ19" s="111" t="n"/>
      <c r="LR19" s="111" t="n"/>
      <c r="LS19" s="111" t="n"/>
      <c r="LT19" s="111" t="n"/>
      <c r="LU19" s="111" t="n"/>
      <c r="LV19" s="111" t="n"/>
      <c r="LW19" s="111" t="n"/>
      <c r="LX19" s="111" t="n"/>
      <c r="LY19" s="111" t="n"/>
      <c r="LZ19" s="111" t="n"/>
      <c r="MA19" s="111" t="n"/>
      <c r="MB19" s="111" t="n"/>
      <c r="MC19" s="111" t="n"/>
      <c r="MD19" s="111" t="n"/>
      <c r="ME19" s="111" t="n"/>
      <c r="MF19" s="111" t="n"/>
      <c r="MG19" s="111" t="n"/>
      <c r="MH19" s="111" t="n"/>
      <c r="MI19" s="111" t="n"/>
      <c r="MJ19" s="111" t="n"/>
      <c r="MK19" s="111" t="n"/>
      <c r="ML19" s="111" t="n"/>
      <c r="MM19" s="111" t="n"/>
      <c r="MN19" s="111" t="n"/>
      <c r="MO19" s="111" t="n"/>
      <c r="MP19" s="111" t="n"/>
      <c r="MQ19" s="111" t="n"/>
      <c r="MR19" s="111" t="n"/>
      <c r="MS19" s="111" t="n"/>
      <c r="MT19" s="111" t="n"/>
      <c r="MU19" s="111" t="n"/>
      <c r="MV19" s="111" t="n"/>
      <c r="MW19" s="111" t="n"/>
      <c r="MX19" s="111" t="n"/>
      <c r="MY19" s="111" t="n"/>
      <c r="MZ19" s="111" t="n"/>
      <c r="NA19" s="111" t="n"/>
      <c r="NB19" s="111" t="n"/>
      <c r="NC19" s="111" t="n"/>
      <c r="ND19" s="111" t="n"/>
      <c r="NE19" s="111" t="n"/>
      <c r="NF19" s="111" t="n"/>
      <c r="NG19" s="111" t="n"/>
      <c r="NH19" s="111" t="n"/>
      <c r="NI19" s="111" t="n"/>
      <c r="NJ19" s="111" t="n"/>
      <c r="NK19" s="111" t="n"/>
      <c r="NL19" s="111" t="n"/>
      <c r="NM19" s="111" t="n"/>
      <c r="NN19" s="111" t="n"/>
      <c r="NO19" s="111" t="n"/>
      <c r="NP19" s="111" t="n"/>
      <c r="NQ19" s="111" t="n"/>
    </row>
    <row r="20" customFormat="1" s="17">
      <c r="A20" s="33">
        <f>IF(ISERROR(VALUE(SUBSTITUTE(OFFSET(A20,-1,0,1,1),".",""))),"0.1",IF(ISERROR(FIND("`",SUBSTITUTE(OFFSET(A20,-1,0,1,1),".","`",1))),OFFSET(A20,-1,0,1,1)&amp;".1",LEFT(OFFSET(A20,-1,0,1,1),FIND("`",SUBSTITUTE(OFFSET(A20,-1,0,1,1),".","`",1)))&amp;IF(ISERROR(FIND("`",SUBSTITUTE(OFFSET(A20,-1,0,1,1),".","`",2))),VALUE(RIGHT(OFFSET(A20,-1,0,1,1),LEN(OFFSET(A20,-1,0,1,1))-FIND("`",SUBSTITUTE(OFFSET(A20,-1,0,1,1),".","`",1))))+1,VALUE(MID(OFFSET(A20,-1,0,1,1),FIND("`",SUBSTITUTE(OFFSET(A20,-1,0,1,1),".","`",1))+1,(FIND("`",SUBSTITUTE(OFFSET(A20,-1,0,1,1),".","`",2))-FIND("`",SUBSTITUTE(OFFSET(A20,-1,0,1,1),".","`",1))-1)))+1)))</f>
        <v/>
      </c>
      <c r="B20" s="10" t="inlineStr">
        <is>
          <t>[ Level 2 Task ]</t>
        </is>
      </c>
      <c r="C20" s="11" t="n"/>
      <c r="D20" s="37" t="n"/>
      <c r="E20" s="37" t="n"/>
      <c r="F20" s="37" t="n"/>
      <c r="G20" s="274">
        <f>H19+1</f>
        <v/>
      </c>
      <c r="H20" s="275">
        <f>IF(K20=0,G20,WORKDAY(IF(WEEKDAY(G20,1)=7,G20+2,IF(WEEKDAY(G20,1)=1,G20+1,G20)),K20-1,holidays))</f>
        <v/>
      </c>
      <c r="I20" s="272" t="n">
        <v>41670</v>
      </c>
      <c r="J20" s="272" t="n">
        <v>41680</v>
      </c>
      <c r="K20" s="79" t="n">
        <v>7</v>
      </c>
      <c r="L20" s="80" t="n">
        <v>0.25</v>
      </c>
      <c r="M20" s="14">
        <f>IF(OR(G20=0,H20=0),0,H20-G20+1)</f>
        <v/>
      </c>
      <c r="N20" s="15">
        <f>MIN(M20,WORKDAY(G20,ROUNDDOWN(L20*K20,0),holidays)-G20)</f>
        <v/>
      </c>
      <c r="O20" s="14">
        <f>M20-N20</f>
        <v/>
      </c>
      <c r="P20" s="113" t="inlineStr">
        <is>
          <t>o</t>
        </is>
      </c>
      <c r="Q20" s="17" t="n"/>
      <c r="R20" s="111" t="n"/>
      <c r="S20" s="111" t="n"/>
      <c r="T20" s="111" t="n"/>
      <c r="U20" s="111" t="n"/>
      <c r="V20" s="111" t="n"/>
      <c r="W20" s="111" t="n"/>
      <c r="X20" s="111" t="n"/>
      <c r="Y20" s="111" t="n"/>
      <c r="Z20" s="111" t="n"/>
      <c r="AA20" s="111" t="n"/>
      <c r="AB20" s="111" t="n"/>
      <c r="AC20" s="111" t="n"/>
      <c r="AD20" s="111" t="n"/>
      <c r="AE20" s="111" t="n"/>
      <c r="AF20" s="111" t="n"/>
      <c r="AG20" s="111" t="n"/>
      <c r="AH20" s="111" t="n"/>
      <c r="AI20" s="111" t="n"/>
      <c r="AJ20" s="111" t="n"/>
      <c r="AK20" s="111" t="n"/>
      <c r="AL20" s="111" t="n"/>
      <c r="AM20" s="111" t="n"/>
      <c r="AN20" s="111" t="n"/>
      <c r="AO20" s="111" t="n"/>
      <c r="AP20" s="111" t="n"/>
      <c r="AQ20" s="111" t="n"/>
      <c r="AR20" s="111" t="n"/>
      <c r="AS20" s="111" t="n"/>
      <c r="AT20" s="111" t="n"/>
      <c r="AU20" s="111" t="n"/>
      <c r="AV20" s="111" t="n"/>
      <c r="AW20" s="111" t="n"/>
      <c r="AX20" s="111" t="n"/>
      <c r="AY20" s="111" t="n"/>
      <c r="AZ20" s="111" t="n"/>
      <c r="BA20" s="111" t="n"/>
      <c r="BB20" s="111" t="n"/>
      <c r="BC20" s="111" t="n"/>
      <c r="BD20" s="111" t="n"/>
      <c r="BE20" s="111" t="n"/>
      <c r="BF20" s="111" t="n"/>
      <c r="BG20" s="111" t="n"/>
      <c r="BH20" s="111" t="n"/>
      <c r="BI20" s="111" t="n"/>
      <c r="BJ20" s="111" t="n"/>
      <c r="BK20" s="111" t="n"/>
      <c r="BL20" s="111" t="n"/>
      <c r="BM20" s="111" t="n"/>
      <c r="BN20" s="111" t="n"/>
      <c r="BO20" s="111" t="n"/>
      <c r="BP20" s="111" t="n"/>
      <c r="BQ20" s="111" t="n"/>
      <c r="BR20" s="111" t="n"/>
      <c r="BS20" s="111" t="n"/>
      <c r="BT20" s="111" t="n"/>
      <c r="BU20" s="111" t="n"/>
      <c r="BV20" s="111" t="n"/>
      <c r="BW20" s="111" t="n"/>
      <c r="BX20" s="111" t="n"/>
      <c r="BY20" s="111" t="n"/>
      <c r="BZ20" s="111" t="n"/>
      <c r="CA20" s="111" t="n"/>
      <c r="CB20" s="111" t="n"/>
      <c r="CC20" s="111" t="n"/>
      <c r="CD20" s="111" t="n"/>
      <c r="CE20" s="111" t="n"/>
      <c r="CF20" s="111" t="n"/>
      <c r="CG20" s="111" t="n"/>
      <c r="CH20" s="111" t="n"/>
      <c r="CI20" s="111" t="n"/>
      <c r="CJ20" s="111" t="n"/>
      <c r="CK20" s="111" t="n"/>
      <c r="CL20" s="111" t="n"/>
      <c r="CM20" s="111" t="n"/>
      <c r="CN20" s="111" t="n"/>
      <c r="CO20" s="111" t="n"/>
      <c r="CP20" s="111" t="n"/>
      <c r="CQ20" s="111" t="n"/>
      <c r="CR20" s="111" t="n"/>
      <c r="CS20" s="111" t="n"/>
      <c r="CT20" s="111" t="n"/>
      <c r="CU20" s="111" t="n"/>
      <c r="CV20" s="111" t="n"/>
      <c r="CW20" s="111" t="n"/>
      <c r="CX20" s="111" t="n"/>
      <c r="CY20" s="111" t="n"/>
      <c r="CZ20" s="111" t="n"/>
      <c r="DA20" s="111" t="n"/>
      <c r="DB20" s="111" t="n"/>
      <c r="DC20" s="111" t="n"/>
      <c r="DD20" s="111" t="n"/>
      <c r="DE20" s="111" t="n"/>
      <c r="DF20" s="111" t="n"/>
      <c r="DG20" s="111" t="n"/>
      <c r="DH20" s="111" t="n"/>
      <c r="DI20" s="111" t="n"/>
      <c r="DJ20" s="111" t="n"/>
      <c r="DK20" s="111" t="n"/>
      <c r="DL20" s="111" t="n"/>
      <c r="DM20" s="111" t="n"/>
      <c r="DN20" s="111" t="n"/>
      <c r="DO20" s="111" t="n"/>
      <c r="DP20" s="111" t="n"/>
      <c r="DQ20" s="111" t="n"/>
      <c r="DR20" s="111" t="n"/>
      <c r="DS20" s="111" t="n"/>
      <c r="DT20" s="111" t="n"/>
      <c r="DU20" s="111" t="n"/>
      <c r="DV20" s="111" t="n"/>
      <c r="DW20" s="111" t="n"/>
      <c r="DX20" s="111" t="n"/>
      <c r="DY20" s="111" t="n"/>
      <c r="DZ20" s="111" t="n"/>
      <c r="EA20" s="111" t="n"/>
      <c r="EB20" s="111" t="n"/>
      <c r="EC20" s="111" t="n"/>
      <c r="ED20" s="111" t="n"/>
      <c r="EE20" s="111" t="n"/>
      <c r="EF20" s="111" t="n"/>
      <c r="EG20" s="111" t="n"/>
      <c r="EH20" s="111" t="n"/>
      <c r="EI20" s="111" t="n"/>
      <c r="EJ20" s="111" t="n"/>
      <c r="EK20" s="111" t="n"/>
      <c r="EL20" s="111" t="n"/>
      <c r="EM20" s="111" t="n"/>
      <c r="EN20" s="111" t="n"/>
      <c r="EO20" s="111" t="n"/>
      <c r="EP20" s="111" t="n"/>
      <c r="EQ20" s="111" t="n"/>
      <c r="ER20" s="111" t="n"/>
      <c r="ES20" s="111" t="n"/>
      <c r="ET20" s="111" t="n"/>
      <c r="EU20" s="111" t="n"/>
      <c r="EV20" s="111" t="n"/>
      <c r="EW20" s="111" t="n"/>
      <c r="EX20" s="111" t="n"/>
      <c r="EY20" s="111" t="n"/>
      <c r="EZ20" s="111" t="n"/>
      <c r="FA20" s="111" t="n"/>
      <c r="FB20" s="111" t="n"/>
      <c r="FC20" s="111" t="n"/>
      <c r="FD20" s="111" t="n"/>
      <c r="FE20" s="111" t="n"/>
      <c r="FF20" s="111" t="n"/>
      <c r="FG20" s="111" t="n"/>
      <c r="FH20" s="111" t="n"/>
      <c r="FI20" s="111" t="n"/>
      <c r="FJ20" s="111" t="n"/>
      <c r="FK20" s="111" t="n"/>
      <c r="FL20" s="111" t="n"/>
      <c r="FM20" s="111" t="n"/>
      <c r="FN20" s="111" t="n"/>
      <c r="FO20" s="111" t="n"/>
      <c r="FP20" s="111" t="n"/>
      <c r="FQ20" s="111" t="n"/>
      <c r="FR20" s="111" t="n"/>
      <c r="FS20" s="111" t="n"/>
      <c r="FT20" s="111" t="n"/>
      <c r="FU20" s="111" t="n"/>
      <c r="FV20" s="111" t="n"/>
      <c r="FW20" s="111" t="n"/>
      <c r="FX20" s="111" t="n"/>
      <c r="FY20" s="111" t="n"/>
      <c r="FZ20" s="111" t="n"/>
      <c r="GA20" s="111" t="n"/>
      <c r="GB20" s="111" t="n"/>
      <c r="GC20" s="111" t="n"/>
      <c r="GD20" s="111" t="n"/>
      <c r="GE20" s="111" t="n"/>
      <c r="GF20" s="111" t="n"/>
      <c r="GG20" s="111" t="n"/>
      <c r="GH20" s="111" t="n"/>
      <c r="GI20" s="111" t="n"/>
      <c r="GJ20" s="111" t="n"/>
      <c r="GK20" s="111" t="n"/>
      <c r="GL20" s="111" t="n"/>
      <c r="GM20" s="111" t="n"/>
      <c r="GN20" s="111" t="n"/>
      <c r="GO20" s="111" t="n"/>
      <c r="GP20" s="111" t="n"/>
      <c r="GQ20" s="111" t="n"/>
      <c r="GR20" s="111" t="n"/>
      <c r="GS20" s="111" t="n"/>
      <c r="GT20" s="111" t="n"/>
      <c r="GU20" s="111" t="n"/>
      <c r="GV20" s="111" t="n"/>
      <c r="GW20" s="111" t="n"/>
      <c r="GX20" s="111" t="n"/>
      <c r="GY20" s="111" t="n"/>
      <c r="GZ20" s="111" t="n"/>
      <c r="HA20" s="111" t="n"/>
      <c r="HB20" s="111" t="n"/>
      <c r="HC20" s="111" t="n"/>
      <c r="HD20" s="111" t="n"/>
      <c r="HE20" s="111" t="n"/>
      <c r="HF20" s="111" t="n"/>
      <c r="HG20" s="111" t="n"/>
      <c r="HH20" s="111" t="n"/>
      <c r="HI20" s="111" t="n"/>
      <c r="HJ20" s="111" t="n"/>
      <c r="HK20" s="111" t="n"/>
      <c r="HL20" s="111" t="n"/>
      <c r="HM20" s="111" t="n"/>
      <c r="HN20" s="111" t="n"/>
      <c r="HO20" s="111" t="n"/>
      <c r="HP20" s="111" t="n"/>
      <c r="HQ20" s="111" t="n"/>
      <c r="HR20" s="111" t="n"/>
      <c r="HS20" s="111" t="n"/>
      <c r="HT20" s="111" t="n"/>
      <c r="HU20" s="111" t="n"/>
      <c r="HV20" s="111" t="n"/>
      <c r="HW20" s="111" t="n"/>
      <c r="HX20" s="111" t="n"/>
      <c r="HY20" s="111" t="n"/>
      <c r="HZ20" s="111" t="n"/>
      <c r="IA20" s="111" t="n"/>
      <c r="IB20" s="111" t="n"/>
      <c r="IC20" s="111" t="n"/>
      <c r="ID20" s="111" t="n"/>
      <c r="IE20" s="111" t="n"/>
      <c r="IF20" s="111" t="n"/>
      <c r="IG20" s="111" t="n"/>
      <c r="IH20" s="111" t="n"/>
      <c r="II20" s="111" t="n"/>
      <c r="IJ20" s="111" t="n"/>
      <c r="IK20" s="111" t="n"/>
      <c r="IL20" s="111" t="n"/>
      <c r="IM20" s="111" t="n"/>
      <c r="IN20" s="111" t="n"/>
      <c r="IO20" s="111" t="n"/>
      <c r="IP20" s="111" t="n"/>
      <c r="IQ20" s="111" t="n"/>
      <c r="IR20" s="111" t="n"/>
      <c r="IS20" s="111" t="n"/>
      <c r="IT20" s="111" t="n"/>
      <c r="IU20" s="111" t="n"/>
      <c r="IV20" s="111" t="n"/>
      <c r="IW20" s="111" t="n"/>
      <c r="IX20" s="111" t="n"/>
      <c r="IY20" s="111" t="n"/>
      <c r="IZ20" s="111" t="n"/>
      <c r="JA20" s="111" t="n"/>
      <c r="JB20" s="111" t="n"/>
      <c r="JC20" s="111" t="n"/>
      <c r="JD20" s="111" t="n"/>
      <c r="JE20" s="111" t="n"/>
      <c r="JF20" s="111" t="n"/>
      <c r="JG20" s="111" t="n"/>
      <c r="JH20" s="111" t="n"/>
      <c r="JI20" s="111" t="n"/>
      <c r="JJ20" s="111" t="n"/>
      <c r="JK20" s="111" t="n"/>
      <c r="JL20" s="111" t="n"/>
      <c r="JM20" s="111" t="n"/>
      <c r="JN20" s="111" t="n"/>
      <c r="JO20" s="111" t="n"/>
      <c r="JP20" s="111" t="n"/>
      <c r="JQ20" s="111" t="n"/>
      <c r="JR20" s="111" t="n"/>
      <c r="JS20" s="111" t="n"/>
      <c r="JT20" s="111" t="n"/>
      <c r="JU20" s="111" t="n"/>
      <c r="JV20" s="111" t="n"/>
      <c r="JW20" s="111" t="n"/>
      <c r="JX20" s="111" t="n"/>
      <c r="JY20" s="111" t="n"/>
      <c r="JZ20" s="111" t="n"/>
      <c r="KA20" s="111" t="n"/>
      <c r="KB20" s="111" t="n"/>
      <c r="KC20" s="111" t="n"/>
      <c r="KD20" s="111" t="n"/>
      <c r="KE20" s="111" t="n"/>
      <c r="KF20" s="111" t="n"/>
      <c r="KG20" s="111" t="n"/>
      <c r="KH20" s="111" t="n"/>
      <c r="KI20" s="111" t="n"/>
      <c r="KJ20" s="111" t="n"/>
      <c r="KK20" s="111" t="n"/>
      <c r="KL20" s="111" t="n"/>
      <c r="KM20" s="111" t="n"/>
      <c r="KN20" s="111" t="n"/>
      <c r="KO20" s="111" t="n"/>
      <c r="KP20" s="111" t="n"/>
      <c r="KQ20" s="111" t="n"/>
      <c r="KR20" s="111" t="n"/>
      <c r="KS20" s="111" t="n"/>
      <c r="KT20" s="111" t="n"/>
      <c r="KU20" s="111" t="n"/>
      <c r="KV20" s="111" t="n"/>
      <c r="KW20" s="111" t="n"/>
      <c r="KX20" s="111" t="n"/>
      <c r="KY20" s="111" t="n"/>
      <c r="KZ20" s="111" t="n"/>
      <c r="LA20" s="111" t="n"/>
      <c r="LB20" s="111" t="n"/>
      <c r="LC20" s="111" t="n"/>
      <c r="LD20" s="111" t="n"/>
      <c r="LE20" s="111" t="n"/>
      <c r="LF20" s="111" t="n"/>
      <c r="LG20" s="111" t="n"/>
      <c r="LH20" s="111" t="n"/>
      <c r="LI20" s="111" t="n"/>
      <c r="LJ20" s="111" t="n"/>
      <c r="LK20" s="111" t="n"/>
      <c r="LL20" s="111" t="n"/>
      <c r="LM20" s="111" t="n"/>
      <c r="LN20" s="111" t="n"/>
      <c r="LO20" s="111" t="n"/>
      <c r="LP20" s="111" t="n"/>
      <c r="LQ20" s="111" t="n"/>
      <c r="LR20" s="111" t="n"/>
      <c r="LS20" s="111" t="n"/>
      <c r="LT20" s="111" t="n"/>
      <c r="LU20" s="111" t="n"/>
      <c r="LV20" s="111" t="n"/>
      <c r="LW20" s="111" t="n"/>
      <c r="LX20" s="111" t="n"/>
      <c r="LY20" s="111" t="n"/>
      <c r="LZ20" s="111" t="n"/>
      <c r="MA20" s="111" t="n"/>
      <c r="MB20" s="111" t="n"/>
      <c r="MC20" s="111" t="n"/>
      <c r="MD20" s="111" t="n"/>
      <c r="ME20" s="111" t="n"/>
      <c r="MF20" s="111" t="n"/>
      <c r="MG20" s="111" t="n"/>
      <c r="MH20" s="111" t="n"/>
      <c r="MI20" s="111" t="n"/>
      <c r="MJ20" s="111" t="n"/>
      <c r="MK20" s="111" t="n"/>
      <c r="ML20" s="111" t="n"/>
      <c r="MM20" s="111" t="n"/>
      <c r="MN20" s="111" t="n"/>
      <c r="MO20" s="111" t="n"/>
      <c r="MP20" s="111" t="n"/>
      <c r="MQ20" s="111" t="n"/>
      <c r="MR20" s="111" t="n"/>
      <c r="MS20" s="111" t="n"/>
      <c r="MT20" s="111" t="n"/>
      <c r="MU20" s="111" t="n"/>
      <c r="MV20" s="111" t="n"/>
      <c r="MW20" s="111" t="n"/>
      <c r="MX20" s="111" t="n"/>
      <c r="MY20" s="111" t="n"/>
      <c r="MZ20" s="111" t="n"/>
      <c r="NA20" s="111" t="n"/>
      <c r="NB20" s="111" t="n"/>
      <c r="NC20" s="111" t="n"/>
      <c r="ND20" s="111" t="n"/>
      <c r="NE20" s="111" t="n"/>
      <c r="NF20" s="111" t="n"/>
      <c r="NG20" s="111" t="n"/>
      <c r="NH20" s="111" t="n"/>
      <c r="NI20" s="111" t="n"/>
      <c r="NJ20" s="111" t="n"/>
      <c r="NK20" s="111" t="n"/>
      <c r="NL20" s="111" t="n"/>
      <c r="NM20" s="111" t="n"/>
      <c r="NN20" s="111" t="n"/>
      <c r="NO20" s="111" t="n"/>
      <c r="NP20" s="111" t="n"/>
      <c r="NQ20" s="111" t="n"/>
    </row>
    <row r="21" customFormat="1" s="17">
      <c r="A21" s="33">
        <f>IF(ISERROR(VALUE(SUBSTITUTE(OFFSET(A21,-1,0,1,1),".",""))),"0.1",IF(ISERROR(FIND("`",SUBSTITUTE(OFFSET(A21,-1,0,1,1),".","`",1))),OFFSET(A21,-1,0,1,1)&amp;".1",LEFT(OFFSET(A21,-1,0,1,1),FIND("`",SUBSTITUTE(OFFSET(A21,-1,0,1,1),".","`",1)))&amp;IF(ISERROR(FIND("`",SUBSTITUTE(OFFSET(A21,-1,0,1,1),".","`",2))),VALUE(RIGHT(OFFSET(A21,-1,0,1,1),LEN(OFFSET(A21,-1,0,1,1))-FIND("`",SUBSTITUTE(OFFSET(A21,-1,0,1,1),".","`",1))))+1,VALUE(MID(OFFSET(A21,-1,0,1,1),FIND("`",SUBSTITUTE(OFFSET(A21,-1,0,1,1),".","`",1))+1,(FIND("`",SUBSTITUTE(OFFSET(A21,-1,0,1,1),".","`",2))-FIND("`",SUBSTITUTE(OFFSET(A21,-1,0,1,1),".","`",1))-1)))+1)))</f>
        <v/>
      </c>
      <c r="B21" s="10" t="inlineStr">
        <is>
          <t>[ Level 2 Task ]</t>
        </is>
      </c>
      <c r="C21" s="11" t="n"/>
      <c r="D21" s="37" t="n"/>
      <c r="E21" s="37" t="n"/>
      <c r="F21" s="37" t="n"/>
      <c r="G21" s="274">
        <f>H20+1</f>
        <v/>
      </c>
      <c r="H21" s="275">
        <f>IF(K21=0,G21,WORKDAY(IF(WEEKDAY(G21,1)=7,G21+2,IF(WEEKDAY(G21,1)=1,G21+1,G21)),K21-1,holidays))</f>
        <v/>
      </c>
      <c r="I21" s="272" t="n">
        <v>41681</v>
      </c>
      <c r="J21" s="272" t="n">
        <v>41691</v>
      </c>
      <c r="K21" s="79" t="n">
        <v>6</v>
      </c>
      <c r="L21" s="80" t="n">
        <v>0.25</v>
      </c>
      <c r="M21" s="14">
        <f>IF(OR(G21=0,H21=0),0,H21-G21+1)</f>
        <v/>
      </c>
      <c r="N21" s="15">
        <f>MIN(M21,WORKDAY(G21,ROUNDDOWN(L21*K21,0),holidays)-G21)</f>
        <v/>
      </c>
      <c r="O21" s="14">
        <f>M21-N21</f>
        <v/>
      </c>
      <c r="P21" s="113" t="inlineStr">
        <is>
          <t>p</t>
        </is>
      </c>
      <c r="Q21" s="17"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c r="AJ21" s="111" t="n"/>
      <c r="AK21" s="111" t="n"/>
      <c r="AL21" s="111" t="n"/>
      <c r="AM21" s="111" t="n"/>
      <c r="AN21" s="111" t="n"/>
      <c r="AO21" s="111" t="n"/>
      <c r="AP21" s="111" t="n"/>
      <c r="AQ21" s="111" t="n"/>
      <c r="AR21" s="111" t="n"/>
      <c r="AS21" s="111" t="n"/>
      <c r="AT21" s="111" t="n"/>
      <c r="AU21" s="111" t="n"/>
      <c r="AV21" s="111" t="n"/>
      <c r="AW21" s="111" t="n"/>
      <c r="AX21" s="111" t="n"/>
      <c r="AY21" s="111" t="n"/>
      <c r="AZ21" s="111" t="n"/>
      <c r="BA21" s="111" t="n"/>
      <c r="BB21" s="111" t="n"/>
      <c r="BC21" s="111" t="n"/>
      <c r="BD21" s="111" t="n"/>
      <c r="BE21" s="111" t="n"/>
      <c r="BF21" s="111" t="n"/>
      <c r="BG21" s="111" t="n"/>
      <c r="BH21" s="111" t="n"/>
      <c r="BI21" s="111" t="n"/>
      <c r="BJ21" s="111" t="n"/>
      <c r="BK21" s="111" t="n"/>
      <c r="BL21" s="111" t="n"/>
      <c r="BM21" s="111" t="n"/>
      <c r="BN21" s="111" t="n"/>
      <c r="BO21" s="111" t="n"/>
      <c r="BP21" s="111" t="n"/>
      <c r="BQ21" s="111" t="n"/>
      <c r="BR21" s="111" t="n"/>
      <c r="BS21" s="111" t="n"/>
      <c r="BT21" s="111" t="n"/>
      <c r="BU21" s="111" t="n"/>
      <c r="BV21" s="111" t="n"/>
      <c r="BW21" s="111" t="n"/>
      <c r="BX21" s="111" t="n"/>
      <c r="BY21" s="111" t="n"/>
      <c r="BZ21" s="111" t="n"/>
      <c r="CA21" s="111" t="n"/>
      <c r="CB21" s="111" t="n"/>
      <c r="CC21" s="111" t="n"/>
      <c r="CD21" s="111" t="n"/>
      <c r="CE21" s="111" t="n"/>
      <c r="CF21" s="111" t="n"/>
      <c r="CG21" s="111" t="n"/>
      <c r="CH21" s="111" t="n"/>
      <c r="CI21" s="111" t="n"/>
      <c r="CJ21" s="111" t="n"/>
      <c r="CK21" s="111" t="n"/>
      <c r="CL21" s="111" t="n"/>
      <c r="CM21" s="111" t="n"/>
      <c r="CN21" s="111" t="n"/>
      <c r="CO21" s="111" t="n"/>
      <c r="CP21" s="111" t="n"/>
      <c r="CQ21" s="111" t="n"/>
      <c r="CR21" s="111" t="n"/>
      <c r="CS21" s="111" t="n"/>
      <c r="CT21" s="111" t="n"/>
      <c r="CU21" s="111" t="n"/>
      <c r="CV21" s="111" t="n"/>
      <c r="CW21" s="111" t="n"/>
      <c r="CX21" s="111" t="n"/>
      <c r="CY21" s="111" t="n"/>
      <c r="CZ21" s="111" t="n"/>
      <c r="DA21" s="111" t="n"/>
      <c r="DB21" s="111" t="n"/>
      <c r="DC21" s="111" t="n"/>
      <c r="DD21" s="111" t="n"/>
      <c r="DE21" s="111" t="n"/>
      <c r="DF21" s="111" t="n"/>
      <c r="DG21" s="111" t="n"/>
      <c r="DH21" s="111" t="n"/>
      <c r="DI21" s="111" t="n"/>
      <c r="DJ21" s="111" t="n"/>
      <c r="DK21" s="111" t="n"/>
      <c r="DL21" s="111" t="n"/>
      <c r="DM21" s="111" t="n"/>
      <c r="DN21" s="111" t="n"/>
      <c r="DO21" s="111" t="n"/>
      <c r="DP21" s="111" t="n"/>
      <c r="DQ21" s="111" t="n"/>
      <c r="DR21" s="111" t="n"/>
      <c r="DS21" s="111" t="n"/>
      <c r="DT21" s="111" t="n"/>
      <c r="DU21" s="111" t="n"/>
      <c r="DV21" s="111" t="n"/>
      <c r="DW21" s="111" t="n"/>
      <c r="DX21" s="111" t="n"/>
      <c r="DY21" s="111" t="n"/>
      <c r="DZ21" s="111" t="n"/>
      <c r="EA21" s="111" t="n"/>
      <c r="EB21" s="111" t="n"/>
      <c r="EC21" s="111" t="n"/>
      <c r="ED21" s="111" t="n"/>
      <c r="EE21" s="111" t="n"/>
      <c r="EF21" s="111" t="n"/>
      <c r="EG21" s="111" t="n"/>
      <c r="EH21" s="111" t="n"/>
      <c r="EI21" s="111" t="n"/>
      <c r="EJ21" s="111" t="n"/>
      <c r="EK21" s="111" t="n"/>
      <c r="EL21" s="111" t="n"/>
      <c r="EM21" s="111" t="n"/>
      <c r="EN21" s="111" t="n"/>
      <c r="EO21" s="111" t="n"/>
      <c r="EP21" s="111" t="n"/>
      <c r="EQ21" s="111" t="n"/>
      <c r="ER21" s="111" t="n"/>
      <c r="ES21" s="111" t="n"/>
      <c r="ET21" s="111" t="n"/>
      <c r="EU21" s="111" t="n"/>
      <c r="EV21" s="111" t="n"/>
      <c r="EW21" s="111" t="n"/>
      <c r="EX21" s="111" t="n"/>
      <c r="EY21" s="111" t="n"/>
      <c r="EZ21" s="111" t="n"/>
      <c r="FA21" s="111" t="n"/>
      <c r="FB21" s="111" t="n"/>
      <c r="FC21" s="111" t="n"/>
      <c r="FD21" s="111" t="n"/>
      <c r="FE21" s="111" t="n"/>
      <c r="FF21" s="111" t="n"/>
      <c r="FG21" s="111" t="n"/>
      <c r="FH21" s="111" t="n"/>
      <c r="FI21" s="111" t="n"/>
      <c r="FJ21" s="111" t="n"/>
      <c r="FK21" s="111" t="n"/>
      <c r="FL21" s="111" t="n"/>
      <c r="FM21" s="111" t="n"/>
      <c r="FN21" s="111" t="n"/>
      <c r="FO21" s="111" t="n"/>
      <c r="FP21" s="111" t="n"/>
      <c r="FQ21" s="111" t="n"/>
      <c r="FR21" s="111" t="n"/>
      <c r="FS21" s="111" t="n"/>
      <c r="FT21" s="111" t="n"/>
      <c r="FU21" s="111" t="n"/>
      <c r="FV21" s="111" t="n"/>
      <c r="FW21" s="111" t="n"/>
      <c r="FX21" s="111" t="n"/>
      <c r="FY21" s="111" t="n"/>
      <c r="FZ21" s="111" t="n"/>
      <c r="GA21" s="111" t="n"/>
      <c r="GB21" s="111" t="n"/>
      <c r="GC21" s="111" t="n"/>
      <c r="GD21" s="111" t="n"/>
      <c r="GE21" s="111" t="n"/>
      <c r="GF21" s="111" t="n"/>
      <c r="GG21" s="111" t="n"/>
      <c r="GH21" s="111" t="n"/>
      <c r="GI21" s="111" t="n"/>
      <c r="GJ21" s="111" t="n"/>
      <c r="GK21" s="111" t="n"/>
      <c r="GL21" s="111" t="n"/>
      <c r="GM21" s="111" t="n"/>
      <c r="GN21" s="111" t="n"/>
      <c r="GO21" s="111" t="n"/>
      <c r="GP21" s="111" t="n"/>
      <c r="GQ21" s="111" t="n"/>
      <c r="GR21" s="111" t="n"/>
      <c r="GS21" s="111" t="n"/>
      <c r="GT21" s="111" t="n"/>
      <c r="GU21" s="111" t="n"/>
      <c r="GV21" s="111" t="n"/>
      <c r="GW21" s="111" t="n"/>
      <c r="GX21" s="111" t="n"/>
      <c r="GY21" s="111" t="n"/>
      <c r="GZ21" s="111" t="n"/>
      <c r="HA21" s="111" t="n"/>
      <c r="HB21" s="111" t="n"/>
      <c r="HC21" s="111" t="n"/>
      <c r="HD21" s="111" t="n"/>
      <c r="HE21" s="111" t="n"/>
      <c r="HF21" s="111" t="n"/>
      <c r="HG21" s="111" t="n"/>
      <c r="HH21" s="111" t="n"/>
      <c r="HI21" s="111" t="n"/>
      <c r="HJ21" s="111" t="n"/>
      <c r="HK21" s="111" t="n"/>
      <c r="HL21" s="111" t="n"/>
      <c r="HM21" s="111" t="n"/>
      <c r="HN21" s="111" t="n"/>
      <c r="HO21" s="111" t="n"/>
      <c r="HP21" s="111" t="n"/>
      <c r="HQ21" s="111" t="n"/>
      <c r="HR21" s="111" t="n"/>
      <c r="HS21" s="111" t="n"/>
      <c r="HT21" s="111" t="n"/>
      <c r="HU21" s="111" t="n"/>
      <c r="HV21" s="111" t="n"/>
      <c r="HW21" s="111" t="n"/>
      <c r="HX21" s="111" t="n"/>
      <c r="HY21" s="111" t="n"/>
      <c r="HZ21" s="111" t="n"/>
      <c r="IA21" s="111" t="n"/>
      <c r="IB21" s="111" t="n"/>
      <c r="IC21" s="111" t="n"/>
      <c r="ID21" s="111" t="n"/>
      <c r="IE21" s="111" t="n"/>
      <c r="IF21" s="111" t="n"/>
      <c r="IG21" s="111" t="n"/>
      <c r="IH21" s="111" t="n"/>
      <c r="II21" s="111" t="n"/>
      <c r="IJ21" s="111" t="n"/>
      <c r="IK21" s="111" t="n"/>
      <c r="IL21" s="111" t="n"/>
      <c r="IM21" s="111" t="n"/>
      <c r="IN21" s="111" t="n"/>
      <c r="IO21" s="111" t="n"/>
      <c r="IP21" s="111" t="n"/>
      <c r="IQ21" s="111" t="n"/>
      <c r="IR21" s="111" t="n"/>
      <c r="IS21" s="111" t="n"/>
      <c r="IT21" s="111" t="n"/>
      <c r="IU21" s="111" t="n"/>
      <c r="IV21" s="111" t="n"/>
      <c r="IW21" s="111" t="n"/>
      <c r="IX21" s="111" t="n"/>
      <c r="IY21" s="111" t="n"/>
      <c r="IZ21" s="111" t="n"/>
      <c r="JA21" s="111" t="n"/>
      <c r="JB21" s="111" t="n"/>
      <c r="JC21" s="111" t="n"/>
      <c r="JD21" s="111" t="n"/>
      <c r="JE21" s="111" t="n"/>
      <c r="JF21" s="111" t="n"/>
      <c r="JG21" s="111" t="n"/>
      <c r="JH21" s="111" t="n"/>
      <c r="JI21" s="111" t="n"/>
      <c r="JJ21" s="111" t="n"/>
      <c r="JK21" s="111" t="n"/>
      <c r="JL21" s="111" t="n"/>
      <c r="JM21" s="111" t="n"/>
      <c r="JN21" s="111" t="n"/>
      <c r="JO21" s="111" t="n"/>
      <c r="JP21" s="111" t="n"/>
      <c r="JQ21" s="111" t="n"/>
      <c r="JR21" s="111" t="n"/>
      <c r="JS21" s="111" t="n"/>
      <c r="JT21" s="111" t="n"/>
      <c r="JU21" s="111" t="n"/>
      <c r="JV21" s="111" t="n"/>
      <c r="JW21" s="111" t="n"/>
      <c r="JX21" s="111" t="n"/>
      <c r="JY21" s="111" t="n"/>
      <c r="JZ21" s="111" t="n"/>
      <c r="KA21" s="111" t="n"/>
      <c r="KB21" s="111" t="n"/>
      <c r="KC21" s="111" t="n"/>
      <c r="KD21" s="111" t="n"/>
      <c r="KE21" s="111" t="n"/>
      <c r="KF21" s="111" t="n"/>
      <c r="KG21" s="111" t="n"/>
      <c r="KH21" s="111" t="n"/>
      <c r="KI21" s="111" t="n"/>
      <c r="KJ21" s="111" t="n"/>
      <c r="KK21" s="111" t="n"/>
      <c r="KL21" s="111" t="n"/>
      <c r="KM21" s="111" t="n"/>
      <c r="KN21" s="111" t="n"/>
      <c r="KO21" s="111" t="n"/>
      <c r="KP21" s="111" t="n"/>
      <c r="KQ21" s="111" t="n"/>
      <c r="KR21" s="111" t="n"/>
      <c r="KS21" s="111" t="n"/>
      <c r="KT21" s="111" t="n"/>
      <c r="KU21" s="111" t="n"/>
      <c r="KV21" s="111" t="n"/>
      <c r="KW21" s="111" t="n"/>
      <c r="KX21" s="111" t="n"/>
      <c r="KY21" s="111" t="n"/>
      <c r="KZ21" s="111" t="n"/>
      <c r="LA21" s="111" t="n"/>
      <c r="LB21" s="111" t="n"/>
      <c r="LC21" s="111" t="n"/>
      <c r="LD21" s="111" t="n"/>
      <c r="LE21" s="111" t="n"/>
      <c r="LF21" s="111" t="n"/>
      <c r="LG21" s="111" t="n"/>
      <c r="LH21" s="111" t="n"/>
      <c r="LI21" s="111" t="n"/>
      <c r="LJ21" s="111" t="n"/>
      <c r="LK21" s="111" t="n"/>
      <c r="LL21" s="111" t="n"/>
      <c r="LM21" s="111" t="n"/>
      <c r="LN21" s="111" t="n"/>
      <c r="LO21" s="111" t="n"/>
      <c r="LP21" s="111" t="n"/>
      <c r="LQ21" s="111" t="n"/>
      <c r="LR21" s="111" t="n"/>
      <c r="LS21" s="111" t="n"/>
      <c r="LT21" s="111" t="n"/>
      <c r="LU21" s="111" t="n"/>
      <c r="LV21" s="111" t="n"/>
      <c r="LW21" s="111" t="n"/>
      <c r="LX21" s="111" t="n"/>
      <c r="LY21" s="111" t="n"/>
      <c r="LZ21" s="111" t="n"/>
      <c r="MA21" s="111" t="n"/>
      <c r="MB21" s="111" t="n"/>
      <c r="MC21" s="111" t="n"/>
      <c r="MD21" s="111" t="n"/>
      <c r="ME21" s="111" t="n"/>
      <c r="MF21" s="111" t="n"/>
      <c r="MG21" s="111" t="n"/>
      <c r="MH21" s="111" t="n"/>
      <c r="MI21" s="111" t="n"/>
      <c r="MJ21" s="111" t="n"/>
      <c r="MK21" s="111" t="n"/>
      <c r="ML21" s="111" t="n"/>
      <c r="MM21" s="111" t="n"/>
      <c r="MN21" s="111" t="n"/>
      <c r="MO21" s="111" t="n"/>
      <c r="MP21" s="111" t="n"/>
      <c r="MQ21" s="111" t="n"/>
      <c r="MR21" s="111" t="n"/>
      <c r="MS21" s="111" t="n"/>
      <c r="MT21" s="111" t="n"/>
      <c r="MU21" s="111" t="n"/>
      <c r="MV21" s="111" t="n"/>
      <c r="MW21" s="111" t="n"/>
      <c r="MX21" s="111" t="n"/>
      <c r="MY21" s="111" t="n"/>
      <c r="MZ21" s="111" t="n"/>
      <c r="NA21" s="111" t="n"/>
      <c r="NB21" s="111" t="n"/>
      <c r="NC21" s="111" t="n"/>
      <c r="ND21" s="111" t="n"/>
      <c r="NE21" s="111" t="n"/>
      <c r="NF21" s="111" t="n"/>
      <c r="NG21" s="111" t="n"/>
      <c r="NH21" s="111" t="n"/>
      <c r="NI21" s="111" t="n"/>
      <c r="NJ21" s="111" t="n"/>
      <c r="NK21" s="111" t="n"/>
      <c r="NL21" s="111" t="n"/>
      <c r="NM21" s="111" t="n"/>
      <c r="NN21" s="111" t="n"/>
      <c r="NO21" s="111" t="n"/>
      <c r="NP21" s="111" t="n"/>
      <c r="NQ21" s="111" t="n"/>
    </row>
    <row r="22" customFormat="1" s="17">
      <c r="A22" s="33">
        <f>IF(ISERROR(VALUE(SUBSTITUTE(OFFSET(A22,-1,0,1,1),".",""))),"0.1",IF(ISERROR(FIND("`",SUBSTITUTE(OFFSET(A22,-1,0,1,1),".","`",1))),OFFSET(A22,-1,0,1,1)&amp;".1",LEFT(OFFSET(A22,-1,0,1,1),FIND("`",SUBSTITUTE(OFFSET(A22,-1,0,1,1),".","`",1)))&amp;IF(ISERROR(FIND("`",SUBSTITUTE(OFFSET(A22,-1,0,1,1),".","`",2))),VALUE(RIGHT(OFFSET(A22,-1,0,1,1),LEN(OFFSET(A22,-1,0,1,1))-FIND("`",SUBSTITUTE(OFFSET(A22,-1,0,1,1),".","`",1))))+1,VALUE(MID(OFFSET(A22,-1,0,1,1),FIND("`",SUBSTITUTE(OFFSET(A22,-1,0,1,1),".","`",1))+1,(FIND("`",SUBSTITUTE(OFFSET(A22,-1,0,1,1),".","`",2))-FIND("`",SUBSTITUTE(OFFSET(A22,-1,0,1,1),".","`",1))-1)))+1)))</f>
        <v/>
      </c>
      <c r="B22" s="10" t="inlineStr">
        <is>
          <t>[ Level 2 Task ]</t>
        </is>
      </c>
      <c r="C22" s="11" t="n"/>
      <c r="D22" s="37" t="n"/>
      <c r="E22" s="37" t="n"/>
      <c r="F22" s="37" t="n"/>
      <c r="G22" s="274">
        <f>H21+1</f>
        <v/>
      </c>
      <c r="H22" s="275">
        <f>IF(K22=0,G22,WORKDAY(IF(WEEKDAY(G22,1)=7,G22+2,IF(WEEKDAY(G22,1)=1,G22+1,G22)),K22-1,holidays))</f>
        <v/>
      </c>
      <c r="I22" s="272" t="n">
        <v>41692</v>
      </c>
      <c r="J22" s="272" t="n">
        <v>41704</v>
      </c>
      <c r="K22" s="79" t="n">
        <v>9</v>
      </c>
      <c r="L22" s="80" t="n">
        <v>0.25</v>
      </c>
      <c r="M22" s="14">
        <f>IF(OR(G22=0,H22=0),0,H22-G22+1)</f>
        <v/>
      </c>
      <c r="N22" s="15">
        <f>MIN(M22,WORKDAY(G22,ROUNDDOWN(L22*K22,0),holidays)-G22)</f>
        <v/>
      </c>
      <c r="O22" s="14">
        <f>M22-N22</f>
        <v/>
      </c>
      <c r="P22" s="113" t="inlineStr">
        <is>
          <t>k</t>
        </is>
      </c>
      <c r="Q22" s="17"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c r="AJ22" s="111" t="n"/>
      <c r="AK22" s="111" t="n"/>
      <c r="AL22" s="111" t="n"/>
      <c r="AM22" s="111" t="n"/>
      <c r="AN22" s="111" t="n"/>
      <c r="AO22" s="111" t="n"/>
      <c r="AP22" s="111" t="n"/>
      <c r="AQ22" s="111" t="n"/>
      <c r="AR22" s="111" t="n"/>
      <c r="AS22" s="111" t="n"/>
      <c r="AT22" s="111" t="n"/>
      <c r="AU22" s="111" t="n"/>
      <c r="AV22" s="111" t="n"/>
      <c r="AW22" s="111" t="n"/>
      <c r="AX22" s="111" t="n"/>
      <c r="AY22" s="111" t="n"/>
      <c r="AZ22" s="111" t="n"/>
      <c r="BA22" s="111" t="n"/>
      <c r="BB22" s="111" t="n"/>
      <c r="BC22" s="111" t="n"/>
      <c r="BD22" s="111" t="n"/>
      <c r="BE22" s="111" t="n"/>
      <c r="BF22" s="111" t="n"/>
      <c r="BG22" s="111" t="n"/>
      <c r="BH22" s="111" t="n"/>
      <c r="BI22" s="111" t="n"/>
      <c r="BJ22" s="111" t="n"/>
      <c r="BK22" s="111" t="n"/>
      <c r="BL22" s="111" t="n"/>
      <c r="BM22" s="111" t="n"/>
      <c r="BN22" s="111" t="n"/>
      <c r="BO22" s="111" t="n"/>
      <c r="BP22" s="111" t="n"/>
      <c r="BQ22" s="111" t="n"/>
      <c r="BR22" s="111" t="n"/>
      <c r="BS22" s="111" t="n"/>
      <c r="BT22" s="111" t="n"/>
      <c r="BU22" s="111" t="n"/>
      <c r="BV22" s="111" t="n"/>
      <c r="BW22" s="111" t="n"/>
      <c r="BX22" s="111" t="n"/>
      <c r="BY22" s="111" t="n"/>
      <c r="BZ22" s="111" t="n"/>
      <c r="CA22" s="111" t="n"/>
      <c r="CB22" s="111" t="n"/>
      <c r="CC22" s="111" t="n"/>
      <c r="CD22" s="111" t="n"/>
      <c r="CE22" s="111" t="n"/>
      <c r="CF22" s="111" t="n"/>
      <c r="CG22" s="111" t="n"/>
      <c r="CH22" s="111" t="n"/>
      <c r="CI22" s="111" t="n"/>
      <c r="CJ22" s="111" t="n"/>
      <c r="CK22" s="111" t="n"/>
      <c r="CL22" s="111" t="n"/>
      <c r="CM22" s="111" t="n"/>
      <c r="CN22" s="111" t="n"/>
      <c r="CO22" s="111" t="n"/>
      <c r="CP22" s="111" t="n"/>
      <c r="CQ22" s="111" t="n"/>
      <c r="CR22" s="111" t="n"/>
      <c r="CS22" s="111" t="n"/>
      <c r="CT22" s="111" t="n"/>
      <c r="CU22" s="111" t="n"/>
      <c r="CV22" s="111" t="n"/>
      <c r="CW22" s="111" t="n"/>
      <c r="CX22" s="111" t="n"/>
      <c r="CY22" s="111" t="n"/>
      <c r="CZ22" s="111" t="n"/>
      <c r="DA22" s="111" t="n"/>
      <c r="DB22" s="111" t="n"/>
      <c r="DC22" s="111" t="n"/>
      <c r="DD22" s="111" t="n"/>
      <c r="DE22" s="111" t="n"/>
      <c r="DF22" s="111" t="n"/>
      <c r="DG22" s="111" t="n"/>
      <c r="DH22" s="111" t="n"/>
      <c r="DI22" s="111" t="n"/>
      <c r="DJ22" s="111" t="n"/>
      <c r="DK22" s="111" t="n"/>
      <c r="DL22" s="111" t="n"/>
      <c r="DM22" s="111" t="n"/>
      <c r="DN22" s="111" t="n"/>
      <c r="DO22" s="111" t="n"/>
      <c r="DP22" s="111" t="n"/>
      <c r="DQ22" s="111" t="n"/>
      <c r="DR22" s="111" t="n"/>
      <c r="DS22" s="111" t="n"/>
      <c r="DT22" s="111" t="n"/>
      <c r="DU22" s="111" t="n"/>
      <c r="DV22" s="111" t="n"/>
      <c r="DW22" s="111" t="n"/>
      <c r="DX22" s="111" t="n"/>
      <c r="DY22" s="111" t="n"/>
      <c r="DZ22" s="111" t="n"/>
      <c r="EA22" s="111" t="n"/>
      <c r="EB22" s="111" t="n"/>
      <c r="EC22" s="111" t="n"/>
      <c r="ED22" s="111" t="n"/>
      <c r="EE22" s="111" t="n"/>
      <c r="EF22" s="111" t="n"/>
      <c r="EG22" s="111" t="n"/>
      <c r="EH22" s="111" t="n"/>
      <c r="EI22" s="111" t="n"/>
      <c r="EJ22" s="111" t="n"/>
      <c r="EK22" s="111" t="n"/>
      <c r="EL22" s="111" t="n"/>
      <c r="EM22" s="111" t="n"/>
      <c r="EN22" s="111" t="n"/>
      <c r="EO22" s="111" t="n"/>
      <c r="EP22" s="111" t="n"/>
      <c r="EQ22" s="111" t="n"/>
      <c r="ER22" s="111" t="n"/>
      <c r="ES22" s="111" t="n"/>
      <c r="ET22" s="111" t="n"/>
      <c r="EU22" s="111" t="n"/>
      <c r="EV22" s="111" t="n"/>
      <c r="EW22" s="111" t="n"/>
      <c r="EX22" s="111" t="n"/>
      <c r="EY22" s="111" t="n"/>
      <c r="EZ22" s="111" t="n"/>
      <c r="FA22" s="111" t="n"/>
      <c r="FB22" s="111" t="n"/>
      <c r="FC22" s="111" t="n"/>
      <c r="FD22" s="111" t="n"/>
      <c r="FE22" s="111" t="n"/>
      <c r="FF22" s="111" t="n"/>
      <c r="FG22" s="111" t="n"/>
      <c r="FH22" s="111" t="n"/>
      <c r="FI22" s="111" t="n"/>
      <c r="FJ22" s="111" t="n"/>
      <c r="FK22" s="111" t="n"/>
      <c r="FL22" s="111" t="n"/>
      <c r="FM22" s="111" t="n"/>
      <c r="FN22" s="111" t="n"/>
      <c r="FO22" s="111" t="n"/>
      <c r="FP22" s="111" t="n"/>
      <c r="FQ22" s="111" t="n"/>
      <c r="FR22" s="111" t="n"/>
      <c r="FS22" s="111" t="n"/>
      <c r="FT22" s="111" t="n"/>
      <c r="FU22" s="111" t="n"/>
      <c r="FV22" s="111" t="n"/>
      <c r="FW22" s="111" t="n"/>
      <c r="FX22" s="111" t="n"/>
      <c r="FY22" s="111" t="n"/>
      <c r="FZ22" s="111" t="n"/>
      <c r="GA22" s="111" t="n"/>
      <c r="GB22" s="111" t="n"/>
      <c r="GC22" s="111" t="n"/>
      <c r="GD22" s="111" t="n"/>
      <c r="GE22" s="111" t="n"/>
      <c r="GF22" s="111" t="n"/>
      <c r="GG22" s="111" t="n"/>
      <c r="GH22" s="111" t="n"/>
      <c r="GI22" s="111" t="n"/>
      <c r="GJ22" s="111" t="n"/>
      <c r="GK22" s="111" t="n"/>
      <c r="GL22" s="111" t="n"/>
      <c r="GM22" s="111" t="n"/>
      <c r="GN22" s="111" t="n"/>
      <c r="GO22" s="111" t="n"/>
      <c r="GP22" s="111" t="n"/>
      <c r="GQ22" s="111" t="n"/>
      <c r="GR22" s="111" t="n"/>
      <c r="GS22" s="111" t="n"/>
      <c r="GT22" s="111" t="n"/>
      <c r="GU22" s="111" t="n"/>
      <c r="GV22" s="111" t="n"/>
      <c r="GW22" s="111" t="n"/>
      <c r="GX22" s="111" t="n"/>
      <c r="GY22" s="111" t="n"/>
      <c r="GZ22" s="111" t="n"/>
      <c r="HA22" s="111" t="n"/>
      <c r="HB22" s="111" t="n"/>
      <c r="HC22" s="111" t="n"/>
      <c r="HD22" s="111" t="n"/>
      <c r="HE22" s="111" t="n"/>
      <c r="HF22" s="111" t="n"/>
      <c r="HG22" s="111" t="n"/>
      <c r="HH22" s="111" t="n"/>
      <c r="HI22" s="111" t="n"/>
      <c r="HJ22" s="111" t="n"/>
      <c r="HK22" s="111" t="n"/>
      <c r="HL22" s="111" t="n"/>
      <c r="HM22" s="111" t="n"/>
      <c r="HN22" s="111" t="n"/>
      <c r="HO22" s="111" t="n"/>
      <c r="HP22" s="111" t="n"/>
      <c r="HQ22" s="111" t="n"/>
      <c r="HR22" s="111" t="n"/>
      <c r="HS22" s="111" t="n"/>
      <c r="HT22" s="111" t="n"/>
      <c r="HU22" s="111" t="n"/>
      <c r="HV22" s="111" t="n"/>
      <c r="HW22" s="111" t="n"/>
      <c r="HX22" s="111" t="n"/>
      <c r="HY22" s="111" t="n"/>
      <c r="HZ22" s="111" t="n"/>
      <c r="IA22" s="111" t="n"/>
      <c r="IB22" s="111" t="n"/>
      <c r="IC22" s="111" t="n"/>
      <c r="ID22" s="111" t="n"/>
      <c r="IE22" s="111" t="n"/>
      <c r="IF22" s="111" t="n"/>
      <c r="IG22" s="111" t="n"/>
      <c r="IH22" s="111" t="n"/>
      <c r="II22" s="111" t="n"/>
      <c r="IJ22" s="111" t="n"/>
      <c r="IK22" s="111" t="n"/>
      <c r="IL22" s="111" t="n"/>
      <c r="IM22" s="111" t="n"/>
      <c r="IN22" s="111" t="n"/>
      <c r="IO22" s="111" t="n"/>
      <c r="IP22" s="111" t="n"/>
      <c r="IQ22" s="111" t="n"/>
      <c r="IR22" s="111" t="n"/>
      <c r="IS22" s="111" t="n"/>
      <c r="IT22" s="111" t="n"/>
      <c r="IU22" s="111" t="n"/>
      <c r="IV22" s="111" t="n"/>
      <c r="IW22" s="111" t="n"/>
      <c r="IX22" s="111" t="n"/>
      <c r="IY22" s="111" t="n"/>
      <c r="IZ22" s="111" t="n"/>
      <c r="JA22" s="111" t="n"/>
      <c r="JB22" s="111" t="n"/>
      <c r="JC22" s="111" t="n"/>
      <c r="JD22" s="111" t="n"/>
      <c r="JE22" s="111" t="n"/>
      <c r="JF22" s="111" t="n"/>
      <c r="JG22" s="111" t="n"/>
      <c r="JH22" s="111" t="n"/>
      <c r="JI22" s="111" t="n"/>
      <c r="JJ22" s="111" t="n"/>
      <c r="JK22" s="111" t="n"/>
      <c r="JL22" s="111" t="n"/>
      <c r="JM22" s="111" t="n"/>
      <c r="JN22" s="111" t="n"/>
      <c r="JO22" s="111" t="n"/>
      <c r="JP22" s="111" t="n"/>
      <c r="JQ22" s="111" t="n"/>
      <c r="JR22" s="111" t="n"/>
      <c r="JS22" s="111" t="n"/>
      <c r="JT22" s="111" t="n"/>
      <c r="JU22" s="111" t="n"/>
      <c r="JV22" s="111" t="n"/>
      <c r="JW22" s="111" t="n"/>
      <c r="JX22" s="111" t="n"/>
      <c r="JY22" s="111" t="n"/>
      <c r="JZ22" s="111" t="n"/>
      <c r="KA22" s="111" t="n"/>
      <c r="KB22" s="111" t="n"/>
      <c r="KC22" s="111" t="n"/>
      <c r="KD22" s="111" t="n"/>
      <c r="KE22" s="111" t="n"/>
      <c r="KF22" s="111" t="n"/>
      <c r="KG22" s="111" t="n"/>
      <c r="KH22" s="111" t="n"/>
      <c r="KI22" s="111" t="n"/>
      <c r="KJ22" s="111" t="n"/>
      <c r="KK22" s="111" t="n"/>
      <c r="KL22" s="111" t="n"/>
      <c r="KM22" s="111" t="n"/>
      <c r="KN22" s="111" t="n"/>
      <c r="KO22" s="111" t="n"/>
      <c r="KP22" s="111" t="n"/>
      <c r="KQ22" s="111" t="n"/>
      <c r="KR22" s="111" t="n"/>
      <c r="KS22" s="111" t="n"/>
      <c r="KT22" s="111" t="n"/>
      <c r="KU22" s="111" t="n"/>
      <c r="KV22" s="111" t="n"/>
      <c r="KW22" s="111" t="n"/>
      <c r="KX22" s="111" t="n"/>
      <c r="KY22" s="111" t="n"/>
      <c r="KZ22" s="111" t="n"/>
      <c r="LA22" s="111" t="n"/>
      <c r="LB22" s="111" t="n"/>
      <c r="LC22" s="111" t="n"/>
      <c r="LD22" s="111" t="n"/>
      <c r="LE22" s="111" t="n"/>
      <c r="LF22" s="111" t="n"/>
      <c r="LG22" s="111" t="n"/>
      <c r="LH22" s="111" t="n"/>
      <c r="LI22" s="111" t="n"/>
      <c r="LJ22" s="111" t="n"/>
      <c r="LK22" s="111" t="n"/>
      <c r="LL22" s="111" t="n"/>
      <c r="LM22" s="111" t="n"/>
      <c r="LN22" s="111" t="n"/>
      <c r="LO22" s="111" t="n"/>
      <c r="LP22" s="111" t="n"/>
      <c r="LQ22" s="111" t="n"/>
      <c r="LR22" s="111" t="n"/>
      <c r="LS22" s="111" t="n"/>
      <c r="LT22" s="111" t="n"/>
      <c r="LU22" s="111" t="n"/>
      <c r="LV22" s="111" t="n"/>
      <c r="LW22" s="111" t="n"/>
      <c r="LX22" s="111" t="n"/>
      <c r="LY22" s="111" t="n"/>
      <c r="LZ22" s="111" t="n"/>
      <c r="MA22" s="111" t="n"/>
      <c r="MB22" s="111" t="n"/>
      <c r="MC22" s="111" t="n"/>
      <c r="MD22" s="111" t="n"/>
      <c r="ME22" s="111" t="n"/>
      <c r="MF22" s="111" t="n"/>
      <c r="MG22" s="111" t="n"/>
      <c r="MH22" s="111" t="n"/>
      <c r="MI22" s="111" t="n"/>
      <c r="MJ22" s="111" t="n"/>
      <c r="MK22" s="111" t="n"/>
      <c r="ML22" s="111" t="n"/>
      <c r="MM22" s="111" t="n"/>
      <c r="MN22" s="111" t="n"/>
      <c r="MO22" s="111" t="n"/>
      <c r="MP22" s="111" t="n"/>
      <c r="MQ22" s="111" t="n"/>
      <c r="MR22" s="111" t="n"/>
      <c r="MS22" s="111" t="n"/>
      <c r="MT22" s="111" t="n"/>
      <c r="MU22" s="111" t="n"/>
      <c r="MV22" s="111" t="n"/>
      <c r="MW22" s="111" t="n"/>
      <c r="MX22" s="111" t="n"/>
      <c r="MY22" s="111" t="n"/>
      <c r="MZ22" s="111" t="n"/>
      <c r="NA22" s="111" t="n"/>
      <c r="NB22" s="111" t="n"/>
      <c r="NC22" s="111" t="n"/>
      <c r="ND22" s="111" t="n"/>
      <c r="NE22" s="111" t="n"/>
      <c r="NF22" s="111" t="n"/>
      <c r="NG22" s="111" t="n"/>
      <c r="NH22" s="111" t="n"/>
      <c r="NI22" s="111" t="n"/>
      <c r="NJ22" s="111" t="n"/>
      <c r="NK22" s="111" t="n"/>
      <c r="NL22" s="111" t="n"/>
      <c r="NM22" s="111" t="n"/>
      <c r="NN22" s="111" t="n"/>
      <c r="NO22" s="111" t="n"/>
      <c r="NP22" s="111" t="n"/>
      <c r="NQ22" s="111" t="n"/>
    </row>
    <row r="23" customFormat="1" s="17">
      <c r="A23" s="33">
        <f>IF(ISERROR(VALUE(SUBSTITUTE(OFFSET(A23,-1,0,1,1),".",""))),"0.1",IF(ISERROR(FIND("`",SUBSTITUTE(OFFSET(A23,-1,0,1,1),".","`",1))),OFFSET(A23,-1,0,1,1)&amp;".1",LEFT(OFFSET(A23,-1,0,1,1),FIND("`",SUBSTITUTE(OFFSET(A23,-1,0,1,1),".","`",1)))&amp;IF(ISERROR(FIND("`",SUBSTITUTE(OFFSET(A23,-1,0,1,1),".","`",2))),VALUE(RIGHT(OFFSET(A23,-1,0,1,1),LEN(OFFSET(A23,-1,0,1,1))-FIND("`",SUBSTITUTE(OFFSET(A23,-1,0,1,1),".","`",1))))+1,VALUE(MID(OFFSET(A23,-1,0,1,1),FIND("`",SUBSTITUTE(OFFSET(A23,-1,0,1,1),".","`",1))+1,(FIND("`",SUBSTITUTE(OFFSET(A23,-1,0,1,1),".","`",2))-FIND("`",SUBSTITUTE(OFFSET(A23,-1,0,1,1),".","`",1))-1)))+1)))</f>
        <v/>
      </c>
      <c r="B23" s="10" t="inlineStr">
        <is>
          <t>[ Level 2 Task ]</t>
        </is>
      </c>
      <c r="C23" s="11" t="n"/>
      <c r="D23" s="37" t="n"/>
      <c r="E23" s="37" t="n"/>
      <c r="F23" s="37" t="n"/>
      <c r="G23" s="274">
        <f>H22+1</f>
        <v/>
      </c>
      <c r="H23" s="275">
        <f>IF(K23=0,G23,WORKDAY(IF(WEEKDAY(G23,1)=7,G23+2,IF(WEEKDAY(G23,1)=1,G23+1,G23)),K23-1,holidays))</f>
        <v/>
      </c>
      <c r="I23" s="272" t="n">
        <v>41705</v>
      </c>
      <c r="J23" s="272" t="n">
        <v>41718</v>
      </c>
      <c r="K23" s="79" t="n">
        <v>6</v>
      </c>
      <c r="L23" s="80" t="n">
        <v>0.25</v>
      </c>
      <c r="M23" s="14">
        <f>IF(OR(G23=0,H23=0),0,H23-G23+1)</f>
        <v/>
      </c>
      <c r="N23" s="15">
        <f>MIN(M23,WORKDAY(G23,ROUNDDOWN(L23*K23,0),holidays)-G23)</f>
        <v/>
      </c>
      <c r="O23" s="14">
        <f>M23-N23</f>
        <v/>
      </c>
      <c r="P23" s="113" t="inlineStr">
        <is>
          <t>r</t>
        </is>
      </c>
      <c r="Q23" s="17"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111" t="n"/>
      <c r="BB23" s="111" t="n"/>
      <c r="BC23" s="111" t="n"/>
      <c r="BD23" s="111" t="n"/>
      <c r="BE23" s="111" t="n"/>
      <c r="BF23" s="111" t="n"/>
      <c r="BG23" s="111" t="n"/>
      <c r="BH23" s="111" t="n"/>
      <c r="BI23" s="111" t="n"/>
      <c r="BJ23" s="111" t="n"/>
      <c r="BK23" s="111" t="n"/>
      <c r="BL23" s="111" t="n"/>
      <c r="BM23" s="111" t="n"/>
      <c r="BN23" s="111" t="n"/>
      <c r="BO23" s="111" t="n"/>
      <c r="BP23" s="111" t="n"/>
      <c r="BQ23" s="111" t="n"/>
      <c r="BR23" s="111" t="n"/>
      <c r="BS23" s="111" t="n"/>
      <c r="BT23" s="111" t="n"/>
      <c r="BU23" s="111" t="n"/>
      <c r="BV23" s="111" t="n"/>
      <c r="BW23" s="111" t="n"/>
      <c r="BX23" s="111" t="n"/>
      <c r="BY23" s="111" t="n"/>
      <c r="BZ23" s="111" t="n"/>
      <c r="CA23" s="111" t="n"/>
      <c r="CB23" s="111" t="n"/>
      <c r="CC23" s="111" t="n"/>
      <c r="CD23" s="111" t="n"/>
      <c r="CE23" s="111" t="n"/>
      <c r="CF23" s="111" t="n"/>
      <c r="CG23" s="111" t="n"/>
      <c r="CH23" s="111" t="n"/>
      <c r="CI23" s="111" t="n"/>
      <c r="CJ23" s="111" t="n"/>
      <c r="CK23" s="111" t="n"/>
      <c r="CL23" s="111" t="n"/>
      <c r="CM23" s="111" t="n"/>
      <c r="CN23" s="111" t="n"/>
      <c r="CO23" s="111" t="n"/>
      <c r="CP23" s="111" t="n"/>
      <c r="CQ23" s="111" t="n"/>
      <c r="CR23" s="111" t="n"/>
      <c r="CS23" s="111" t="n"/>
      <c r="CT23" s="111" t="n"/>
      <c r="CU23" s="111" t="n"/>
      <c r="CV23" s="111" t="n"/>
      <c r="CW23" s="111" t="n"/>
      <c r="CX23" s="111" t="n"/>
      <c r="CY23" s="111" t="n"/>
      <c r="CZ23" s="111" t="n"/>
      <c r="DA23" s="111" t="n"/>
      <c r="DB23" s="111" t="n"/>
      <c r="DC23" s="111" t="n"/>
      <c r="DD23" s="111" t="n"/>
      <c r="DE23" s="111" t="n"/>
      <c r="DF23" s="111" t="n"/>
      <c r="DG23" s="111" t="n"/>
      <c r="DH23" s="111" t="n"/>
      <c r="DI23" s="111" t="n"/>
      <c r="DJ23" s="111" t="n"/>
      <c r="DK23" s="111" t="n"/>
      <c r="DL23" s="111" t="n"/>
      <c r="DM23" s="111" t="n"/>
      <c r="DN23" s="111" t="n"/>
      <c r="DO23" s="111" t="n"/>
      <c r="DP23" s="111" t="n"/>
      <c r="DQ23" s="111" t="n"/>
      <c r="DR23" s="111" t="n"/>
      <c r="DS23" s="111" t="n"/>
      <c r="DT23" s="111" t="n"/>
      <c r="DU23" s="111" t="n"/>
      <c r="DV23" s="111" t="n"/>
      <c r="DW23" s="111" t="n"/>
      <c r="DX23" s="111" t="n"/>
      <c r="DY23" s="111" t="n"/>
      <c r="DZ23" s="111" t="n"/>
      <c r="EA23" s="111" t="n"/>
      <c r="EB23" s="111" t="n"/>
      <c r="EC23" s="111" t="n"/>
      <c r="ED23" s="111" t="n"/>
      <c r="EE23" s="111" t="n"/>
      <c r="EF23" s="111" t="n"/>
      <c r="EG23" s="111" t="n"/>
      <c r="EH23" s="111" t="n"/>
      <c r="EI23" s="111" t="n"/>
      <c r="EJ23" s="111" t="n"/>
      <c r="EK23" s="111" t="n"/>
      <c r="EL23" s="111" t="n"/>
      <c r="EM23" s="111" t="n"/>
      <c r="EN23" s="111" t="n"/>
      <c r="EO23" s="111" t="n"/>
      <c r="EP23" s="111" t="n"/>
      <c r="EQ23" s="111" t="n"/>
      <c r="ER23" s="111" t="n"/>
      <c r="ES23" s="111" t="n"/>
      <c r="ET23" s="111" t="n"/>
      <c r="EU23" s="111" t="n"/>
      <c r="EV23" s="111" t="n"/>
      <c r="EW23" s="111" t="n"/>
      <c r="EX23" s="111" t="n"/>
      <c r="EY23" s="111" t="n"/>
      <c r="EZ23" s="111" t="n"/>
      <c r="FA23" s="111" t="n"/>
      <c r="FB23" s="111" t="n"/>
      <c r="FC23" s="111" t="n"/>
      <c r="FD23" s="111" t="n"/>
      <c r="FE23" s="111" t="n"/>
      <c r="FF23" s="111" t="n"/>
      <c r="FG23" s="111" t="n"/>
      <c r="FH23" s="111" t="n"/>
      <c r="FI23" s="111" t="n"/>
      <c r="FJ23" s="111" t="n"/>
      <c r="FK23" s="111" t="n"/>
      <c r="FL23" s="111" t="n"/>
      <c r="FM23" s="111" t="n"/>
      <c r="FN23" s="111" t="n"/>
      <c r="FO23" s="111" t="n"/>
      <c r="FP23" s="111" t="n"/>
      <c r="FQ23" s="111" t="n"/>
      <c r="FR23" s="111" t="n"/>
      <c r="FS23" s="111" t="n"/>
      <c r="FT23" s="111" t="n"/>
      <c r="FU23" s="111" t="n"/>
      <c r="FV23" s="111" t="n"/>
      <c r="FW23" s="111" t="n"/>
      <c r="FX23" s="111" t="n"/>
      <c r="FY23" s="111" t="n"/>
      <c r="FZ23" s="111" t="n"/>
      <c r="GA23" s="111" t="n"/>
      <c r="GB23" s="111" t="n"/>
      <c r="GC23" s="111" t="n"/>
      <c r="GD23" s="111" t="n"/>
      <c r="GE23" s="111" t="n"/>
      <c r="GF23" s="111" t="n"/>
      <c r="GG23" s="111" t="n"/>
      <c r="GH23" s="111" t="n"/>
      <c r="GI23" s="111" t="n"/>
      <c r="GJ23" s="111" t="n"/>
      <c r="GK23" s="111" t="n"/>
      <c r="GL23" s="111" t="n"/>
      <c r="GM23" s="111" t="n"/>
      <c r="GN23" s="111" t="n"/>
      <c r="GO23" s="111" t="n"/>
      <c r="GP23" s="111" t="n"/>
      <c r="GQ23" s="111" t="n"/>
      <c r="GR23" s="111" t="n"/>
      <c r="GS23" s="111" t="n"/>
      <c r="GT23" s="111" t="n"/>
      <c r="GU23" s="111" t="n"/>
      <c r="GV23" s="111" t="n"/>
      <c r="GW23" s="111" t="n"/>
      <c r="GX23" s="111" t="n"/>
      <c r="GY23" s="111" t="n"/>
      <c r="GZ23" s="111" t="n"/>
      <c r="HA23" s="111" t="n"/>
      <c r="HB23" s="111" t="n"/>
      <c r="HC23" s="111" t="n"/>
      <c r="HD23" s="111" t="n"/>
      <c r="HE23" s="111" t="n"/>
      <c r="HF23" s="111" t="n"/>
      <c r="HG23" s="111" t="n"/>
      <c r="HH23" s="111" t="n"/>
      <c r="HI23" s="111" t="n"/>
      <c r="HJ23" s="111" t="n"/>
      <c r="HK23" s="111" t="n"/>
      <c r="HL23" s="111" t="n"/>
      <c r="HM23" s="111" t="n"/>
      <c r="HN23" s="111" t="n"/>
      <c r="HO23" s="111" t="n"/>
      <c r="HP23" s="111" t="n"/>
      <c r="HQ23" s="111" t="n"/>
      <c r="HR23" s="111" t="n"/>
      <c r="HS23" s="111" t="n"/>
      <c r="HT23" s="111" t="n"/>
      <c r="HU23" s="111" t="n"/>
      <c r="HV23" s="111" t="n"/>
      <c r="HW23" s="111" t="n"/>
      <c r="HX23" s="111" t="n"/>
      <c r="HY23" s="111" t="n"/>
      <c r="HZ23" s="111" t="n"/>
      <c r="IA23" s="111" t="n"/>
      <c r="IB23" s="111" t="n"/>
      <c r="IC23" s="111" t="n"/>
      <c r="ID23" s="111" t="n"/>
      <c r="IE23" s="111" t="n"/>
      <c r="IF23" s="111" t="n"/>
      <c r="IG23" s="111" t="n"/>
      <c r="IH23" s="111" t="n"/>
      <c r="II23" s="111" t="n"/>
      <c r="IJ23" s="111" t="n"/>
      <c r="IK23" s="111" t="n"/>
      <c r="IL23" s="111" t="n"/>
      <c r="IM23" s="111" t="n"/>
      <c r="IN23" s="111" t="n"/>
      <c r="IO23" s="111" t="n"/>
      <c r="IP23" s="111" t="n"/>
      <c r="IQ23" s="111" t="n"/>
      <c r="IR23" s="111" t="n"/>
      <c r="IS23" s="111" t="n"/>
      <c r="IT23" s="111" t="n"/>
      <c r="IU23" s="111" t="n"/>
      <c r="IV23" s="111" t="n"/>
      <c r="IW23" s="111" t="n"/>
      <c r="IX23" s="111" t="n"/>
      <c r="IY23" s="111" t="n"/>
      <c r="IZ23" s="111" t="n"/>
      <c r="JA23" s="111" t="n"/>
      <c r="JB23" s="111" t="n"/>
      <c r="JC23" s="111" t="n"/>
      <c r="JD23" s="111" t="n"/>
      <c r="JE23" s="111" t="n"/>
      <c r="JF23" s="111" t="n"/>
      <c r="JG23" s="111" t="n"/>
      <c r="JH23" s="111" t="n"/>
      <c r="JI23" s="111" t="n"/>
      <c r="JJ23" s="111" t="n"/>
      <c r="JK23" s="111" t="n"/>
      <c r="JL23" s="111" t="n"/>
      <c r="JM23" s="111" t="n"/>
      <c r="JN23" s="111" t="n"/>
      <c r="JO23" s="111" t="n"/>
      <c r="JP23" s="111" t="n"/>
      <c r="JQ23" s="111" t="n"/>
      <c r="JR23" s="111" t="n"/>
      <c r="JS23" s="111" t="n"/>
      <c r="JT23" s="111" t="n"/>
      <c r="JU23" s="111" t="n"/>
      <c r="JV23" s="111" t="n"/>
      <c r="JW23" s="111" t="n"/>
      <c r="JX23" s="111" t="n"/>
      <c r="JY23" s="111" t="n"/>
      <c r="JZ23" s="111" t="n"/>
      <c r="KA23" s="111" t="n"/>
      <c r="KB23" s="111" t="n"/>
      <c r="KC23" s="111" t="n"/>
      <c r="KD23" s="111" t="n"/>
      <c r="KE23" s="111" t="n"/>
      <c r="KF23" s="111" t="n"/>
      <c r="KG23" s="111" t="n"/>
      <c r="KH23" s="111" t="n"/>
      <c r="KI23" s="111" t="n"/>
      <c r="KJ23" s="111" t="n"/>
      <c r="KK23" s="111" t="n"/>
      <c r="KL23" s="111" t="n"/>
      <c r="KM23" s="111" t="n"/>
      <c r="KN23" s="111" t="n"/>
      <c r="KO23" s="111" t="n"/>
      <c r="KP23" s="111" t="n"/>
      <c r="KQ23" s="111" t="n"/>
      <c r="KR23" s="111" t="n"/>
      <c r="KS23" s="111" t="n"/>
      <c r="KT23" s="111" t="n"/>
      <c r="KU23" s="111" t="n"/>
      <c r="KV23" s="111" t="n"/>
      <c r="KW23" s="111" t="n"/>
      <c r="KX23" s="111" t="n"/>
      <c r="KY23" s="111" t="n"/>
      <c r="KZ23" s="111" t="n"/>
      <c r="LA23" s="111" t="n"/>
      <c r="LB23" s="111" t="n"/>
      <c r="LC23" s="111" t="n"/>
      <c r="LD23" s="111" t="n"/>
      <c r="LE23" s="111" t="n"/>
      <c r="LF23" s="111" t="n"/>
      <c r="LG23" s="111" t="n"/>
      <c r="LH23" s="111" t="n"/>
      <c r="LI23" s="111" t="n"/>
      <c r="LJ23" s="111" t="n"/>
      <c r="LK23" s="111" t="n"/>
      <c r="LL23" s="111" t="n"/>
      <c r="LM23" s="111" t="n"/>
      <c r="LN23" s="111" t="n"/>
      <c r="LO23" s="111" t="n"/>
      <c r="LP23" s="111" t="n"/>
      <c r="LQ23" s="111" t="n"/>
      <c r="LR23" s="111" t="n"/>
      <c r="LS23" s="111" t="n"/>
      <c r="LT23" s="111" t="n"/>
      <c r="LU23" s="111" t="n"/>
      <c r="LV23" s="111" t="n"/>
      <c r="LW23" s="111" t="n"/>
      <c r="LX23" s="111" t="n"/>
      <c r="LY23" s="111" t="n"/>
      <c r="LZ23" s="111" t="n"/>
      <c r="MA23" s="111" t="n"/>
      <c r="MB23" s="111" t="n"/>
      <c r="MC23" s="111" t="n"/>
      <c r="MD23" s="111" t="n"/>
      <c r="ME23" s="111" t="n"/>
      <c r="MF23" s="111" t="n"/>
      <c r="MG23" s="111" t="n"/>
      <c r="MH23" s="111" t="n"/>
      <c r="MI23" s="111" t="n"/>
      <c r="MJ23" s="111" t="n"/>
      <c r="MK23" s="111" t="n"/>
      <c r="ML23" s="111" t="n"/>
      <c r="MM23" s="111" t="n"/>
      <c r="MN23" s="111" t="n"/>
      <c r="MO23" s="111" t="n"/>
      <c r="MP23" s="111" t="n"/>
      <c r="MQ23" s="111" t="n"/>
      <c r="MR23" s="111" t="n"/>
      <c r="MS23" s="111" t="n"/>
      <c r="MT23" s="111" t="n"/>
      <c r="MU23" s="111" t="n"/>
      <c r="MV23" s="111" t="n"/>
      <c r="MW23" s="111" t="n"/>
      <c r="MX23" s="111" t="n"/>
      <c r="MY23" s="111" t="n"/>
      <c r="MZ23" s="111" t="n"/>
      <c r="NA23" s="111" t="n"/>
      <c r="NB23" s="111" t="n"/>
      <c r="NC23" s="111" t="n"/>
      <c r="ND23" s="111" t="n"/>
      <c r="NE23" s="111" t="n"/>
      <c r="NF23" s="111" t="n"/>
      <c r="NG23" s="111" t="n"/>
      <c r="NH23" s="111" t="n"/>
      <c r="NI23" s="111" t="n"/>
      <c r="NJ23" s="111" t="n"/>
      <c r="NK23" s="111" t="n"/>
      <c r="NL23" s="111" t="n"/>
      <c r="NM23" s="111" t="n"/>
      <c r="NN23" s="111" t="n"/>
      <c r="NO23" s="111" t="n"/>
      <c r="NP23" s="111" t="n"/>
      <c r="NQ23" s="111" t="n"/>
    </row>
    <row r="24" ht="12.75" customFormat="1" customHeight="1" s="17">
      <c r="A24" s="33">
        <f>IF(ISERROR(VALUE(SUBSTITUTE(OFFSET(A24,-1,0,1,1),".",""))),"0.1",IF(ISERROR(FIND("`",SUBSTITUTE(OFFSET(A24,-1,0,1,1),".","`",1))),OFFSET(A24,-1,0,1,1)&amp;".1",LEFT(OFFSET(A24,-1,0,1,1),FIND("`",SUBSTITUTE(OFFSET(A24,-1,0,1,1),".","`",1)))&amp;IF(ISERROR(FIND("`",SUBSTITUTE(OFFSET(A24,-1,0,1,1),".","`",2))),VALUE(RIGHT(OFFSET(A24,-1,0,1,1),LEN(OFFSET(A24,-1,0,1,1))-FIND("`",SUBSTITUTE(OFFSET(A24,-1,0,1,1),".","`",1))))+1,VALUE(MID(OFFSET(A24,-1,0,1,1),FIND("`",SUBSTITUTE(OFFSET(A24,-1,0,1,1),".","`",1))+1,(FIND("`",SUBSTITUTE(OFFSET(A24,-1,0,1,1),".","`",2))-FIND("`",SUBSTITUTE(OFFSET(A24,-1,0,1,1),".","`",1))-1)))+1)))</f>
        <v/>
      </c>
      <c r="B24" s="32" t="inlineStr">
        <is>
          <t>[Insert Rows above this one, then Hide or Delete this row]</t>
        </is>
      </c>
      <c r="C24" s="32" t="n"/>
      <c r="D24" s="37" t="n"/>
      <c r="E24" s="37" t="n"/>
      <c r="F24" s="37" t="n"/>
      <c r="G24" s="32" t="n"/>
      <c r="H24" s="32" t="n"/>
      <c r="I24" s="272" t="n"/>
      <c r="J24" s="272" t="n"/>
      <c r="K24" s="21" t="n"/>
      <c r="L24" s="22" t="n"/>
      <c r="M24" s="15" t="n"/>
      <c r="N24" s="15" t="n"/>
      <c r="O24" s="14" t="n"/>
      <c r="P24" s="14" t="n"/>
      <c r="R24" s="111" t="n"/>
      <c r="S24" s="111" t="n"/>
      <c r="T24" s="111" t="n"/>
      <c r="U24" s="111" t="n"/>
      <c r="V24" s="111" t="n"/>
      <c r="W24" s="111" t="n"/>
      <c r="X24" s="111" t="n"/>
      <c r="Y24" s="111" t="n"/>
      <c r="Z24" s="111" t="n"/>
      <c r="AA24" s="111" t="n"/>
      <c r="AB24" s="111" t="n"/>
      <c r="AC24" s="111" t="n"/>
      <c r="AD24" s="111" t="n"/>
      <c r="AE24" s="111" t="n"/>
      <c r="AF24" s="111" t="n"/>
      <c r="AG24" s="111" t="n"/>
      <c r="AH24" s="111" t="n"/>
      <c r="AI24" s="111" t="n"/>
      <c r="AJ24" s="111" t="n"/>
      <c r="AK24" s="111" t="n"/>
      <c r="AL24" s="111" t="n"/>
      <c r="AM24" s="111" t="n"/>
      <c r="AN24" s="111" t="n"/>
      <c r="AO24" s="111" t="n"/>
      <c r="AP24" s="111" t="n"/>
      <c r="AQ24" s="111" t="n"/>
      <c r="AR24" s="111" t="n"/>
      <c r="AS24" s="111" t="n"/>
      <c r="AT24" s="111" t="n"/>
      <c r="AU24" s="111" t="n"/>
      <c r="AV24" s="111" t="n"/>
      <c r="AW24" s="111" t="n"/>
      <c r="AX24" s="111" t="n"/>
      <c r="AY24" s="111" t="n"/>
      <c r="AZ24" s="111" t="n"/>
      <c r="BA24" s="111" t="n"/>
      <c r="BB24" s="111" t="n"/>
      <c r="BC24" s="111" t="n"/>
      <c r="BD24" s="111" t="n"/>
      <c r="BE24" s="111" t="n"/>
      <c r="BF24" s="111" t="n"/>
      <c r="BG24" s="111" t="n"/>
      <c r="BH24" s="111" t="n"/>
      <c r="BI24" s="111" t="n"/>
      <c r="BJ24" s="111" t="n"/>
      <c r="BK24" s="111" t="n"/>
      <c r="BL24" s="111" t="n"/>
      <c r="BM24" s="111" t="n"/>
      <c r="BN24" s="111" t="n"/>
      <c r="BO24" s="111" t="n"/>
      <c r="BP24" s="111" t="n"/>
      <c r="BQ24" s="111" t="n"/>
      <c r="BR24" s="111" t="n"/>
      <c r="BS24" s="111" t="n"/>
      <c r="BT24" s="111" t="n"/>
      <c r="BU24" s="111" t="n"/>
      <c r="BV24" s="111" t="n"/>
      <c r="BW24" s="111" t="n"/>
      <c r="BX24" s="111" t="n"/>
      <c r="BY24" s="111" t="n"/>
      <c r="BZ24" s="111" t="n"/>
      <c r="CA24" s="111" t="n"/>
      <c r="CB24" s="111" t="n"/>
      <c r="CC24" s="111" t="n"/>
      <c r="CD24" s="111" t="n"/>
      <c r="CE24" s="111" t="n"/>
      <c r="CF24" s="111" t="n"/>
      <c r="CG24" s="111" t="n"/>
      <c r="CH24" s="111" t="n"/>
      <c r="CI24" s="111" t="n"/>
      <c r="CJ24" s="111" t="n"/>
      <c r="CK24" s="111" t="n"/>
      <c r="CL24" s="111" t="n"/>
      <c r="CM24" s="111" t="n"/>
      <c r="CN24" s="111" t="n"/>
      <c r="CO24" s="111" t="n"/>
      <c r="CP24" s="111" t="n"/>
      <c r="CQ24" s="111" t="n"/>
      <c r="CR24" s="111" t="n"/>
      <c r="CS24" s="111" t="n"/>
      <c r="CT24" s="111" t="n"/>
      <c r="CU24" s="111" t="n"/>
      <c r="CV24" s="111" t="n"/>
      <c r="CW24" s="111" t="n"/>
      <c r="CX24" s="111" t="n"/>
      <c r="CY24" s="111" t="n"/>
      <c r="CZ24" s="111" t="n"/>
      <c r="DA24" s="111" t="n"/>
      <c r="DB24" s="111" t="n"/>
      <c r="DC24" s="111" t="n"/>
      <c r="DD24" s="111" t="n"/>
      <c r="DE24" s="111" t="n"/>
      <c r="DF24" s="111" t="n"/>
      <c r="DG24" s="111" t="n"/>
      <c r="DH24" s="111" t="n"/>
      <c r="DI24" s="111" t="n"/>
      <c r="DJ24" s="111" t="n"/>
      <c r="DK24" s="111" t="n"/>
      <c r="DL24" s="111" t="n"/>
      <c r="DM24" s="111" t="n"/>
      <c r="DN24" s="111" t="n"/>
      <c r="DO24" s="111" t="n"/>
      <c r="DP24" s="111" t="n"/>
      <c r="DQ24" s="111" t="n"/>
      <c r="DR24" s="111" t="n"/>
      <c r="DS24" s="111" t="n"/>
      <c r="DT24" s="111" t="n"/>
      <c r="DU24" s="111" t="n"/>
      <c r="DV24" s="111" t="n"/>
      <c r="DW24" s="111" t="n"/>
      <c r="DX24" s="111" t="n"/>
      <c r="DY24" s="111" t="n"/>
      <c r="DZ24" s="111" t="n"/>
      <c r="EA24" s="111" t="n"/>
      <c r="EB24" s="111" t="n"/>
      <c r="EC24" s="111" t="n"/>
      <c r="ED24" s="111" t="n"/>
      <c r="EE24" s="111" t="n"/>
      <c r="EF24" s="111" t="n"/>
      <c r="EG24" s="111" t="n"/>
      <c r="EH24" s="111" t="n"/>
      <c r="EI24" s="111" t="n"/>
      <c r="EJ24" s="111" t="n"/>
      <c r="EK24" s="111" t="n"/>
      <c r="EL24" s="111" t="n"/>
      <c r="EM24" s="111" t="n"/>
      <c r="EN24" s="111" t="n"/>
      <c r="EO24" s="111" t="n"/>
      <c r="EP24" s="111" t="n"/>
      <c r="EQ24" s="111" t="n"/>
      <c r="ER24" s="111" t="n"/>
      <c r="ES24" s="111" t="n"/>
      <c r="ET24" s="111" t="n"/>
      <c r="EU24" s="111" t="n"/>
      <c r="EV24" s="111" t="n"/>
      <c r="EW24" s="111" t="n"/>
      <c r="EX24" s="111" t="n"/>
      <c r="EY24" s="111" t="n"/>
      <c r="EZ24" s="111" t="n"/>
      <c r="FA24" s="111" t="n"/>
      <c r="FB24" s="111" t="n"/>
      <c r="FC24" s="111" t="n"/>
      <c r="FD24" s="111" t="n"/>
      <c r="FE24" s="111" t="n"/>
      <c r="FF24" s="111" t="n"/>
      <c r="FG24" s="111" t="n"/>
      <c r="FH24" s="111" t="n"/>
      <c r="FI24" s="111" t="n"/>
      <c r="FJ24" s="111" t="n"/>
      <c r="FK24" s="111" t="n"/>
      <c r="FL24" s="111" t="n"/>
      <c r="FM24" s="111" t="n"/>
      <c r="FN24" s="111" t="n"/>
      <c r="FO24" s="111" t="n"/>
      <c r="FP24" s="111" t="n"/>
      <c r="FQ24" s="111" t="n"/>
      <c r="FR24" s="111" t="n"/>
      <c r="FS24" s="111" t="n"/>
      <c r="FT24" s="111" t="n"/>
      <c r="FU24" s="111" t="n"/>
      <c r="FV24" s="111" t="n"/>
      <c r="FW24" s="111" t="n"/>
      <c r="FX24" s="111" t="n"/>
      <c r="FY24" s="111" t="n"/>
      <c r="FZ24" s="111" t="n"/>
      <c r="GA24" s="111" t="n"/>
      <c r="GB24" s="111" t="n"/>
      <c r="GC24" s="111" t="n"/>
      <c r="GD24" s="111" t="n"/>
      <c r="GE24" s="111" t="n"/>
      <c r="GF24" s="111" t="n"/>
      <c r="GG24" s="111" t="n"/>
      <c r="GH24" s="111" t="n"/>
      <c r="GI24" s="111" t="n"/>
      <c r="GJ24" s="111" t="n"/>
      <c r="GK24" s="111" t="n"/>
      <c r="GL24" s="111" t="n"/>
      <c r="GM24" s="111" t="n"/>
      <c r="GN24" s="111" t="n"/>
      <c r="GO24" s="111" t="n"/>
      <c r="GP24" s="111" t="n"/>
      <c r="GQ24" s="111" t="n"/>
      <c r="GR24" s="111" t="n"/>
      <c r="GS24" s="111" t="n"/>
      <c r="GT24" s="111" t="n"/>
      <c r="GU24" s="111" t="n"/>
      <c r="GV24" s="111" t="n"/>
      <c r="GW24" s="111" t="n"/>
      <c r="GX24" s="111" t="n"/>
      <c r="GY24" s="111" t="n"/>
      <c r="GZ24" s="111" t="n"/>
      <c r="HA24" s="111" t="n"/>
      <c r="HB24" s="111" t="n"/>
      <c r="HC24" s="111" t="n"/>
      <c r="HD24" s="111" t="n"/>
      <c r="HE24" s="111" t="n"/>
      <c r="HF24" s="111" t="n"/>
      <c r="HG24" s="111" t="n"/>
      <c r="HH24" s="111" t="n"/>
      <c r="HI24" s="111" t="n"/>
      <c r="HJ24" s="111" t="n"/>
      <c r="HK24" s="111" t="n"/>
      <c r="HL24" s="111" t="n"/>
      <c r="HM24" s="111" t="n"/>
      <c r="HN24" s="111" t="n"/>
      <c r="HO24" s="111" t="n"/>
      <c r="HP24" s="111" t="n"/>
      <c r="HQ24" s="111" t="n"/>
      <c r="HR24" s="111" t="n"/>
      <c r="HS24" s="111" t="n"/>
      <c r="HT24" s="111" t="n"/>
      <c r="HU24" s="111" t="n"/>
      <c r="HV24" s="111" t="n"/>
      <c r="HW24" s="111" t="n"/>
      <c r="HX24" s="111" t="n"/>
      <c r="HY24" s="111" t="n"/>
      <c r="HZ24" s="111" t="n"/>
      <c r="IA24" s="111" t="n"/>
      <c r="IB24" s="111" t="n"/>
      <c r="IC24" s="111" t="n"/>
      <c r="ID24" s="111" t="n"/>
      <c r="IE24" s="111" t="n"/>
      <c r="IF24" s="111" t="n"/>
      <c r="IG24" s="111" t="n"/>
      <c r="IH24" s="111" t="n"/>
      <c r="II24" s="111" t="n"/>
      <c r="IJ24" s="111" t="n"/>
      <c r="IK24" s="111" t="n"/>
      <c r="IL24" s="111" t="n"/>
      <c r="IM24" s="111" t="n"/>
      <c r="IN24" s="111" t="n"/>
      <c r="IO24" s="111" t="n"/>
      <c r="IP24" s="111" t="n"/>
      <c r="IQ24" s="111" t="n"/>
      <c r="IR24" s="111" t="n"/>
      <c r="IS24" s="111" t="n"/>
      <c r="IT24" s="111" t="n"/>
      <c r="IU24" s="111" t="n"/>
      <c r="IV24" s="111" t="n"/>
      <c r="IW24" s="111" t="n"/>
      <c r="IX24" s="111" t="n"/>
      <c r="IY24" s="111" t="n"/>
      <c r="IZ24" s="111" t="n"/>
      <c r="JA24" s="111" t="n"/>
      <c r="JB24" s="111" t="n"/>
      <c r="JC24" s="111" t="n"/>
      <c r="JD24" s="111" t="n"/>
      <c r="JE24" s="111" t="n"/>
      <c r="JF24" s="111" t="n"/>
      <c r="JG24" s="111" t="n"/>
      <c r="JH24" s="111" t="n"/>
      <c r="JI24" s="111" t="n"/>
      <c r="JJ24" s="111" t="n"/>
      <c r="JK24" s="111" t="n"/>
      <c r="JL24" s="111" t="n"/>
      <c r="JM24" s="111" t="n"/>
      <c r="JN24" s="111" t="n"/>
      <c r="JO24" s="111" t="n"/>
      <c r="JP24" s="111" t="n"/>
      <c r="JQ24" s="111" t="n"/>
      <c r="JR24" s="111" t="n"/>
      <c r="JS24" s="111" t="n"/>
      <c r="JT24" s="111" t="n"/>
      <c r="JU24" s="111" t="n"/>
      <c r="JV24" s="111" t="n"/>
      <c r="JW24" s="111" t="n"/>
      <c r="JX24" s="111" t="n"/>
      <c r="JY24" s="111" t="n"/>
      <c r="JZ24" s="111" t="n"/>
      <c r="KA24" s="111" t="n"/>
      <c r="KB24" s="111" t="n"/>
      <c r="KC24" s="111" t="n"/>
      <c r="KD24" s="111" t="n"/>
      <c r="KE24" s="111" t="n"/>
      <c r="KF24" s="111" t="n"/>
      <c r="KG24" s="111" t="n"/>
      <c r="KH24" s="111" t="n"/>
      <c r="KI24" s="111" t="n"/>
      <c r="KJ24" s="111" t="n"/>
      <c r="KK24" s="111" t="n"/>
      <c r="KL24" s="111" t="n"/>
      <c r="KM24" s="111" t="n"/>
      <c r="KN24" s="111" t="n"/>
      <c r="KO24" s="111" t="n"/>
      <c r="KP24" s="111" t="n"/>
      <c r="KQ24" s="111" t="n"/>
      <c r="KR24" s="111" t="n"/>
      <c r="KS24" s="111" t="n"/>
      <c r="KT24" s="111" t="n"/>
      <c r="KU24" s="111" t="n"/>
      <c r="KV24" s="111" t="n"/>
      <c r="KW24" s="111" t="n"/>
      <c r="KX24" s="111" t="n"/>
      <c r="KY24" s="111" t="n"/>
      <c r="KZ24" s="111" t="n"/>
      <c r="LA24" s="111" t="n"/>
      <c r="LB24" s="111" t="n"/>
      <c r="LC24" s="111" t="n"/>
      <c r="LD24" s="111" t="n"/>
      <c r="LE24" s="111" t="n"/>
      <c r="LF24" s="111" t="n"/>
      <c r="LG24" s="111" t="n"/>
      <c r="LH24" s="111" t="n"/>
      <c r="LI24" s="111" t="n"/>
      <c r="LJ24" s="111" t="n"/>
      <c r="LK24" s="111" t="n"/>
      <c r="LL24" s="111" t="n"/>
      <c r="LM24" s="111" t="n"/>
      <c r="LN24" s="111" t="n"/>
      <c r="LO24" s="111" t="n"/>
      <c r="LP24" s="111" t="n"/>
      <c r="LQ24" s="111" t="n"/>
      <c r="LR24" s="111" t="n"/>
      <c r="LS24" s="111" t="n"/>
      <c r="LT24" s="111" t="n"/>
      <c r="LU24" s="111" t="n"/>
      <c r="LV24" s="111" t="n"/>
      <c r="LW24" s="111" t="n"/>
      <c r="LX24" s="111" t="n"/>
      <c r="LY24" s="111" t="n"/>
      <c r="LZ24" s="111" t="n"/>
      <c r="MA24" s="111" t="n"/>
      <c r="MB24" s="111" t="n"/>
      <c r="MC24" s="111" t="n"/>
      <c r="MD24" s="111" t="n"/>
      <c r="ME24" s="111" t="n"/>
      <c r="MF24" s="111" t="n"/>
      <c r="MG24" s="111" t="n"/>
      <c r="MH24" s="111" t="n"/>
      <c r="MI24" s="111" t="n"/>
      <c r="MJ24" s="111" t="n"/>
      <c r="MK24" s="111" t="n"/>
      <c r="ML24" s="111" t="n"/>
      <c r="MM24" s="111" t="n"/>
      <c r="MN24" s="111" t="n"/>
      <c r="MO24" s="111" t="n"/>
      <c r="MP24" s="111" t="n"/>
      <c r="MQ24" s="111" t="n"/>
      <c r="MR24" s="111" t="n"/>
      <c r="MS24" s="111" t="n"/>
      <c r="MT24" s="111" t="n"/>
      <c r="MU24" s="111" t="n"/>
      <c r="MV24" s="111" t="n"/>
      <c r="MW24" s="111" t="n"/>
      <c r="MX24" s="111" t="n"/>
      <c r="MY24" s="111" t="n"/>
      <c r="MZ24" s="111" t="n"/>
      <c r="NA24" s="111" t="n"/>
      <c r="NB24" s="111" t="n"/>
      <c r="NC24" s="111" t="n"/>
      <c r="ND24" s="111" t="n"/>
      <c r="NE24" s="111" t="n"/>
      <c r="NF24" s="111" t="n"/>
      <c r="NG24" s="111" t="n"/>
      <c r="NH24" s="111" t="n"/>
      <c r="NI24" s="111" t="n"/>
      <c r="NJ24" s="111" t="n"/>
      <c r="NK24" s="111" t="n"/>
      <c r="NL24" s="111" t="n"/>
      <c r="NM24" s="111" t="n"/>
      <c r="NN24" s="111" t="n"/>
      <c r="NO24" s="111" t="n"/>
      <c r="NP24" s="111" t="n"/>
      <c r="NQ24" s="111" t="n"/>
    </row>
    <row r="25" customFormat="1" s="76">
      <c r="A25" s="70">
        <f>IF(ISERROR(VALUE(SUBSTITUTE(OFFSET(A25,-1,0,1,1),".",""))),"1",IF(ISERROR(FIND("`",SUBSTITUTE(OFFSET(A25,-1,0,1,1),".","`",1))),TEXT(VALUE(OFFSET(A25,-1,0,1,1))+1,"#"),TEXT(VALUE(LEFT(OFFSET(A25,-1,0,1,1),FIND("`",SUBSTITUTE(OFFSET(A25,-1,0,1,1),".","`",1))-1))+1,"#")))</f>
        <v/>
      </c>
      <c r="B25" s="71" t="inlineStr">
        <is>
          <t>[ Task Category ]</t>
        </is>
      </c>
      <c r="C25" s="72" t="inlineStr">
        <is>
          <t>[ name ]</t>
        </is>
      </c>
      <c r="D25" s="73" t="n"/>
      <c r="E25" s="73" t="n"/>
      <c r="F25" s="73" t="n"/>
      <c r="G25" s="273">
        <f>MIN(G26:G36)</f>
        <v/>
      </c>
      <c r="H25" s="276">
        <f>MAX(H26:H36)</f>
        <v/>
      </c>
      <c r="I25" s="272" t="n">
        <v>41640</v>
      </c>
      <c r="J25" s="272" t="n">
        <v>41718</v>
      </c>
      <c r="K25" s="74">
        <f>NETWORKDAYS(G25,H25,holidays)</f>
        <v/>
      </c>
      <c r="L25" s="83">
        <f>SUMPRODUCT(K26:K36,L26:L36)/SUM(K26:K36)</f>
        <v/>
      </c>
      <c r="M25" s="74">
        <f>IF(OR(G25=0,H25=0),0,H25-G25+1)</f>
        <v/>
      </c>
      <c r="N25" s="75">
        <f>MIN(M25,WORKDAY(G25,ROUNDDOWN(L25*K25,0),holidays)-G25)</f>
        <v/>
      </c>
      <c r="O25" s="74">
        <f>M25-N25</f>
        <v/>
      </c>
      <c r="P25" s="113" t="n"/>
      <c r="Q25" s="17" t="n"/>
      <c r="R25" s="111" t="n"/>
      <c r="S25" s="111" t="n"/>
      <c r="T25" s="111" t="n"/>
      <c r="U25" s="111" t="n"/>
      <c r="V25" s="111" t="n"/>
      <c r="W25" s="111" t="n"/>
      <c r="X25" s="111" t="n"/>
      <c r="Y25" s="111" t="n"/>
      <c r="Z25" s="111" t="n"/>
      <c r="AA25" s="111" t="n"/>
      <c r="AB25" s="111" t="n"/>
      <c r="AC25" s="111" t="n"/>
      <c r="AD25" s="111" t="n"/>
      <c r="AE25" s="111" t="n"/>
      <c r="AF25" s="111" t="n"/>
      <c r="AG25" s="111" t="n"/>
      <c r="AH25" s="111" t="n"/>
      <c r="AI25" s="111" t="n"/>
      <c r="AJ25" s="111" t="n"/>
      <c r="AK25" s="111" t="n"/>
      <c r="AL25" s="111" t="n"/>
      <c r="AM25" s="111" t="n"/>
      <c r="AN25" s="111" t="n"/>
      <c r="AO25" s="111" t="n"/>
      <c r="AP25" s="111" t="n"/>
      <c r="AQ25" s="111" t="n"/>
      <c r="AR25" s="111" t="n"/>
      <c r="AS25" s="111" t="n"/>
      <c r="AT25" s="111" t="n"/>
      <c r="AU25" s="111" t="n"/>
      <c r="AV25" s="111" t="n"/>
      <c r="AW25" s="111" t="n"/>
      <c r="AX25" s="111" t="n"/>
      <c r="AY25" s="111" t="n"/>
      <c r="AZ25" s="111" t="n"/>
      <c r="BA25" s="111" t="n"/>
      <c r="BB25" s="111" t="n"/>
      <c r="BC25" s="111" t="n"/>
      <c r="BD25" s="111" t="n"/>
      <c r="BE25" s="111" t="n"/>
      <c r="BF25" s="111" t="n"/>
      <c r="BG25" s="111" t="n"/>
      <c r="BH25" s="111" t="n"/>
      <c r="BI25" s="111" t="n"/>
      <c r="BJ25" s="111" t="n"/>
      <c r="BK25" s="111" t="n"/>
      <c r="BL25" s="111" t="n"/>
      <c r="BM25" s="111" t="n"/>
      <c r="BN25" s="111" t="n"/>
      <c r="BO25" s="111" t="n"/>
      <c r="BP25" s="111" t="n"/>
      <c r="BQ25" s="111" t="n"/>
      <c r="BR25" s="111" t="n"/>
      <c r="BS25" s="111" t="n"/>
      <c r="BT25" s="111" t="n"/>
      <c r="BU25" s="111" t="n"/>
      <c r="BV25" s="111" t="n"/>
      <c r="BW25" s="111" t="n"/>
      <c r="BX25" s="111" t="n"/>
      <c r="BY25" s="111" t="n"/>
      <c r="BZ25" s="111" t="n"/>
      <c r="CA25" s="111" t="n"/>
      <c r="CB25" s="111" t="n"/>
      <c r="CC25" s="111" t="n"/>
      <c r="CD25" s="111" t="n"/>
      <c r="CE25" s="111" t="n"/>
      <c r="CF25" s="111" t="n"/>
      <c r="CG25" s="111" t="n"/>
      <c r="CH25" s="111" t="n"/>
      <c r="CI25" s="111" t="n"/>
      <c r="CJ25" s="111" t="n"/>
      <c r="CK25" s="111" t="n"/>
      <c r="CL25" s="111" t="n"/>
      <c r="CM25" s="111" t="n"/>
      <c r="CN25" s="111" t="n"/>
      <c r="CO25" s="111" t="n"/>
      <c r="CP25" s="111" t="n"/>
      <c r="CQ25" s="111" t="n"/>
      <c r="CR25" s="111" t="n"/>
      <c r="CS25" s="111" t="n"/>
      <c r="CT25" s="111" t="n"/>
      <c r="CU25" s="111" t="n"/>
      <c r="CV25" s="111" t="n"/>
      <c r="CW25" s="111" t="n"/>
      <c r="CX25" s="111" t="n"/>
      <c r="CY25" s="111" t="n"/>
      <c r="CZ25" s="111" t="n"/>
      <c r="DA25" s="111" t="n"/>
      <c r="DB25" s="111" t="n"/>
      <c r="DC25" s="111" t="n"/>
      <c r="DD25" s="111" t="n"/>
      <c r="DE25" s="111" t="n"/>
      <c r="DF25" s="111" t="n"/>
      <c r="DG25" s="111" t="n"/>
      <c r="DH25" s="111" t="n"/>
      <c r="DI25" s="111" t="n"/>
      <c r="DJ25" s="111" t="n"/>
      <c r="DK25" s="111" t="n"/>
      <c r="DL25" s="111" t="n"/>
      <c r="DM25" s="111" t="n"/>
      <c r="DN25" s="111" t="n"/>
      <c r="DO25" s="111" t="n"/>
      <c r="DP25" s="111" t="n"/>
      <c r="DQ25" s="111" t="n"/>
      <c r="DR25" s="111" t="n"/>
      <c r="DS25" s="111" t="n"/>
      <c r="DT25" s="111" t="n"/>
      <c r="DU25" s="111" t="n"/>
      <c r="DV25" s="111" t="n"/>
      <c r="DW25" s="111" t="n"/>
      <c r="DX25" s="111" t="n"/>
      <c r="DY25" s="111" t="n"/>
      <c r="DZ25" s="111" t="n"/>
      <c r="EA25" s="111" t="n"/>
      <c r="EB25" s="111" t="n"/>
      <c r="EC25" s="111" t="n"/>
      <c r="ED25" s="111" t="n"/>
      <c r="EE25" s="111" t="n"/>
      <c r="EF25" s="111" t="n"/>
      <c r="EG25" s="111" t="n"/>
      <c r="EH25" s="111" t="n"/>
      <c r="EI25" s="111" t="n"/>
      <c r="EJ25" s="111" t="n"/>
      <c r="EK25" s="111" t="n"/>
      <c r="EL25" s="111" t="n"/>
      <c r="EM25" s="111" t="n"/>
      <c r="EN25" s="111" t="n"/>
      <c r="EO25" s="111" t="n"/>
      <c r="EP25" s="111" t="n"/>
      <c r="EQ25" s="111" t="n"/>
      <c r="ER25" s="111" t="n"/>
      <c r="ES25" s="111" t="n"/>
      <c r="ET25" s="111" t="n"/>
      <c r="EU25" s="111" t="n"/>
      <c r="EV25" s="111" t="n"/>
      <c r="EW25" s="111" t="n"/>
      <c r="EX25" s="111" t="n"/>
      <c r="EY25" s="111" t="n"/>
      <c r="EZ25" s="111" t="n"/>
      <c r="FA25" s="111" t="n"/>
      <c r="FB25" s="111" t="n"/>
      <c r="FC25" s="111" t="n"/>
      <c r="FD25" s="111" t="n"/>
      <c r="FE25" s="111" t="n"/>
      <c r="FF25" s="111" t="n"/>
      <c r="FG25" s="111" t="n"/>
      <c r="FH25" s="111" t="n"/>
      <c r="FI25" s="111" t="n"/>
      <c r="FJ25" s="111" t="n"/>
      <c r="FK25" s="111" t="n"/>
      <c r="FL25" s="111" t="n"/>
      <c r="FM25" s="111" t="n"/>
      <c r="FN25" s="111" t="n"/>
      <c r="FO25" s="111" t="n"/>
      <c r="FP25" s="111" t="n"/>
      <c r="FQ25" s="111" t="n"/>
      <c r="FR25" s="111" t="n"/>
      <c r="FS25" s="111" t="n"/>
      <c r="FT25" s="111" t="n"/>
      <c r="FU25" s="111" t="n"/>
      <c r="FV25" s="111" t="n"/>
      <c r="FW25" s="111" t="n"/>
      <c r="FX25" s="111" t="n"/>
      <c r="FY25" s="111" t="n"/>
      <c r="FZ25" s="111" t="n"/>
      <c r="GA25" s="111" t="n"/>
      <c r="GB25" s="111" t="n"/>
      <c r="GC25" s="111" t="n"/>
      <c r="GD25" s="111" t="n"/>
      <c r="GE25" s="111" t="n"/>
      <c r="GF25" s="111" t="n"/>
      <c r="GG25" s="111" t="n"/>
      <c r="GH25" s="111" t="n"/>
      <c r="GI25" s="111" t="n"/>
      <c r="GJ25" s="111" t="n"/>
      <c r="GK25" s="111" t="n"/>
      <c r="GL25" s="111" t="n"/>
      <c r="GM25" s="111" t="n"/>
      <c r="GN25" s="111" t="n"/>
      <c r="GO25" s="111" t="n"/>
      <c r="GP25" s="111" t="n"/>
      <c r="GQ25" s="111" t="n"/>
      <c r="GR25" s="111" t="n"/>
      <c r="GS25" s="111" t="n"/>
      <c r="GT25" s="111" t="n"/>
      <c r="GU25" s="111" t="n"/>
      <c r="GV25" s="111" t="n"/>
      <c r="GW25" s="111" t="n"/>
      <c r="GX25" s="111" t="n"/>
      <c r="GY25" s="111" t="n"/>
      <c r="GZ25" s="111" t="n"/>
      <c r="HA25" s="111" t="n"/>
      <c r="HB25" s="111" t="n"/>
      <c r="HC25" s="111" t="n"/>
      <c r="HD25" s="111" t="n"/>
      <c r="HE25" s="111" t="n"/>
      <c r="HF25" s="111" t="n"/>
      <c r="HG25" s="111" t="n"/>
      <c r="HH25" s="111" t="n"/>
      <c r="HI25" s="111" t="n"/>
      <c r="HJ25" s="111" t="n"/>
      <c r="HK25" s="111" t="n"/>
      <c r="HL25" s="111" t="n"/>
      <c r="HM25" s="111" t="n"/>
      <c r="HN25" s="111" t="n"/>
      <c r="HO25" s="111" t="n"/>
      <c r="HP25" s="111" t="n"/>
      <c r="HQ25" s="111" t="n"/>
      <c r="HR25" s="111" t="n"/>
      <c r="HS25" s="111" t="n"/>
      <c r="HT25" s="111" t="n"/>
      <c r="HU25" s="111" t="n"/>
      <c r="HV25" s="111" t="n"/>
      <c r="HW25" s="111" t="n"/>
      <c r="HX25" s="111" t="n"/>
      <c r="HY25" s="111" t="n"/>
      <c r="HZ25" s="111" t="n"/>
      <c r="IA25" s="111" t="n"/>
      <c r="IB25" s="111" t="n"/>
      <c r="IC25" s="111" t="n"/>
      <c r="ID25" s="111" t="n"/>
      <c r="IE25" s="111" t="n"/>
      <c r="IF25" s="111" t="n"/>
      <c r="IG25" s="111" t="n"/>
      <c r="IH25" s="111" t="n"/>
      <c r="II25" s="111" t="n"/>
      <c r="IJ25" s="111" t="n"/>
      <c r="IK25" s="111" t="n"/>
      <c r="IL25" s="111" t="n"/>
      <c r="IM25" s="111" t="n"/>
      <c r="IN25" s="111" t="n"/>
      <c r="IO25" s="111" t="n"/>
      <c r="IP25" s="111" t="n"/>
      <c r="IQ25" s="111" t="n"/>
      <c r="IR25" s="111" t="n"/>
      <c r="IS25" s="111" t="n"/>
      <c r="IT25" s="111" t="n"/>
      <c r="IU25" s="111" t="n"/>
      <c r="IV25" s="111" t="n"/>
      <c r="IW25" s="111" t="n"/>
      <c r="IX25" s="111" t="n"/>
      <c r="IY25" s="111" t="n"/>
      <c r="IZ25" s="111" t="n"/>
      <c r="JA25" s="111" t="n"/>
      <c r="JB25" s="111" t="n"/>
      <c r="JC25" s="111" t="n"/>
      <c r="JD25" s="111" t="n"/>
      <c r="JE25" s="111" t="n"/>
      <c r="JF25" s="111" t="n"/>
      <c r="JG25" s="111" t="n"/>
      <c r="JH25" s="111" t="n"/>
      <c r="JI25" s="111" t="n"/>
      <c r="JJ25" s="111" t="n"/>
      <c r="JK25" s="111" t="n"/>
      <c r="JL25" s="111" t="n"/>
      <c r="JM25" s="111" t="n"/>
      <c r="JN25" s="111" t="n"/>
      <c r="JO25" s="111" t="n"/>
      <c r="JP25" s="111" t="n"/>
      <c r="JQ25" s="111" t="n"/>
      <c r="JR25" s="111" t="n"/>
      <c r="JS25" s="111" t="n"/>
      <c r="JT25" s="111" t="n"/>
      <c r="JU25" s="111" t="n"/>
      <c r="JV25" s="111" t="n"/>
      <c r="JW25" s="111" t="n"/>
      <c r="JX25" s="111" t="n"/>
      <c r="JY25" s="111" t="n"/>
      <c r="JZ25" s="111" t="n"/>
      <c r="KA25" s="111" t="n"/>
      <c r="KB25" s="111" t="n"/>
      <c r="KC25" s="111" t="n"/>
      <c r="KD25" s="111" t="n"/>
      <c r="KE25" s="111" t="n"/>
      <c r="KF25" s="111" t="n"/>
      <c r="KG25" s="111" t="n"/>
      <c r="KH25" s="111" t="n"/>
      <c r="KI25" s="111" t="n"/>
      <c r="KJ25" s="111" t="n"/>
      <c r="KK25" s="111" t="n"/>
      <c r="KL25" s="111" t="n"/>
      <c r="KM25" s="111" t="n"/>
      <c r="KN25" s="111" t="n"/>
      <c r="KO25" s="111" t="n"/>
      <c r="KP25" s="111" t="n"/>
      <c r="KQ25" s="111" t="n"/>
      <c r="KR25" s="111" t="n"/>
      <c r="KS25" s="111" t="n"/>
      <c r="KT25" s="111" t="n"/>
      <c r="KU25" s="111" t="n"/>
      <c r="KV25" s="111" t="n"/>
      <c r="KW25" s="111" t="n"/>
      <c r="KX25" s="111" t="n"/>
      <c r="KY25" s="111" t="n"/>
      <c r="KZ25" s="111" t="n"/>
      <c r="LA25" s="111" t="n"/>
      <c r="LB25" s="111" t="n"/>
      <c r="LC25" s="111" t="n"/>
      <c r="LD25" s="111" t="n"/>
      <c r="LE25" s="111" t="n"/>
      <c r="LF25" s="111" t="n"/>
      <c r="LG25" s="111" t="n"/>
      <c r="LH25" s="111" t="n"/>
      <c r="LI25" s="111" t="n"/>
      <c r="LJ25" s="111" t="n"/>
      <c r="LK25" s="111" t="n"/>
      <c r="LL25" s="111" t="n"/>
      <c r="LM25" s="111" t="n"/>
      <c r="LN25" s="111" t="n"/>
      <c r="LO25" s="111" t="n"/>
      <c r="LP25" s="111" t="n"/>
      <c r="LQ25" s="111" t="n"/>
      <c r="LR25" s="111" t="n"/>
      <c r="LS25" s="111" t="n"/>
      <c r="LT25" s="111" t="n"/>
      <c r="LU25" s="111" t="n"/>
      <c r="LV25" s="111" t="n"/>
      <c r="LW25" s="111" t="n"/>
      <c r="LX25" s="111" t="n"/>
      <c r="LY25" s="111" t="n"/>
      <c r="LZ25" s="111" t="n"/>
      <c r="MA25" s="111" t="n"/>
      <c r="MB25" s="111" t="n"/>
      <c r="MC25" s="111" t="n"/>
      <c r="MD25" s="111" t="n"/>
      <c r="ME25" s="111" t="n"/>
      <c r="MF25" s="111" t="n"/>
      <c r="MG25" s="111" t="n"/>
      <c r="MH25" s="111" t="n"/>
      <c r="MI25" s="111" t="n"/>
      <c r="MJ25" s="111" t="n"/>
      <c r="MK25" s="111" t="n"/>
      <c r="ML25" s="111" t="n"/>
      <c r="MM25" s="111" t="n"/>
      <c r="MN25" s="111" t="n"/>
      <c r="MO25" s="111" t="n"/>
      <c r="MP25" s="111" t="n"/>
      <c r="MQ25" s="111" t="n"/>
      <c r="MR25" s="111" t="n"/>
      <c r="MS25" s="111" t="n"/>
      <c r="MT25" s="111" t="n"/>
      <c r="MU25" s="111" t="n"/>
      <c r="MV25" s="111" t="n"/>
      <c r="MW25" s="111" t="n"/>
      <c r="MX25" s="111" t="n"/>
      <c r="MY25" s="111" t="n"/>
      <c r="MZ25" s="111" t="n"/>
      <c r="NA25" s="111" t="n"/>
      <c r="NB25" s="111" t="n"/>
      <c r="NC25" s="111" t="n"/>
      <c r="ND25" s="111" t="n"/>
      <c r="NE25" s="111" t="n"/>
      <c r="NF25" s="111" t="n"/>
      <c r="NG25" s="111" t="n"/>
      <c r="NH25" s="111" t="n"/>
      <c r="NI25" s="111" t="n"/>
      <c r="NJ25" s="111" t="n"/>
      <c r="NK25" s="111" t="n"/>
      <c r="NL25" s="111" t="n"/>
      <c r="NM25" s="111" t="n"/>
      <c r="NN25" s="111" t="n"/>
      <c r="NO25" s="111" t="n"/>
      <c r="NP25" s="111" t="n"/>
      <c r="NQ25" s="111" t="n"/>
    </row>
    <row r="26" customFormat="1" s="17">
      <c r="A26" s="33">
        <f>IF(ISERROR(VALUE(SUBSTITUTE(OFFSET(A26,-1,0,1,1),".",""))),"0.1",IF(ISERROR(FIND("`",SUBSTITUTE(OFFSET(A26,-1,0,1,1),".","`",1))),OFFSET(A26,-1,0,1,1)&amp;".1",LEFT(OFFSET(A26,-1,0,1,1),FIND("`",SUBSTITUTE(OFFSET(A26,-1,0,1,1),".","`",1)))&amp;IF(ISERROR(FIND("`",SUBSTITUTE(OFFSET(A26,-1,0,1,1),".","`",2))),VALUE(RIGHT(OFFSET(A26,-1,0,1,1),LEN(OFFSET(A26,-1,0,1,1))-FIND("`",SUBSTITUTE(OFFSET(A26,-1,0,1,1),".","`",1))))+1,VALUE(MID(OFFSET(A26,-1,0,1,1),FIND("`",SUBSTITUTE(OFFSET(A26,-1,0,1,1),".","`",1))+1,(FIND("`",SUBSTITUTE(OFFSET(A26,-1,0,1,1),".","`",2))-FIND("`",SUBSTITUTE(OFFSET(A26,-1,0,1,1),".","`",1))-1)))+1)))</f>
        <v/>
      </c>
      <c r="B26" s="10" t="inlineStr">
        <is>
          <t>[ Level 2 Task ]</t>
        </is>
      </c>
      <c r="C26" s="11" t="n"/>
      <c r="D26" s="37" t="n"/>
      <c r="E26" s="37" t="n"/>
      <c r="F26" s="37" t="n"/>
      <c r="G26" s="274">
        <f>G6-5</f>
        <v/>
      </c>
      <c r="H26" s="275">
        <f>IF(K26=0,G26,WORKDAY(IF(WEEKDAY(G26,1)=7,G26+2,IF(WEEKDAY(G26,1)=1,G26+1,G26)),K26-1,holidays))</f>
        <v/>
      </c>
      <c r="I26" s="272" t="n">
        <v>41640</v>
      </c>
      <c r="J26" s="272" t="n">
        <v>41640</v>
      </c>
      <c r="K26" s="79" t="n">
        <v>1</v>
      </c>
      <c r="L26" s="80" t="n"/>
      <c r="M26" s="14">
        <f>IF(OR(G26=0,H26=0),0,H26-G26+1)</f>
        <v/>
      </c>
      <c r="N26" s="15">
        <f>MIN(M26,WORKDAY(G26,ROUNDDOWN(L26*K26,0),holidays)-G26)</f>
        <v/>
      </c>
      <c r="O26" s="14">
        <f>M26-N26</f>
        <v/>
      </c>
      <c r="P26" s="113" t="n"/>
      <c r="Q26" s="17" t="n"/>
      <c r="R26" s="111" t="n"/>
      <c r="S26" s="111" t="n"/>
      <c r="T26" s="111" t="n"/>
      <c r="U26" s="111" t="n"/>
      <c r="V26" s="111" t="n"/>
      <c r="W26" s="111" t="n"/>
      <c r="X26" s="111" t="n"/>
      <c r="Y26" s="111" t="n"/>
      <c r="Z26" s="111" t="n"/>
      <c r="AA26" s="111" t="n"/>
      <c r="AB26" s="111" t="n"/>
      <c r="AC26" s="111" t="n"/>
      <c r="AD26" s="111" t="n"/>
      <c r="AE26" s="111" t="n"/>
      <c r="AF26" s="111" t="n"/>
      <c r="AG26" s="111" t="n"/>
      <c r="AH26" s="111" t="n"/>
      <c r="AI26" s="111" t="n"/>
      <c r="AJ26" s="111" t="n"/>
      <c r="AK26" s="111" t="n"/>
      <c r="AL26" s="111" t="n"/>
      <c r="AM26" s="111" t="n"/>
      <c r="AN26" s="111" t="n"/>
      <c r="AO26" s="111" t="n"/>
      <c r="AP26" s="111" t="n"/>
      <c r="AQ26" s="111" t="n"/>
      <c r="AR26" s="111" t="n"/>
      <c r="AS26" s="111" t="n"/>
      <c r="AT26" s="111" t="n"/>
      <c r="AU26" s="111" t="n"/>
      <c r="AV26" s="111" t="n"/>
      <c r="AW26" s="111" t="n"/>
      <c r="AX26" s="111" t="n"/>
      <c r="AY26" s="111" t="n"/>
      <c r="AZ26" s="111" t="n"/>
      <c r="BA26" s="111" t="n"/>
      <c r="BB26" s="111" t="n"/>
      <c r="BC26" s="111" t="n"/>
      <c r="BD26" s="111" t="n"/>
      <c r="BE26" s="111" t="n"/>
      <c r="BF26" s="111" t="n"/>
      <c r="BG26" s="111" t="n"/>
      <c r="BH26" s="111" t="n"/>
      <c r="BI26" s="111" t="n"/>
      <c r="BJ26" s="111" t="n"/>
      <c r="BK26" s="111" t="n"/>
      <c r="BL26" s="111" t="n"/>
      <c r="BM26" s="111" t="n"/>
      <c r="BN26" s="111" t="n"/>
      <c r="BO26" s="111" t="n"/>
      <c r="BP26" s="111" t="n"/>
      <c r="BQ26" s="111" t="n"/>
      <c r="BR26" s="111" t="n"/>
      <c r="BS26" s="111" t="n"/>
      <c r="BT26" s="111" t="n"/>
      <c r="BU26" s="111" t="n"/>
      <c r="BV26" s="111" t="n"/>
      <c r="BW26" s="111" t="n"/>
      <c r="BX26" s="111" t="n"/>
      <c r="BY26" s="111" t="n"/>
      <c r="BZ26" s="111" t="n"/>
      <c r="CA26" s="111" t="n"/>
      <c r="CB26" s="111" t="n"/>
      <c r="CC26" s="111" t="n"/>
      <c r="CD26" s="111" t="n"/>
      <c r="CE26" s="111" t="n"/>
      <c r="CF26" s="111" t="n"/>
      <c r="CG26" s="111" t="n"/>
      <c r="CH26" s="111" t="n"/>
      <c r="CI26" s="111" t="n"/>
      <c r="CJ26" s="111" t="n"/>
      <c r="CK26" s="111" t="n"/>
      <c r="CL26" s="111" t="n"/>
      <c r="CM26" s="111" t="n"/>
      <c r="CN26" s="111" t="n"/>
      <c r="CO26" s="111" t="n"/>
      <c r="CP26" s="111" t="n"/>
      <c r="CQ26" s="111" t="n"/>
      <c r="CR26" s="111" t="n"/>
      <c r="CS26" s="111" t="n"/>
      <c r="CT26" s="111" t="n"/>
      <c r="CU26" s="111" t="n"/>
      <c r="CV26" s="111" t="n"/>
      <c r="CW26" s="111" t="n"/>
      <c r="CX26" s="111" t="n"/>
      <c r="CY26" s="111" t="n"/>
      <c r="CZ26" s="111" t="n"/>
      <c r="DA26" s="111" t="n"/>
      <c r="DB26" s="111" t="n"/>
      <c r="DC26" s="111" t="n"/>
      <c r="DD26" s="111" t="n"/>
      <c r="DE26" s="111" t="n"/>
      <c r="DF26" s="111" t="n"/>
      <c r="DG26" s="111" t="n"/>
      <c r="DH26" s="111" t="n"/>
      <c r="DI26" s="111" t="n"/>
      <c r="DJ26" s="111" t="n"/>
      <c r="DK26" s="111" t="n"/>
      <c r="DL26" s="111" t="n"/>
      <c r="DM26" s="111" t="n"/>
      <c r="DN26" s="111" t="n"/>
      <c r="DO26" s="111" t="n"/>
      <c r="DP26" s="111" t="n"/>
      <c r="DQ26" s="111" t="n"/>
      <c r="DR26" s="111" t="n"/>
      <c r="DS26" s="111" t="n"/>
      <c r="DT26" s="111" t="n"/>
      <c r="DU26" s="111" t="n"/>
      <c r="DV26" s="111" t="n"/>
      <c r="DW26" s="111" t="n"/>
      <c r="DX26" s="111" t="n"/>
      <c r="DY26" s="111" t="n"/>
      <c r="DZ26" s="111" t="n"/>
      <c r="EA26" s="111" t="n"/>
      <c r="EB26" s="111" t="n"/>
      <c r="EC26" s="111" t="n"/>
      <c r="ED26" s="111" t="n"/>
      <c r="EE26" s="111" t="n"/>
      <c r="EF26" s="111" t="n"/>
      <c r="EG26" s="111" t="n"/>
      <c r="EH26" s="111" t="n"/>
      <c r="EI26" s="111" t="n"/>
      <c r="EJ26" s="111" t="n"/>
      <c r="EK26" s="111" t="n"/>
      <c r="EL26" s="111" t="n"/>
      <c r="EM26" s="111" t="n"/>
      <c r="EN26" s="111" t="n"/>
      <c r="EO26" s="111" t="n"/>
      <c r="EP26" s="111" t="n"/>
      <c r="EQ26" s="111" t="n"/>
      <c r="ER26" s="111" t="n"/>
      <c r="ES26" s="111" t="n"/>
      <c r="ET26" s="111" t="n"/>
      <c r="EU26" s="111" t="n"/>
      <c r="EV26" s="111" t="n"/>
      <c r="EW26" s="111" t="n"/>
      <c r="EX26" s="111" t="n"/>
      <c r="EY26" s="111" t="n"/>
      <c r="EZ26" s="111" t="n"/>
      <c r="FA26" s="111" t="n"/>
      <c r="FB26" s="111" t="n"/>
      <c r="FC26" s="111" t="n"/>
      <c r="FD26" s="111" t="n"/>
      <c r="FE26" s="111" t="n"/>
      <c r="FF26" s="111" t="n"/>
      <c r="FG26" s="111" t="n"/>
      <c r="FH26" s="111" t="n"/>
      <c r="FI26" s="111" t="n"/>
      <c r="FJ26" s="111" t="n"/>
      <c r="FK26" s="111" t="n"/>
      <c r="FL26" s="111" t="n"/>
      <c r="FM26" s="111" t="n"/>
      <c r="FN26" s="111" t="n"/>
      <c r="FO26" s="111" t="n"/>
      <c r="FP26" s="111" t="n"/>
      <c r="FQ26" s="111" t="n"/>
      <c r="FR26" s="111" t="n"/>
      <c r="FS26" s="111" t="n"/>
      <c r="FT26" s="111" t="n"/>
      <c r="FU26" s="111" t="n"/>
      <c r="FV26" s="111" t="n"/>
      <c r="FW26" s="111" t="n"/>
      <c r="FX26" s="111" t="n"/>
      <c r="FY26" s="111" t="n"/>
      <c r="FZ26" s="111" t="n"/>
      <c r="GA26" s="111" t="n"/>
      <c r="GB26" s="111" t="n"/>
      <c r="GC26" s="111" t="n"/>
      <c r="GD26" s="111" t="n"/>
      <c r="GE26" s="111" t="n"/>
      <c r="GF26" s="111" t="n"/>
      <c r="GG26" s="111" t="n"/>
      <c r="GH26" s="111" t="n"/>
      <c r="GI26" s="111" t="n"/>
      <c r="GJ26" s="111" t="n"/>
      <c r="GK26" s="111" t="n"/>
      <c r="GL26" s="111" t="n"/>
      <c r="GM26" s="111" t="n"/>
      <c r="GN26" s="111" t="n"/>
      <c r="GO26" s="111" t="n"/>
      <c r="GP26" s="111" t="n"/>
      <c r="GQ26" s="111" t="n"/>
      <c r="GR26" s="111" t="n"/>
      <c r="GS26" s="111" t="n"/>
      <c r="GT26" s="111" t="n"/>
      <c r="GU26" s="111" t="n"/>
      <c r="GV26" s="111" t="n"/>
      <c r="GW26" s="111" t="n"/>
      <c r="GX26" s="111" t="n"/>
      <c r="GY26" s="111" t="n"/>
      <c r="GZ26" s="111" t="n"/>
      <c r="HA26" s="111" t="n"/>
      <c r="HB26" s="111" t="n"/>
      <c r="HC26" s="111" t="n"/>
      <c r="HD26" s="111" t="n"/>
      <c r="HE26" s="111" t="n"/>
      <c r="HF26" s="111" t="n"/>
      <c r="HG26" s="111" t="n"/>
      <c r="HH26" s="111" t="n"/>
      <c r="HI26" s="111" t="n"/>
      <c r="HJ26" s="111" t="n"/>
      <c r="HK26" s="111" t="n"/>
      <c r="HL26" s="111" t="n"/>
      <c r="HM26" s="111" t="n"/>
      <c r="HN26" s="111" t="n"/>
      <c r="HO26" s="111" t="n"/>
      <c r="HP26" s="111" t="n"/>
      <c r="HQ26" s="111" t="n"/>
      <c r="HR26" s="111" t="n"/>
      <c r="HS26" s="111" t="n"/>
      <c r="HT26" s="111" t="n"/>
      <c r="HU26" s="111" t="n"/>
      <c r="HV26" s="111" t="n"/>
      <c r="HW26" s="111" t="n"/>
      <c r="HX26" s="111" t="n"/>
      <c r="HY26" s="111" t="n"/>
      <c r="HZ26" s="111" t="n"/>
      <c r="IA26" s="111" t="n"/>
      <c r="IB26" s="111" t="n"/>
      <c r="IC26" s="111" t="n"/>
      <c r="ID26" s="111" t="n"/>
      <c r="IE26" s="111" t="n"/>
      <c r="IF26" s="111" t="n"/>
      <c r="IG26" s="111" t="n"/>
      <c r="IH26" s="111" t="n"/>
      <c r="II26" s="111" t="n"/>
      <c r="IJ26" s="111" t="n"/>
      <c r="IK26" s="111" t="n"/>
      <c r="IL26" s="111" t="n"/>
      <c r="IM26" s="111" t="n"/>
      <c r="IN26" s="111" t="n"/>
      <c r="IO26" s="111" t="n"/>
      <c r="IP26" s="111" t="n"/>
      <c r="IQ26" s="111" t="n"/>
      <c r="IR26" s="111" t="n"/>
      <c r="IS26" s="111" t="n"/>
      <c r="IT26" s="111" t="n"/>
      <c r="IU26" s="111" t="n"/>
      <c r="IV26" s="111" t="n"/>
      <c r="IW26" s="111" t="n"/>
      <c r="IX26" s="111" t="n"/>
      <c r="IY26" s="111" t="n"/>
      <c r="IZ26" s="111" t="n"/>
      <c r="JA26" s="111" t="n"/>
      <c r="JB26" s="111" t="n"/>
      <c r="JC26" s="111" t="n"/>
      <c r="JD26" s="111" t="n"/>
      <c r="JE26" s="111" t="n"/>
      <c r="JF26" s="111" t="n"/>
      <c r="JG26" s="111" t="n"/>
      <c r="JH26" s="111" t="n"/>
      <c r="JI26" s="111" t="n"/>
      <c r="JJ26" s="111" t="n"/>
      <c r="JK26" s="111" t="n"/>
      <c r="JL26" s="111" t="n"/>
      <c r="JM26" s="111" t="n"/>
      <c r="JN26" s="111" t="n"/>
      <c r="JO26" s="111" t="n"/>
      <c r="JP26" s="111" t="n"/>
      <c r="JQ26" s="111" t="n"/>
      <c r="JR26" s="111" t="n"/>
      <c r="JS26" s="111" t="n"/>
      <c r="JT26" s="111" t="n"/>
      <c r="JU26" s="111" t="n"/>
      <c r="JV26" s="111" t="n"/>
      <c r="JW26" s="111" t="n"/>
      <c r="JX26" s="111" t="n"/>
      <c r="JY26" s="111" t="n"/>
      <c r="JZ26" s="111" t="n"/>
      <c r="KA26" s="111" t="n"/>
      <c r="KB26" s="111" t="n"/>
      <c r="KC26" s="111" t="n"/>
      <c r="KD26" s="111" t="n"/>
      <c r="KE26" s="111" t="n"/>
      <c r="KF26" s="111" t="n"/>
      <c r="KG26" s="111" t="n"/>
      <c r="KH26" s="111" t="n"/>
      <c r="KI26" s="111" t="n"/>
      <c r="KJ26" s="111" t="n"/>
      <c r="KK26" s="111" t="n"/>
      <c r="KL26" s="111" t="n"/>
      <c r="KM26" s="111" t="n"/>
      <c r="KN26" s="111" t="n"/>
      <c r="KO26" s="111" t="n"/>
      <c r="KP26" s="111" t="n"/>
      <c r="KQ26" s="111" t="n"/>
      <c r="KR26" s="111" t="n"/>
      <c r="KS26" s="111" t="n"/>
      <c r="KT26" s="111" t="n"/>
      <c r="KU26" s="111" t="n"/>
      <c r="KV26" s="111" t="n"/>
      <c r="KW26" s="111" t="n"/>
      <c r="KX26" s="111" t="n"/>
      <c r="KY26" s="111" t="n"/>
      <c r="KZ26" s="111" t="n"/>
      <c r="LA26" s="111" t="n"/>
      <c r="LB26" s="111" t="n"/>
      <c r="LC26" s="111" t="n"/>
      <c r="LD26" s="111" t="n"/>
      <c r="LE26" s="111" t="n"/>
      <c r="LF26" s="111" t="n"/>
      <c r="LG26" s="111" t="n"/>
      <c r="LH26" s="111" t="n"/>
      <c r="LI26" s="111" t="n"/>
      <c r="LJ26" s="111" t="n"/>
      <c r="LK26" s="111" t="n"/>
      <c r="LL26" s="111" t="n"/>
      <c r="LM26" s="111" t="n"/>
      <c r="LN26" s="111" t="n"/>
      <c r="LO26" s="111" t="n"/>
      <c r="LP26" s="111" t="n"/>
      <c r="LQ26" s="111" t="n"/>
      <c r="LR26" s="111" t="n"/>
      <c r="LS26" s="111" t="n"/>
      <c r="LT26" s="111" t="n"/>
      <c r="LU26" s="111" t="n"/>
      <c r="LV26" s="111" t="n"/>
      <c r="LW26" s="111" t="n"/>
      <c r="LX26" s="111" t="n"/>
      <c r="LY26" s="111" t="n"/>
      <c r="LZ26" s="111" t="n"/>
      <c r="MA26" s="111" t="n"/>
      <c r="MB26" s="111" t="n"/>
      <c r="MC26" s="111" t="n"/>
      <c r="MD26" s="111" t="n"/>
      <c r="ME26" s="111" t="n"/>
      <c r="MF26" s="111" t="n"/>
      <c r="MG26" s="111" t="n"/>
      <c r="MH26" s="111" t="n"/>
      <c r="MI26" s="111" t="n"/>
      <c r="MJ26" s="111" t="n"/>
      <c r="MK26" s="111" t="n"/>
      <c r="ML26" s="111" t="n"/>
      <c r="MM26" s="111" t="n"/>
      <c r="MN26" s="111" t="n"/>
      <c r="MO26" s="111" t="n"/>
      <c r="MP26" s="111" t="n"/>
      <c r="MQ26" s="111" t="n"/>
      <c r="MR26" s="111" t="n"/>
      <c r="MS26" s="111" t="n"/>
      <c r="MT26" s="111" t="n"/>
      <c r="MU26" s="111" t="n"/>
      <c r="MV26" s="111" t="n"/>
      <c r="MW26" s="111" t="n"/>
      <c r="MX26" s="111" t="n"/>
      <c r="MY26" s="111" t="n"/>
      <c r="MZ26" s="111" t="n"/>
      <c r="NA26" s="111" t="n"/>
      <c r="NB26" s="111" t="n"/>
      <c r="NC26" s="111" t="n"/>
      <c r="ND26" s="111" t="n"/>
      <c r="NE26" s="111" t="n"/>
      <c r="NF26" s="111" t="n"/>
      <c r="NG26" s="111" t="n"/>
      <c r="NH26" s="111" t="n"/>
      <c r="NI26" s="111" t="n"/>
      <c r="NJ26" s="111" t="n"/>
      <c r="NK26" s="111" t="n"/>
      <c r="NL26" s="111" t="n"/>
      <c r="NM26" s="111" t="n"/>
      <c r="NN26" s="111" t="n"/>
      <c r="NO26" s="111" t="n"/>
      <c r="NP26" s="111" t="n"/>
      <c r="NQ26" s="111" t="n"/>
    </row>
    <row r="27" customFormat="1" s="17">
      <c r="A27" s="33">
        <f>IF(ISERROR(VALUE(SUBSTITUTE(OFFSET(A27,-1,0,1,1),".",""))),"0.1",IF(ISERROR(FIND("`",SUBSTITUTE(OFFSET(A27,-1,0,1,1),".","`",1))),OFFSET(A27,-1,0,1,1)&amp;".1",LEFT(OFFSET(A27,-1,0,1,1),FIND("`",SUBSTITUTE(OFFSET(A27,-1,0,1,1),".","`",1)))&amp;IF(ISERROR(FIND("`",SUBSTITUTE(OFFSET(A27,-1,0,1,1),".","`",2))),VALUE(RIGHT(OFFSET(A27,-1,0,1,1),LEN(OFFSET(A27,-1,0,1,1))-FIND("`",SUBSTITUTE(OFFSET(A27,-1,0,1,1),".","`",1))))+1,VALUE(MID(OFFSET(A27,-1,0,1,1),FIND("`",SUBSTITUTE(OFFSET(A27,-1,0,1,1),".","`",1))+1,(FIND("`",SUBSTITUTE(OFFSET(A27,-1,0,1,1),".","`",2))-FIND("`",SUBSTITUTE(OFFSET(A27,-1,0,1,1),".","`",1))-1)))+1)))</f>
        <v/>
      </c>
      <c r="B27" s="10" t="inlineStr">
        <is>
          <t>[ Level 2 Task ]</t>
        </is>
      </c>
      <c r="C27" s="11" t="n"/>
      <c r="D27" s="37" t="n"/>
      <c r="E27" s="37" t="n"/>
      <c r="F27" s="37" t="n"/>
      <c r="G27" s="274">
        <f>H26+1</f>
        <v/>
      </c>
      <c r="H27" s="275">
        <f>IF(K27=0,G27,WORKDAY(IF(WEEKDAY(G27,1)=7,G27+2,IF(WEEKDAY(G27,1)=1,G27+1,G27)),K27-1,holidays))</f>
        <v/>
      </c>
      <c r="I27" s="272" t="n">
        <v>41641</v>
      </c>
      <c r="J27" s="272" t="n">
        <v>41642</v>
      </c>
      <c r="K27" s="79" t="n">
        <v>2</v>
      </c>
      <c r="L27" s="80" t="n"/>
      <c r="M27" s="14">
        <f>IF(OR(G27=0,H27=0),0,H27-G27+1)</f>
        <v/>
      </c>
      <c r="N27" s="15">
        <f>MIN(M27,WORKDAY(G27,ROUNDDOWN(L27*K27,0),holidays)-G27)</f>
        <v/>
      </c>
      <c r="O27" s="14">
        <f>M27-N27</f>
        <v/>
      </c>
      <c r="P27" s="113" t="n"/>
      <c r="Q27" s="17"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c r="GU27" s="111" t="n"/>
      <c r="GV27" s="111" t="n"/>
      <c r="GW27" s="111" t="n"/>
      <c r="GX27" s="111" t="n"/>
      <c r="GY27" s="111" t="n"/>
      <c r="GZ27" s="111" t="n"/>
      <c r="HA27" s="111" t="n"/>
      <c r="HB27" s="111" t="n"/>
      <c r="HC27" s="111" t="n"/>
      <c r="HD27" s="111" t="n"/>
      <c r="HE27" s="111" t="n"/>
      <c r="HF27" s="111" t="n"/>
      <c r="HG27" s="111" t="n"/>
      <c r="HH27" s="111" t="n"/>
      <c r="HI27" s="111" t="n"/>
      <c r="HJ27" s="111" t="n"/>
      <c r="HK27" s="111" t="n"/>
      <c r="HL27" s="111" t="n"/>
      <c r="HM27" s="111" t="n"/>
      <c r="HN27" s="111" t="n"/>
      <c r="HO27" s="111" t="n"/>
      <c r="HP27" s="111" t="n"/>
      <c r="HQ27" s="111" t="n"/>
      <c r="HR27" s="111" t="n"/>
      <c r="HS27" s="111" t="n"/>
      <c r="HT27" s="111" t="n"/>
      <c r="HU27" s="111" t="n"/>
      <c r="HV27" s="111" t="n"/>
      <c r="HW27" s="111" t="n"/>
      <c r="HX27" s="111" t="n"/>
      <c r="HY27" s="111" t="n"/>
      <c r="HZ27" s="111" t="n"/>
      <c r="IA27" s="111" t="n"/>
      <c r="IB27" s="111" t="n"/>
      <c r="IC27" s="111" t="n"/>
      <c r="ID27" s="111" t="n"/>
      <c r="IE27" s="111" t="n"/>
      <c r="IF27" s="111" t="n"/>
      <c r="IG27" s="111" t="n"/>
      <c r="IH27" s="111" t="n"/>
      <c r="II27" s="111" t="n"/>
      <c r="IJ27" s="111" t="n"/>
      <c r="IK27" s="111" t="n"/>
      <c r="IL27" s="111" t="n"/>
      <c r="IM27" s="111" t="n"/>
      <c r="IN27" s="111" t="n"/>
      <c r="IO27" s="111" t="n"/>
      <c r="IP27" s="111" t="n"/>
      <c r="IQ27" s="111" t="n"/>
      <c r="IR27" s="111" t="n"/>
      <c r="IS27" s="111" t="n"/>
      <c r="IT27" s="111" t="n"/>
      <c r="IU27" s="111" t="n"/>
      <c r="IV27" s="111" t="n"/>
      <c r="IW27" s="111" t="n"/>
      <c r="IX27" s="111" t="n"/>
      <c r="IY27" s="111" t="n"/>
      <c r="IZ27" s="111" t="n"/>
      <c r="JA27" s="111" t="n"/>
      <c r="JB27" s="111" t="n"/>
      <c r="JC27" s="111" t="n"/>
      <c r="JD27" s="111" t="n"/>
      <c r="JE27" s="111" t="n"/>
      <c r="JF27" s="111" t="n"/>
      <c r="JG27" s="111" t="n"/>
      <c r="JH27" s="111" t="n"/>
      <c r="JI27" s="111" t="n"/>
      <c r="JJ27" s="111" t="n"/>
      <c r="JK27" s="111" t="n"/>
      <c r="JL27" s="111" t="n"/>
      <c r="JM27" s="111" t="n"/>
      <c r="JN27" s="111" t="n"/>
      <c r="JO27" s="111" t="n"/>
      <c r="JP27" s="111" t="n"/>
      <c r="JQ27" s="111" t="n"/>
      <c r="JR27" s="111" t="n"/>
      <c r="JS27" s="111" t="n"/>
      <c r="JT27" s="111" t="n"/>
      <c r="JU27" s="111" t="n"/>
      <c r="JV27" s="111" t="n"/>
      <c r="JW27" s="111" t="n"/>
      <c r="JX27" s="111" t="n"/>
      <c r="JY27" s="111" t="n"/>
      <c r="JZ27" s="111" t="n"/>
      <c r="KA27" s="111" t="n"/>
      <c r="KB27" s="111" t="n"/>
      <c r="KC27" s="111" t="n"/>
      <c r="KD27" s="111" t="n"/>
      <c r="KE27" s="111" t="n"/>
      <c r="KF27" s="111" t="n"/>
      <c r="KG27" s="111" t="n"/>
      <c r="KH27" s="111" t="n"/>
      <c r="KI27" s="111" t="n"/>
      <c r="KJ27" s="111" t="n"/>
      <c r="KK27" s="111" t="n"/>
      <c r="KL27" s="111" t="n"/>
      <c r="KM27" s="111" t="n"/>
      <c r="KN27" s="111" t="n"/>
      <c r="KO27" s="111" t="n"/>
      <c r="KP27" s="111" t="n"/>
      <c r="KQ27" s="111" t="n"/>
      <c r="KR27" s="111" t="n"/>
      <c r="KS27" s="111" t="n"/>
      <c r="KT27" s="111" t="n"/>
      <c r="KU27" s="111" t="n"/>
      <c r="KV27" s="111" t="n"/>
      <c r="KW27" s="111" t="n"/>
      <c r="KX27" s="111" t="n"/>
      <c r="KY27" s="111" t="n"/>
      <c r="KZ27" s="111" t="n"/>
      <c r="LA27" s="111" t="n"/>
      <c r="LB27" s="111" t="n"/>
      <c r="LC27" s="111" t="n"/>
      <c r="LD27" s="111" t="n"/>
      <c r="LE27" s="111" t="n"/>
      <c r="LF27" s="111" t="n"/>
      <c r="LG27" s="111" t="n"/>
      <c r="LH27" s="111" t="n"/>
      <c r="LI27" s="111" t="n"/>
      <c r="LJ27" s="111" t="n"/>
      <c r="LK27" s="111" t="n"/>
      <c r="LL27" s="111" t="n"/>
      <c r="LM27" s="111" t="n"/>
      <c r="LN27" s="111" t="n"/>
      <c r="LO27" s="111" t="n"/>
      <c r="LP27" s="111" t="n"/>
      <c r="LQ27" s="111" t="n"/>
      <c r="LR27" s="111" t="n"/>
      <c r="LS27" s="111" t="n"/>
      <c r="LT27" s="111" t="n"/>
      <c r="LU27" s="111" t="n"/>
      <c r="LV27" s="111" t="n"/>
      <c r="LW27" s="111" t="n"/>
      <c r="LX27" s="111" t="n"/>
      <c r="LY27" s="111" t="n"/>
      <c r="LZ27" s="111" t="n"/>
      <c r="MA27" s="111" t="n"/>
      <c r="MB27" s="111" t="n"/>
      <c r="MC27" s="111" t="n"/>
      <c r="MD27" s="111" t="n"/>
      <c r="ME27" s="111" t="n"/>
      <c r="MF27" s="111" t="n"/>
      <c r="MG27" s="111" t="n"/>
      <c r="MH27" s="111" t="n"/>
      <c r="MI27" s="111" t="n"/>
      <c r="MJ27" s="111" t="n"/>
      <c r="MK27" s="111" t="n"/>
      <c r="ML27" s="111" t="n"/>
      <c r="MM27" s="111" t="n"/>
      <c r="MN27" s="111" t="n"/>
      <c r="MO27" s="111" t="n"/>
      <c r="MP27" s="111" t="n"/>
      <c r="MQ27" s="111" t="n"/>
      <c r="MR27" s="111" t="n"/>
      <c r="MS27" s="111" t="n"/>
      <c r="MT27" s="111" t="n"/>
      <c r="MU27" s="111" t="n"/>
      <c r="MV27" s="111" t="n"/>
      <c r="MW27" s="111" t="n"/>
      <c r="MX27" s="111" t="n"/>
      <c r="MY27" s="111" t="n"/>
      <c r="MZ27" s="111" t="n"/>
      <c r="NA27" s="111" t="n"/>
      <c r="NB27" s="111" t="n"/>
      <c r="NC27" s="111" t="n"/>
      <c r="ND27" s="111" t="n"/>
      <c r="NE27" s="111" t="n"/>
      <c r="NF27" s="111" t="n"/>
      <c r="NG27" s="111" t="n"/>
      <c r="NH27" s="111" t="n"/>
      <c r="NI27" s="111" t="n"/>
      <c r="NJ27" s="111" t="n"/>
      <c r="NK27" s="111" t="n"/>
      <c r="NL27" s="111" t="n"/>
      <c r="NM27" s="111" t="n"/>
      <c r="NN27" s="111" t="n"/>
      <c r="NO27" s="111" t="n"/>
      <c r="NP27" s="111" t="n"/>
      <c r="NQ27" s="111" t="n"/>
    </row>
    <row r="28" customFormat="1" s="17">
      <c r="A28" s="33">
        <f>IF(ISERROR(VALUE(SUBSTITUTE(OFFSET(A28,-1,0,1,1),".",""))),"0.1",IF(ISERROR(FIND("`",SUBSTITUTE(OFFSET(A28,-1,0,1,1),".","`",1))),OFFSET(A28,-1,0,1,1)&amp;".1",LEFT(OFFSET(A28,-1,0,1,1),FIND("`",SUBSTITUTE(OFFSET(A28,-1,0,1,1),".","`",1)))&amp;IF(ISERROR(FIND("`",SUBSTITUTE(OFFSET(A28,-1,0,1,1),".","`",2))),VALUE(RIGHT(OFFSET(A28,-1,0,1,1),LEN(OFFSET(A28,-1,0,1,1))-FIND("`",SUBSTITUTE(OFFSET(A28,-1,0,1,1),".","`",1))))+1,VALUE(MID(OFFSET(A28,-1,0,1,1),FIND("`",SUBSTITUTE(OFFSET(A28,-1,0,1,1),".","`",1))+1,(FIND("`",SUBSTITUTE(OFFSET(A28,-1,0,1,1),".","`",2))-FIND("`",SUBSTITUTE(OFFSET(A28,-1,0,1,1),".","`",1))-1)))+1)))</f>
        <v/>
      </c>
      <c r="B28" s="10" t="inlineStr">
        <is>
          <t>[ Level 2 Task ]</t>
        </is>
      </c>
      <c r="C28" s="11" t="n"/>
      <c r="D28" s="37" t="n"/>
      <c r="E28" s="37" t="n"/>
      <c r="F28" s="37" t="n"/>
      <c r="G28" s="274">
        <f>H27+1</f>
        <v/>
      </c>
      <c r="H28" s="275">
        <f>IF(K28=0,G28,WORKDAY(IF(WEEKDAY(G28,1)=7,G28+2,IF(WEEKDAY(G28,1)=1,G28+1,G28)),K28-1,holidays))</f>
        <v/>
      </c>
      <c r="I28" s="272" t="n">
        <v>41643</v>
      </c>
      <c r="J28" s="272" t="n">
        <v>41647</v>
      </c>
      <c r="K28" s="79" t="n">
        <v>3</v>
      </c>
      <c r="L28" s="80" t="n"/>
      <c r="M28" s="14">
        <f>IF(OR(G28=0,H28=0),0,H28-G28+1)</f>
        <v/>
      </c>
      <c r="N28" s="15">
        <f>MIN(M28,WORKDAY(G28,ROUNDDOWN(L28*K28,0),holidays)-G28)</f>
        <v/>
      </c>
      <c r="O28" s="14">
        <f>M28-N28</f>
        <v/>
      </c>
      <c r="P28" s="113" t="n"/>
      <c r="Q28" s="17"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c r="GU28" s="111" t="n"/>
      <c r="GV28" s="111" t="n"/>
      <c r="GW28" s="111" t="n"/>
      <c r="GX28" s="111" t="n"/>
      <c r="GY28" s="111" t="n"/>
      <c r="GZ28" s="111" t="n"/>
      <c r="HA28" s="111" t="n"/>
      <c r="HB28" s="111" t="n"/>
      <c r="HC28" s="111" t="n"/>
      <c r="HD28" s="111" t="n"/>
      <c r="HE28" s="111" t="n"/>
      <c r="HF28" s="111" t="n"/>
      <c r="HG28" s="111" t="n"/>
      <c r="HH28" s="111" t="n"/>
      <c r="HI28" s="111" t="n"/>
      <c r="HJ28" s="111" t="n"/>
      <c r="HK28" s="111" t="n"/>
      <c r="HL28" s="111" t="n"/>
      <c r="HM28" s="111" t="n"/>
      <c r="HN28" s="111" t="n"/>
      <c r="HO28" s="111" t="n"/>
      <c r="HP28" s="111" t="n"/>
      <c r="HQ28" s="111" t="n"/>
      <c r="HR28" s="111" t="n"/>
      <c r="HS28" s="111" t="n"/>
      <c r="HT28" s="111" t="n"/>
      <c r="HU28" s="111" t="n"/>
      <c r="HV28" s="111" t="n"/>
      <c r="HW28" s="111" t="n"/>
      <c r="HX28" s="111" t="n"/>
      <c r="HY28" s="111" t="n"/>
      <c r="HZ28" s="111" t="n"/>
      <c r="IA28" s="111" t="n"/>
      <c r="IB28" s="111" t="n"/>
      <c r="IC28" s="111" t="n"/>
      <c r="ID28" s="111" t="n"/>
      <c r="IE28" s="111" t="n"/>
      <c r="IF28" s="111" t="n"/>
      <c r="IG28" s="111" t="n"/>
      <c r="IH28" s="111" t="n"/>
      <c r="II28" s="111" t="n"/>
      <c r="IJ28" s="111" t="n"/>
      <c r="IK28" s="111" t="n"/>
      <c r="IL28" s="111" t="n"/>
      <c r="IM28" s="111" t="n"/>
      <c r="IN28" s="111" t="n"/>
      <c r="IO28" s="111" t="n"/>
      <c r="IP28" s="111" t="n"/>
      <c r="IQ28" s="111" t="n"/>
      <c r="IR28" s="111" t="n"/>
      <c r="IS28" s="111" t="n"/>
      <c r="IT28" s="111" t="n"/>
      <c r="IU28" s="111" t="n"/>
      <c r="IV28" s="111" t="n"/>
      <c r="IW28" s="111" t="n"/>
      <c r="IX28" s="111" t="n"/>
      <c r="IY28" s="111" t="n"/>
      <c r="IZ28" s="111" t="n"/>
      <c r="JA28" s="111" t="n"/>
      <c r="JB28" s="111" t="n"/>
      <c r="JC28" s="111" t="n"/>
      <c r="JD28" s="111" t="n"/>
      <c r="JE28" s="111" t="n"/>
      <c r="JF28" s="111" t="n"/>
      <c r="JG28" s="111" t="n"/>
      <c r="JH28" s="111" t="n"/>
      <c r="JI28" s="111" t="n"/>
      <c r="JJ28" s="111" t="n"/>
      <c r="JK28" s="111" t="n"/>
      <c r="JL28" s="111" t="n"/>
      <c r="JM28" s="111" t="n"/>
      <c r="JN28" s="111" t="n"/>
      <c r="JO28" s="111" t="n"/>
      <c r="JP28" s="111" t="n"/>
      <c r="JQ28" s="111" t="n"/>
      <c r="JR28" s="111" t="n"/>
      <c r="JS28" s="111" t="n"/>
      <c r="JT28" s="111" t="n"/>
      <c r="JU28" s="111" t="n"/>
      <c r="JV28" s="111" t="n"/>
      <c r="JW28" s="111" t="n"/>
      <c r="JX28" s="111" t="n"/>
      <c r="JY28" s="111" t="n"/>
      <c r="JZ28" s="111" t="n"/>
      <c r="KA28" s="111" t="n"/>
      <c r="KB28" s="111" t="n"/>
      <c r="KC28" s="111" t="n"/>
      <c r="KD28" s="111" t="n"/>
      <c r="KE28" s="111" t="n"/>
      <c r="KF28" s="111" t="n"/>
      <c r="KG28" s="111" t="n"/>
      <c r="KH28" s="111" t="n"/>
      <c r="KI28" s="111" t="n"/>
      <c r="KJ28" s="111" t="n"/>
      <c r="KK28" s="111" t="n"/>
      <c r="KL28" s="111" t="n"/>
      <c r="KM28" s="111" t="n"/>
      <c r="KN28" s="111" t="n"/>
      <c r="KO28" s="111" t="n"/>
      <c r="KP28" s="111" t="n"/>
      <c r="KQ28" s="111" t="n"/>
      <c r="KR28" s="111" t="n"/>
      <c r="KS28" s="111" t="n"/>
      <c r="KT28" s="111" t="n"/>
      <c r="KU28" s="111" t="n"/>
      <c r="KV28" s="111" t="n"/>
      <c r="KW28" s="111" t="n"/>
      <c r="KX28" s="111" t="n"/>
      <c r="KY28" s="111" t="n"/>
      <c r="KZ28" s="111" t="n"/>
      <c r="LA28" s="111" t="n"/>
      <c r="LB28" s="111" t="n"/>
      <c r="LC28" s="111" t="n"/>
      <c r="LD28" s="111" t="n"/>
      <c r="LE28" s="111" t="n"/>
      <c r="LF28" s="111" t="n"/>
      <c r="LG28" s="111" t="n"/>
      <c r="LH28" s="111" t="n"/>
      <c r="LI28" s="111" t="n"/>
      <c r="LJ28" s="111" t="n"/>
      <c r="LK28" s="111" t="n"/>
      <c r="LL28" s="111" t="n"/>
      <c r="LM28" s="111" t="n"/>
      <c r="LN28" s="111" t="n"/>
      <c r="LO28" s="111" t="n"/>
      <c r="LP28" s="111" t="n"/>
      <c r="LQ28" s="111" t="n"/>
      <c r="LR28" s="111" t="n"/>
      <c r="LS28" s="111" t="n"/>
      <c r="LT28" s="111" t="n"/>
      <c r="LU28" s="111" t="n"/>
      <c r="LV28" s="111" t="n"/>
      <c r="LW28" s="111" t="n"/>
      <c r="LX28" s="111" t="n"/>
      <c r="LY28" s="111" t="n"/>
      <c r="LZ28" s="111" t="n"/>
      <c r="MA28" s="111" t="n"/>
      <c r="MB28" s="111" t="n"/>
      <c r="MC28" s="111" t="n"/>
      <c r="MD28" s="111" t="n"/>
      <c r="ME28" s="111" t="n"/>
      <c r="MF28" s="111" t="n"/>
      <c r="MG28" s="111" t="n"/>
      <c r="MH28" s="111" t="n"/>
      <c r="MI28" s="111" t="n"/>
      <c r="MJ28" s="111" t="n"/>
      <c r="MK28" s="111" t="n"/>
      <c r="ML28" s="111" t="n"/>
      <c r="MM28" s="111" t="n"/>
      <c r="MN28" s="111" t="n"/>
      <c r="MO28" s="111" t="n"/>
      <c r="MP28" s="111" t="n"/>
      <c r="MQ28" s="111" t="n"/>
      <c r="MR28" s="111" t="n"/>
      <c r="MS28" s="111" t="n"/>
      <c r="MT28" s="111" t="n"/>
      <c r="MU28" s="111" t="n"/>
      <c r="MV28" s="111" t="n"/>
      <c r="MW28" s="111" t="n"/>
      <c r="MX28" s="111" t="n"/>
      <c r="MY28" s="111" t="n"/>
      <c r="MZ28" s="111" t="n"/>
      <c r="NA28" s="111" t="n"/>
      <c r="NB28" s="111" t="n"/>
      <c r="NC28" s="111" t="n"/>
      <c r="ND28" s="111" t="n"/>
      <c r="NE28" s="111" t="n"/>
      <c r="NF28" s="111" t="n"/>
      <c r="NG28" s="111" t="n"/>
      <c r="NH28" s="111" t="n"/>
      <c r="NI28" s="111" t="n"/>
      <c r="NJ28" s="111" t="n"/>
      <c r="NK28" s="111" t="n"/>
      <c r="NL28" s="111" t="n"/>
      <c r="NM28" s="111" t="n"/>
      <c r="NN28" s="111" t="n"/>
      <c r="NO28" s="111" t="n"/>
      <c r="NP28" s="111" t="n"/>
      <c r="NQ28" s="111" t="n"/>
    </row>
    <row r="29" customFormat="1" s="17">
      <c r="A29" s="33">
        <f>IF(ISERROR(VALUE(SUBSTITUTE(OFFSET(A29,-1,0,1,1),".",""))),"0.1",IF(ISERROR(FIND("`",SUBSTITUTE(OFFSET(A29,-1,0,1,1),".","`",1))),OFFSET(A29,-1,0,1,1)&amp;".1",LEFT(OFFSET(A29,-1,0,1,1),FIND("`",SUBSTITUTE(OFFSET(A29,-1,0,1,1),".","`",1)))&amp;IF(ISERROR(FIND("`",SUBSTITUTE(OFFSET(A29,-1,0,1,1),".","`",2))),VALUE(RIGHT(OFFSET(A29,-1,0,1,1),LEN(OFFSET(A29,-1,0,1,1))-FIND("`",SUBSTITUTE(OFFSET(A29,-1,0,1,1),".","`",1))))+1,VALUE(MID(OFFSET(A29,-1,0,1,1),FIND("`",SUBSTITUTE(OFFSET(A29,-1,0,1,1),".","`",1))+1,(FIND("`",SUBSTITUTE(OFFSET(A29,-1,0,1,1),".","`",2))-FIND("`",SUBSTITUTE(OFFSET(A29,-1,0,1,1),".","`",1))-1)))+1)))</f>
        <v/>
      </c>
      <c r="B29" s="10" t="inlineStr">
        <is>
          <t>[ Level 2 Task ]</t>
        </is>
      </c>
      <c r="C29" s="11" t="n"/>
      <c r="D29" s="37" t="n"/>
      <c r="E29" s="37" t="n"/>
      <c r="F29" s="37" t="n"/>
      <c r="G29" s="274">
        <f>H28+1</f>
        <v/>
      </c>
      <c r="H29" s="275">
        <f>IF(K29=0,G29,WORKDAY(IF(WEEKDAY(G29,1)=7,G29+2,IF(WEEKDAY(G29,1)=1,G29+1,G29)),K29-1,holidays))</f>
        <v/>
      </c>
      <c r="I29" s="272" t="n">
        <v>41648</v>
      </c>
      <c r="J29" s="272" t="n">
        <v>41653</v>
      </c>
      <c r="K29" s="79" t="n">
        <v>4</v>
      </c>
      <c r="L29" s="80" t="n"/>
      <c r="M29" s="14">
        <f>IF(OR(G29=0,H29=0),0,H29-G29+1)</f>
        <v/>
      </c>
      <c r="N29" s="15">
        <f>MIN(M29,WORKDAY(G29,ROUNDDOWN(L29*K29,0),holidays)-G29)</f>
        <v/>
      </c>
      <c r="O29" s="14">
        <f>M29-N29</f>
        <v/>
      </c>
      <c r="P29" s="113" t="n"/>
      <c r="Q29" s="17"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c r="AJ29" s="111" t="n"/>
      <c r="AK29" s="111" t="n"/>
      <c r="AL29" s="111" t="n"/>
      <c r="AM29" s="111" t="n"/>
      <c r="AN29" s="111" t="n"/>
      <c r="AO29" s="111" t="n"/>
      <c r="AP29" s="111" t="n"/>
      <c r="AQ29" s="111" t="n"/>
      <c r="AR29" s="111" t="n"/>
      <c r="AS29" s="111" t="n"/>
      <c r="AT29" s="111" t="n"/>
      <c r="AU29" s="111" t="n"/>
      <c r="AV29" s="111" t="n"/>
      <c r="AW29" s="111" t="n"/>
      <c r="AX29" s="111" t="n"/>
      <c r="AY29" s="111" t="n"/>
      <c r="AZ29" s="111" t="n"/>
      <c r="BA29" s="111" t="n"/>
      <c r="BB29" s="111" t="n"/>
      <c r="BC29" s="111" t="n"/>
      <c r="BD29" s="111" t="n"/>
      <c r="BE29" s="111" t="n"/>
      <c r="BF29" s="111" t="n"/>
      <c r="BG29" s="111" t="n"/>
      <c r="BH29" s="111" t="n"/>
      <c r="BI29" s="111" t="n"/>
      <c r="BJ29" s="111" t="n"/>
      <c r="BK29" s="111" t="n"/>
      <c r="BL29" s="111" t="n"/>
      <c r="BM29" s="111" t="n"/>
      <c r="BN29" s="111" t="n"/>
      <c r="BO29" s="111" t="n"/>
      <c r="BP29" s="111" t="n"/>
      <c r="BQ29" s="111" t="n"/>
      <c r="BR29" s="111" t="n"/>
      <c r="BS29" s="111" t="n"/>
      <c r="BT29" s="111" t="n"/>
      <c r="BU29" s="111" t="n"/>
      <c r="BV29" s="111" t="n"/>
      <c r="BW29" s="111" t="n"/>
      <c r="BX29" s="111" t="n"/>
      <c r="BY29" s="111" t="n"/>
      <c r="BZ29" s="111" t="n"/>
      <c r="CA29" s="111" t="n"/>
      <c r="CB29" s="111" t="n"/>
      <c r="CC29" s="111" t="n"/>
      <c r="CD29" s="111" t="n"/>
      <c r="CE29" s="111" t="n"/>
      <c r="CF29" s="111" t="n"/>
      <c r="CG29" s="111" t="n"/>
      <c r="CH29" s="111" t="n"/>
      <c r="CI29" s="111" t="n"/>
      <c r="CJ29" s="111" t="n"/>
      <c r="CK29" s="111" t="n"/>
      <c r="CL29" s="111" t="n"/>
      <c r="CM29" s="111" t="n"/>
      <c r="CN29" s="111" t="n"/>
      <c r="CO29" s="111" t="n"/>
      <c r="CP29" s="111" t="n"/>
      <c r="CQ29" s="111" t="n"/>
      <c r="CR29" s="111" t="n"/>
      <c r="CS29" s="111" t="n"/>
      <c r="CT29" s="111" t="n"/>
      <c r="CU29" s="111" t="n"/>
      <c r="CV29" s="111" t="n"/>
      <c r="CW29" s="111" t="n"/>
      <c r="CX29" s="111" t="n"/>
      <c r="CY29" s="111" t="n"/>
      <c r="CZ29" s="111" t="n"/>
      <c r="DA29" s="111" t="n"/>
      <c r="DB29" s="111" t="n"/>
      <c r="DC29" s="111" t="n"/>
      <c r="DD29" s="111" t="n"/>
      <c r="DE29" s="111" t="n"/>
      <c r="DF29" s="111" t="n"/>
      <c r="DG29" s="111" t="n"/>
      <c r="DH29" s="111" t="n"/>
      <c r="DI29" s="111" t="n"/>
      <c r="DJ29" s="111" t="n"/>
      <c r="DK29" s="111" t="n"/>
      <c r="DL29" s="111" t="n"/>
      <c r="DM29" s="111" t="n"/>
      <c r="DN29" s="111" t="n"/>
      <c r="DO29" s="111" t="n"/>
      <c r="DP29" s="111" t="n"/>
      <c r="DQ29" s="111" t="n"/>
      <c r="DR29" s="111" t="n"/>
      <c r="DS29" s="111" t="n"/>
      <c r="DT29" s="111" t="n"/>
      <c r="DU29" s="111" t="n"/>
      <c r="DV29" s="111" t="n"/>
      <c r="DW29" s="111" t="n"/>
      <c r="DX29" s="111" t="n"/>
      <c r="DY29" s="111" t="n"/>
      <c r="DZ29" s="111" t="n"/>
      <c r="EA29" s="111" t="n"/>
      <c r="EB29" s="111" t="n"/>
      <c r="EC29" s="111" t="n"/>
      <c r="ED29" s="111" t="n"/>
      <c r="EE29" s="111" t="n"/>
      <c r="EF29" s="111" t="n"/>
      <c r="EG29" s="111" t="n"/>
      <c r="EH29" s="111" t="n"/>
      <c r="EI29" s="111" t="n"/>
      <c r="EJ29" s="111" t="n"/>
      <c r="EK29" s="111" t="n"/>
      <c r="EL29" s="111" t="n"/>
      <c r="EM29" s="111" t="n"/>
      <c r="EN29" s="111" t="n"/>
      <c r="EO29" s="111" t="n"/>
      <c r="EP29" s="111" t="n"/>
      <c r="EQ29" s="111" t="n"/>
      <c r="ER29" s="111" t="n"/>
      <c r="ES29" s="111" t="n"/>
      <c r="ET29" s="111" t="n"/>
      <c r="EU29" s="111" t="n"/>
      <c r="EV29" s="111" t="n"/>
      <c r="EW29" s="111" t="n"/>
      <c r="EX29" s="111" t="n"/>
      <c r="EY29" s="111" t="n"/>
      <c r="EZ29" s="111" t="n"/>
      <c r="FA29" s="111" t="n"/>
      <c r="FB29" s="111" t="n"/>
      <c r="FC29" s="111" t="n"/>
      <c r="FD29" s="111" t="n"/>
      <c r="FE29" s="111" t="n"/>
      <c r="FF29" s="111" t="n"/>
      <c r="FG29" s="111" t="n"/>
      <c r="FH29" s="111" t="n"/>
      <c r="FI29" s="111" t="n"/>
      <c r="FJ29" s="111" t="n"/>
      <c r="FK29" s="111" t="n"/>
      <c r="FL29" s="111" t="n"/>
      <c r="FM29" s="111" t="n"/>
      <c r="FN29" s="111" t="n"/>
      <c r="FO29" s="111" t="n"/>
      <c r="FP29" s="111" t="n"/>
      <c r="FQ29" s="111" t="n"/>
      <c r="FR29" s="111" t="n"/>
      <c r="FS29" s="111" t="n"/>
      <c r="FT29" s="111" t="n"/>
      <c r="FU29" s="111" t="n"/>
      <c r="FV29" s="111" t="n"/>
      <c r="FW29" s="111" t="n"/>
      <c r="FX29" s="111" t="n"/>
      <c r="FY29" s="111" t="n"/>
      <c r="FZ29" s="111" t="n"/>
      <c r="GA29" s="111" t="n"/>
      <c r="GB29" s="111" t="n"/>
      <c r="GC29" s="111" t="n"/>
      <c r="GD29" s="111" t="n"/>
      <c r="GE29" s="111" t="n"/>
      <c r="GF29" s="111" t="n"/>
      <c r="GG29" s="111" t="n"/>
      <c r="GH29" s="111" t="n"/>
      <c r="GI29" s="111" t="n"/>
      <c r="GJ29" s="111" t="n"/>
      <c r="GK29" s="111" t="n"/>
      <c r="GL29" s="111" t="n"/>
      <c r="GM29" s="111" t="n"/>
      <c r="GN29" s="111" t="n"/>
      <c r="GO29" s="111" t="n"/>
      <c r="GP29" s="111" t="n"/>
      <c r="GQ29" s="111" t="n"/>
      <c r="GR29" s="111" t="n"/>
      <c r="GS29" s="111" t="n"/>
      <c r="GT29" s="111" t="n"/>
      <c r="GU29" s="111" t="n"/>
      <c r="GV29" s="111" t="n"/>
      <c r="GW29" s="111" t="n"/>
      <c r="GX29" s="111" t="n"/>
      <c r="GY29" s="111" t="n"/>
      <c r="GZ29" s="111" t="n"/>
      <c r="HA29" s="111" t="n"/>
      <c r="HB29" s="111" t="n"/>
      <c r="HC29" s="111" t="n"/>
      <c r="HD29" s="111" t="n"/>
      <c r="HE29" s="111" t="n"/>
      <c r="HF29" s="111" t="n"/>
      <c r="HG29" s="111" t="n"/>
      <c r="HH29" s="111" t="n"/>
      <c r="HI29" s="111" t="n"/>
      <c r="HJ29" s="111" t="n"/>
      <c r="HK29" s="111" t="n"/>
      <c r="HL29" s="111" t="n"/>
      <c r="HM29" s="111" t="n"/>
      <c r="HN29" s="111" t="n"/>
      <c r="HO29" s="111" t="n"/>
      <c r="HP29" s="111" t="n"/>
      <c r="HQ29" s="111" t="n"/>
      <c r="HR29" s="111" t="n"/>
      <c r="HS29" s="111" t="n"/>
      <c r="HT29" s="111" t="n"/>
      <c r="HU29" s="111" t="n"/>
      <c r="HV29" s="111" t="n"/>
      <c r="HW29" s="111" t="n"/>
      <c r="HX29" s="111" t="n"/>
      <c r="HY29" s="111" t="n"/>
      <c r="HZ29" s="111" t="n"/>
      <c r="IA29" s="111" t="n"/>
      <c r="IB29" s="111" t="n"/>
      <c r="IC29" s="111" t="n"/>
      <c r="ID29" s="111" t="n"/>
      <c r="IE29" s="111" t="n"/>
      <c r="IF29" s="111" t="n"/>
      <c r="IG29" s="111" t="n"/>
      <c r="IH29" s="111" t="n"/>
      <c r="II29" s="111" t="n"/>
      <c r="IJ29" s="111" t="n"/>
      <c r="IK29" s="111" t="n"/>
      <c r="IL29" s="111" t="n"/>
      <c r="IM29" s="111" t="n"/>
      <c r="IN29" s="111" t="n"/>
      <c r="IO29" s="111" t="n"/>
      <c r="IP29" s="111" t="n"/>
      <c r="IQ29" s="111" t="n"/>
      <c r="IR29" s="111" t="n"/>
      <c r="IS29" s="111" t="n"/>
      <c r="IT29" s="111" t="n"/>
      <c r="IU29" s="111" t="n"/>
      <c r="IV29" s="111" t="n"/>
      <c r="IW29" s="111" t="n"/>
      <c r="IX29" s="111" t="n"/>
      <c r="IY29" s="111" t="n"/>
      <c r="IZ29" s="111" t="n"/>
      <c r="JA29" s="111" t="n"/>
      <c r="JB29" s="111" t="n"/>
      <c r="JC29" s="111" t="n"/>
      <c r="JD29" s="111" t="n"/>
      <c r="JE29" s="111" t="n"/>
      <c r="JF29" s="111" t="n"/>
      <c r="JG29" s="111" t="n"/>
      <c r="JH29" s="111" t="n"/>
      <c r="JI29" s="111" t="n"/>
      <c r="JJ29" s="111" t="n"/>
      <c r="JK29" s="111" t="n"/>
      <c r="JL29" s="111" t="n"/>
      <c r="JM29" s="111" t="n"/>
      <c r="JN29" s="111" t="n"/>
      <c r="JO29" s="111" t="n"/>
      <c r="JP29" s="111" t="n"/>
      <c r="JQ29" s="111" t="n"/>
      <c r="JR29" s="111" t="n"/>
      <c r="JS29" s="111" t="n"/>
      <c r="JT29" s="111" t="n"/>
      <c r="JU29" s="111" t="n"/>
      <c r="JV29" s="111" t="n"/>
      <c r="JW29" s="111" t="n"/>
      <c r="JX29" s="111" t="n"/>
      <c r="JY29" s="111" t="n"/>
      <c r="JZ29" s="111" t="n"/>
      <c r="KA29" s="111" t="n"/>
      <c r="KB29" s="111" t="n"/>
      <c r="KC29" s="111" t="n"/>
      <c r="KD29" s="111" t="n"/>
      <c r="KE29" s="111" t="n"/>
      <c r="KF29" s="111" t="n"/>
      <c r="KG29" s="111" t="n"/>
      <c r="KH29" s="111" t="n"/>
      <c r="KI29" s="111" t="n"/>
      <c r="KJ29" s="111" t="n"/>
      <c r="KK29" s="111" t="n"/>
      <c r="KL29" s="111" t="n"/>
      <c r="KM29" s="111" t="n"/>
      <c r="KN29" s="111" t="n"/>
      <c r="KO29" s="111" t="n"/>
      <c r="KP29" s="111" t="n"/>
      <c r="KQ29" s="111" t="n"/>
      <c r="KR29" s="111" t="n"/>
      <c r="KS29" s="111" t="n"/>
      <c r="KT29" s="111" t="n"/>
      <c r="KU29" s="111" t="n"/>
      <c r="KV29" s="111" t="n"/>
      <c r="KW29" s="111" t="n"/>
      <c r="KX29" s="111" t="n"/>
      <c r="KY29" s="111" t="n"/>
      <c r="KZ29" s="111" t="n"/>
      <c r="LA29" s="111" t="n"/>
      <c r="LB29" s="111" t="n"/>
      <c r="LC29" s="111" t="n"/>
      <c r="LD29" s="111" t="n"/>
      <c r="LE29" s="111" t="n"/>
      <c r="LF29" s="111" t="n"/>
      <c r="LG29" s="111" t="n"/>
      <c r="LH29" s="111" t="n"/>
      <c r="LI29" s="111" t="n"/>
      <c r="LJ29" s="111" t="n"/>
      <c r="LK29" s="111" t="n"/>
      <c r="LL29" s="111" t="n"/>
      <c r="LM29" s="111" t="n"/>
      <c r="LN29" s="111" t="n"/>
      <c r="LO29" s="111" t="n"/>
      <c r="LP29" s="111" t="n"/>
      <c r="LQ29" s="111" t="n"/>
      <c r="LR29" s="111" t="n"/>
      <c r="LS29" s="111" t="n"/>
      <c r="LT29" s="111" t="n"/>
      <c r="LU29" s="111" t="n"/>
      <c r="LV29" s="111" t="n"/>
      <c r="LW29" s="111" t="n"/>
      <c r="LX29" s="111" t="n"/>
      <c r="LY29" s="111" t="n"/>
      <c r="LZ29" s="111" t="n"/>
      <c r="MA29" s="111" t="n"/>
      <c r="MB29" s="111" t="n"/>
      <c r="MC29" s="111" t="n"/>
      <c r="MD29" s="111" t="n"/>
      <c r="ME29" s="111" t="n"/>
      <c r="MF29" s="111" t="n"/>
      <c r="MG29" s="111" t="n"/>
      <c r="MH29" s="111" t="n"/>
      <c r="MI29" s="111" t="n"/>
      <c r="MJ29" s="111" t="n"/>
      <c r="MK29" s="111" t="n"/>
      <c r="ML29" s="111" t="n"/>
      <c r="MM29" s="111" t="n"/>
      <c r="MN29" s="111" t="n"/>
      <c r="MO29" s="111" t="n"/>
      <c r="MP29" s="111" t="n"/>
      <c r="MQ29" s="111" t="n"/>
      <c r="MR29" s="111" t="n"/>
      <c r="MS29" s="111" t="n"/>
      <c r="MT29" s="111" t="n"/>
      <c r="MU29" s="111" t="n"/>
      <c r="MV29" s="111" t="n"/>
      <c r="MW29" s="111" t="n"/>
      <c r="MX29" s="111" t="n"/>
      <c r="MY29" s="111" t="n"/>
      <c r="MZ29" s="111" t="n"/>
      <c r="NA29" s="111" t="n"/>
      <c r="NB29" s="111" t="n"/>
      <c r="NC29" s="111" t="n"/>
      <c r="ND29" s="111" t="n"/>
      <c r="NE29" s="111" t="n"/>
      <c r="NF29" s="111" t="n"/>
      <c r="NG29" s="111" t="n"/>
      <c r="NH29" s="111" t="n"/>
      <c r="NI29" s="111" t="n"/>
      <c r="NJ29" s="111" t="n"/>
      <c r="NK29" s="111" t="n"/>
      <c r="NL29" s="111" t="n"/>
      <c r="NM29" s="111" t="n"/>
      <c r="NN29" s="111" t="n"/>
      <c r="NO29" s="111" t="n"/>
      <c r="NP29" s="111" t="n"/>
      <c r="NQ29" s="111" t="n"/>
    </row>
    <row r="30" customFormat="1" s="17">
      <c r="A30" s="33">
        <f>IF(ISERROR(VALUE(SUBSTITUTE(OFFSET(A30,-1,0,1,1),".",""))),"0.1",IF(ISERROR(FIND("`",SUBSTITUTE(OFFSET(A30,-1,0,1,1),".","`",1))),OFFSET(A30,-1,0,1,1)&amp;".1",LEFT(OFFSET(A30,-1,0,1,1),FIND("`",SUBSTITUTE(OFFSET(A30,-1,0,1,1),".","`",1)))&amp;IF(ISERROR(FIND("`",SUBSTITUTE(OFFSET(A30,-1,0,1,1),".","`",2))),VALUE(RIGHT(OFFSET(A30,-1,0,1,1),LEN(OFFSET(A30,-1,0,1,1))-FIND("`",SUBSTITUTE(OFFSET(A30,-1,0,1,1),".","`",1))))+1,VALUE(MID(OFFSET(A30,-1,0,1,1),FIND("`",SUBSTITUTE(OFFSET(A30,-1,0,1,1),".","`",1))+1,(FIND("`",SUBSTITUTE(OFFSET(A30,-1,0,1,1),".","`",2))-FIND("`",SUBSTITUTE(OFFSET(A30,-1,0,1,1),".","`",1))-1)))+1)))</f>
        <v/>
      </c>
      <c r="B30" s="10" t="inlineStr">
        <is>
          <t>[ Level 2 Task ]</t>
        </is>
      </c>
      <c r="C30" s="11" t="n"/>
      <c r="D30" s="37" t="n"/>
      <c r="E30" s="37" t="n"/>
      <c r="F30" s="37" t="n"/>
      <c r="G30" s="274">
        <f>H29+1</f>
        <v/>
      </c>
      <c r="H30" s="275">
        <f>IF(K30=0,G30,WORKDAY(IF(WEEKDAY(G30,1)=7,G30+2,IF(WEEKDAY(G30,1)=1,G30+1,G30)),K30-1,holidays))</f>
        <v/>
      </c>
      <c r="I30" s="272" t="n">
        <v>41654</v>
      </c>
      <c r="J30" s="272" t="n">
        <v>41661</v>
      </c>
      <c r="K30" s="79" t="n">
        <v>5</v>
      </c>
      <c r="L30" s="80" t="n"/>
      <c r="M30" s="14">
        <f>IF(OR(G30=0,H30=0),0,H30-G30+1)</f>
        <v/>
      </c>
      <c r="N30" s="15">
        <f>MIN(M30,WORKDAY(G30,ROUNDDOWN(L30*K30,0),holidays)-G30)</f>
        <v/>
      </c>
      <c r="O30" s="14">
        <f>M30-N30</f>
        <v/>
      </c>
      <c r="P30" s="113" t="inlineStr">
        <is>
          <t>g</t>
        </is>
      </c>
      <c r="Q30" s="17" t="n"/>
      <c r="R30" s="111" t="n"/>
      <c r="S30" s="111" t="n"/>
      <c r="T30" s="111" t="n"/>
      <c r="U30" s="111" t="n"/>
      <c r="V30" s="111" t="n"/>
      <c r="W30" s="111" t="n"/>
      <c r="X30" s="111" t="n"/>
      <c r="Y30" s="111" t="n"/>
      <c r="Z30" s="111" t="n"/>
      <c r="AA30" s="111" t="n"/>
      <c r="AB30" s="111" t="n"/>
      <c r="AC30" s="111" t="n"/>
      <c r="AD30" s="111" t="n"/>
      <c r="AE30" s="111" t="n"/>
      <c r="AF30" s="111" t="n"/>
      <c r="AG30" s="111" t="n"/>
      <c r="AH30" s="111" t="n"/>
      <c r="AI30" s="111" t="n"/>
      <c r="AJ30" s="111" t="n"/>
      <c r="AK30" s="111" t="n"/>
      <c r="AL30" s="111" t="n"/>
      <c r="AM30" s="111" t="n"/>
      <c r="AN30" s="111" t="n"/>
      <c r="AO30" s="111" t="n"/>
      <c r="AP30" s="111" t="n"/>
      <c r="AQ30" s="111" t="n"/>
      <c r="AR30" s="111" t="n"/>
      <c r="AS30" s="111" t="n"/>
      <c r="AT30" s="111" t="n"/>
      <c r="AU30" s="111" t="n"/>
      <c r="AV30" s="111" t="n"/>
      <c r="AW30" s="111" t="n"/>
      <c r="AX30" s="111" t="n"/>
      <c r="AY30" s="111" t="n"/>
      <c r="AZ30" s="111" t="n"/>
      <c r="BA30" s="111" t="n"/>
      <c r="BB30" s="111" t="n"/>
      <c r="BC30" s="111" t="n"/>
      <c r="BD30" s="111" t="n"/>
      <c r="BE30" s="111" t="n"/>
      <c r="BF30" s="111" t="n"/>
      <c r="BG30" s="111" t="n"/>
      <c r="BH30" s="111" t="n"/>
      <c r="BI30" s="111" t="n"/>
      <c r="BJ30" s="111" t="n"/>
      <c r="BK30" s="111" t="n"/>
      <c r="BL30" s="111" t="n"/>
      <c r="BM30" s="111" t="n"/>
      <c r="BN30" s="111" t="n"/>
      <c r="BO30" s="111" t="n"/>
      <c r="BP30" s="111" t="n"/>
      <c r="BQ30" s="111" t="n"/>
      <c r="BR30" s="111" t="n"/>
      <c r="BS30" s="111" t="n"/>
      <c r="BT30" s="111" t="n"/>
      <c r="BU30" s="111" t="n"/>
      <c r="BV30" s="111" t="n"/>
      <c r="BW30" s="111" t="n"/>
      <c r="BX30" s="111" t="n"/>
      <c r="BY30" s="111" t="n"/>
      <c r="BZ30" s="111" t="n"/>
      <c r="CA30" s="111" t="n"/>
      <c r="CB30" s="111" t="n"/>
      <c r="CC30" s="111" t="n"/>
      <c r="CD30" s="111" t="n"/>
      <c r="CE30" s="111" t="n"/>
      <c r="CF30" s="111" t="n"/>
      <c r="CG30" s="111" t="n"/>
      <c r="CH30" s="111" t="n"/>
      <c r="CI30" s="111" t="n"/>
      <c r="CJ30" s="111" t="n"/>
      <c r="CK30" s="111" t="n"/>
      <c r="CL30" s="111" t="n"/>
      <c r="CM30" s="111" t="n"/>
      <c r="CN30" s="111" t="n"/>
      <c r="CO30" s="111" t="n"/>
      <c r="CP30" s="111" t="n"/>
      <c r="CQ30" s="111" t="n"/>
      <c r="CR30" s="111" t="n"/>
      <c r="CS30" s="111" t="n"/>
      <c r="CT30" s="111" t="n"/>
      <c r="CU30" s="111" t="n"/>
      <c r="CV30" s="111" t="n"/>
      <c r="CW30" s="111" t="n"/>
      <c r="CX30" s="111" t="n"/>
      <c r="CY30" s="111" t="n"/>
      <c r="CZ30" s="111" t="n"/>
      <c r="DA30" s="111" t="n"/>
      <c r="DB30" s="111" t="n"/>
      <c r="DC30" s="111" t="n"/>
      <c r="DD30" s="111" t="n"/>
      <c r="DE30" s="111" t="n"/>
      <c r="DF30" s="111" t="n"/>
      <c r="DG30" s="111" t="n"/>
      <c r="DH30" s="111" t="n"/>
      <c r="DI30" s="111" t="n"/>
      <c r="DJ30" s="111" t="n"/>
      <c r="DK30" s="111" t="n"/>
      <c r="DL30" s="111" t="n"/>
      <c r="DM30" s="111" t="n"/>
      <c r="DN30" s="111" t="n"/>
      <c r="DO30" s="111" t="n"/>
      <c r="DP30" s="111" t="n"/>
      <c r="DQ30" s="111" t="n"/>
      <c r="DR30" s="111" t="n"/>
      <c r="DS30" s="111" t="n"/>
      <c r="DT30" s="111" t="n"/>
      <c r="DU30" s="111" t="n"/>
      <c r="DV30" s="111" t="n"/>
      <c r="DW30" s="111" t="n"/>
      <c r="DX30" s="111" t="n"/>
      <c r="DY30" s="111" t="n"/>
      <c r="DZ30" s="111" t="n"/>
      <c r="EA30" s="111" t="n"/>
      <c r="EB30" s="111" t="n"/>
      <c r="EC30" s="111" t="n"/>
      <c r="ED30" s="111" t="n"/>
      <c r="EE30" s="111" t="n"/>
      <c r="EF30" s="111" t="n"/>
      <c r="EG30" s="111" t="n"/>
      <c r="EH30" s="111" t="n"/>
      <c r="EI30" s="111" t="n"/>
      <c r="EJ30" s="111" t="n"/>
      <c r="EK30" s="111" t="n"/>
      <c r="EL30" s="111" t="n"/>
      <c r="EM30" s="111" t="n"/>
      <c r="EN30" s="111" t="n"/>
      <c r="EO30" s="111" t="n"/>
      <c r="EP30" s="111" t="n"/>
      <c r="EQ30" s="111" t="n"/>
      <c r="ER30" s="111" t="n"/>
      <c r="ES30" s="111" t="n"/>
      <c r="ET30" s="111" t="n"/>
      <c r="EU30" s="111" t="n"/>
      <c r="EV30" s="111" t="n"/>
      <c r="EW30" s="111" t="n"/>
      <c r="EX30" s="111" t="n"/>
      <c r="EY30" s="111" t="n"/>
      <c r="EZ30" s="111" t="n"/>
      <c r="FA30" s="111" t="n"/>
      <c r="FB30" s="111" t="n"/>
      <c r="FC30" s="111" t="n"/>
      <c r="FD30" s="111" t="n"/>
      <c r="FE30" s="111" t="n"/>
      <c r="FF30" s="111" t="n"/>
      <c r="FG30" s="111" t="n"/>
      <c r="FH30" s="111" t="n"/>
      <c r="FI30" s="111" t="n"/>
      <c r="FJ30" s="111" t="n"/>
      <c r="FK30" s="111" t="n"/>
      <c r="FL30" s="111" t="n"/>
      <c r="FM30" s="111" t="n"/>
      <c r="FN30" s="111" t="n"/>
      <c r="FO30" s="111" t="n"/>
      <c r="FP30" s="111" t="n"/>
      <c r="FQ30" s="111" t="n"/>
      <c r="FR30" s="111" t="n"/>
      <c r="FS30" s="111" t="n"/>
      <c r="FT30" s="111" t="n"/>
      <c r="FU30" s="111" t="n"/>
      <c r="FV30" s="111" t="n"/>
      <c r="FW30" s="111" t="n"/>
      <c r="FX30" s="111" t="n"/>
      <c r="FY30" s="111" t="n"/>
      <c r="FZ30" s="111" t="n"/>
      <c r="GA30" s="111" t="n"/>
      <c r="GB30" s="111" t="n"/>
      <c r="GC30" s="111" t="n"/>
      <c r="GD30" s="111" t="n"/>
      <c r="GE30" s="111" t="n"/>
      <c r="GF30" s="111" t="n"/>
      <c r="GG30" s="111" t="n"/>
      <c r="GH30" s="111" t="n"/>
      <c r="GI30" s="111" t="n"/>
      <c r="GJ30" s="111" t="n"/>
      <c r="GK30" s="111" t="n"/>
      <c r="GL30" s="111" t="n"/>
      <c r="GM30" s="111" t="n"/>
      <c r="GN30" s="111" t="n"/>
      <c r="GO30" s="111" t="n"/>
      <c r="GP30" s="111" t="n"/>
      <c r="GQ30" s="111" t="n"/>
      <c r="GR30" s="111" t="n"/>
      <c r="GS30" s="111" t="n"/>
      <c r="GT30" s="111" t="n"/>
      <c r="GU30" s="111" t="n"/>
      <c r="GV30" s="111" t="n"/>
      <c r="GW30" s="111" t="n"/>
      <c r="GX30" s="111" t="n"/>
      <c r="GY30" s="111" t="n"/>
      <c r="GZ30" s="111" t="n"/>
      <c r="HA30" s="111" t="n"/>
      <c r="HB30" s="111" t="n"/>
      <c r="HC30" s="111" t="n"/>
      <c r="HD30" s="111" t="n"/>
      <c r="HE30" s="111" t="n"/>
      <c r="HF30" s="111" t="n"/>
      <c r="HG30" s="111" t="n"/>
      <c r="HH30" s="111" t="n"/>
      <c r="HI30" s="111" t="n"/>
      <c r="HJ30" s="111" t="n"/>
      <c r="HK30" s="111" t="n"/>
      <c r="HL30" s="111" t="n"/>
      <c r="HM30" s="111" t="n"/>
      <c r="HN30" s="111" t="n"/>
      <c r="HO30" s="111" t="n"/>
      <c r="HP30" s="111" t="n"/>
      <c r="HQ30" s="111" t="n"/>
      <c r="HR30" s="111" t="n"/>
      <c r="HS30" s="111" t="n"/>
      <c r="HT30" s="111" t="n"/>
      <c r="HU30" s="111" t="n"/>
      <c r="HV30" s="111" t="n"/>
      <c r="HW30" s="111" t="n"/>
      <c r="HX30" s="111" t="n"/>
      <c r="HY30" s="111" t="n"/>
      <c r="HZ30" s="111" t="n"/>
      <c r="IA30" s="111" t="n"/>
      <c r="IB30" s="111" t="n"/>
      <c r="IC30" s="111" t="n"/>
      <c r="ID30" s="111" t="n"/>
      <c r="IE30" s="111" t="n"/>
      <c r="IF30" s="111" t="n"/>
      <c r="IG30" s="111" t="n"/>
      <c r="IH30" s="111" t="n"/>
      <c r="II30" s="111" t="n"/>
      <c r="IJ30" s="111" t="n"/>
      <c r="IK30" s="111" t="n"/>
      <c r="IL30" s="111" t="n"/>
      <c r="IM30" s="111" t="n"/>
      <c r="IN30" s="111" t="n"/>
      <c r="IO30" s="111" t="n"/>
      <c r="IP30" s="111" t="n"/>
      <c r="IQ30" s="111" t="n"/>
      <c r="IR30" s="111" t="n"/>
      <c r="IS30" s="111" t="n"/>
      <c r="IT30" s="111" t="n"/>
      <c r="IU30" s="111" t="n"/>
      <c r="IV30" s="111" t="n"/>
      <c r="IW30" s="111" t="n"/>
      <c r="IX30" s="111" t="n"/>
      <c r="IY30" s="111" t="n"/>
      <c r="IZ30" s="111" t="n"/>
      <c r="JA30" s="111" t="n"/>
      <c r="JB30" s="111" t="n"/>
      <c r="JC30" s="111" t="n"/>
      <c r="JD30" s="111" t="n"/>
      <c r="JE30" s="111" t="n"/>
      <c r="JF30" s="111" t="n"/>
      <c r="JG30" s="111" t="n"/>
      <c r="JH30" s="111" t="n"/>
      <c r="JI30" s="111" t="n"/>
      <c r="JJ30" s="111" t="n"/>
      <c r="JK30" s="111" t="n"/>
      <c r="JL30" s="111" t="n"/>
      <c r="JM30" s="111" t="n"/>
      <c r="JN30" s="111" t="n"/>
      <c r="JO30" s="111" t="n"/>
      <c r="JP30" s="111" t="n"/>
      <c r="JQ30" s="111" t="n"/>
      <c r="JR30" s="111" t="n"/>
      <c r="JS30" s="111" t="n"/>
      <c r="JT30" s="111" t="n"/>
      <c r="JU30" s="111" t="n"/>
      <c r="JV30" s="111" t="n"/>
      <c r="JW30" s="111" t="n"/>
      <c r="JX30" s="111" t="n"/>
      <c r="JY30" s="111" t="n"/>
      <c r="JZ30" s="111" t="n"/>
      <c r="KA30" s="111" t="n"/>
      <c r="KB30" s="111" t="n"/>
      <c r="KC30" s="111" t="n"/>
      <c r="KD30" s="111" t="n"/>
      <c r="KE30" s="111" t="n"/>
      <c r="KF30" s="111" t="n"/>
      <c r="KG30" s="111" t="n"/>
      <c r="KH30" s="111" t="n"/>
      <c r="KI30" s="111" t="n"/>
      <c r="KJ30" s="111" t="n"/>
      <c r="KK30" s="111" t="n"/>
      <c r="KL30" s="111" t="n"/>
      <c r="KM30" s="111" t="n"/>
      <c r="KN30" s="111" t="n"/>
      <c r="KO30" s="111" t="n"/>
      <c r="KP30" s="111" t="n"/>
      <c r="KQ30" s="111" t="n"/>
      <c r="KR30" s="111" t="n"/>
      <c r="KS30" s="111" t="n"/>
      <c r="KT30" s="111" t="n"/>
      <c r="KU30" s="111" t="n"/>
      <c r="KV30" s="111" t="n"/>
      <c r="KW30" s="111" t="n"/>
      <c r="KX30" s="111" t="n"/>
      <c r="KY30" s="111" t="n"/>
      <c r="KZ30" s="111" t="n"/>
      <c r="LA30" s="111" t="n"/>
      <c r="LB30" s="111" t="n"/>
      <c r="LC30" s="111" t="n"/>
      <c r="LD30" s="111" t="n"/>
      <c r="LE30" s="111" t="n"/>
      <c r="LF30" s="111" t="n"/>
      <c r="LG30" s="111" t="n"/>
      <c r="LH30" s="111" t="n"/>
      <c r="LI30" s="111" t="n"/>
      <c r="LJ30" s="111" t="n"/>
      <c r="LK30" s="111" t="n"/>
      <c r="LL30" s="111" t="n"/>
      <c r="LM30" s="111" t="n"/>
      <c r="LN30" s="111" t="n"/>
      <c r="LO30" s="111" t="n"/>
      <c r="LP30" s="111" t="n"/>
      <c r="LQ30" s="111" t="n"/>
      <c r="LR30" s="111" t="n"/>
      <c r="LS30" s="111" t="n"/>
      <c r="LT30" s="111" t="n"/>
      <c r="LU30" s="111" t="n"/>
      <c r="LV30" s="111" t="n"/>
      <c r="LW30" s="111" t="n"/>
      <c r="LX30" s="111" t="n"/>
      <c r="LY30" s="111" t="n"/>
      <c r="LZ30" s="111" t="n"/>
      <c r="MA30" s="111" t="n"/>
      <c r="MB30" s="111" t="n"/>
      <c r="MC30" s="111" t="n"/>
      <c r="MD30" s="111" t="n"/>
      <c r="ME30" s="111" t="n"/>
      <c r="MF30" s="111" t="n"/>
      <c r="MG30" s="111" t="n"/>
      <c r="MH30" s="111" t="n"/>
      <c r="MI30" s="111" t="n"/>
      <c r="MJ30" s="111" t="n"/>
      <c r="MK30" s="111" t="n"/>
      <c r="ML30" s="111" t="n"/>
      <c r="MM30" s="111" t="n"/>
      <c r="MN30" s="111" t="n"/>
      <c r="MO30" s="111" t="n"/>
      <c r="MP30" s="111" t="n"/>
      <c r="MQ30" s="111" t="n"/>
      <c r="MR30" s="111" t="n"/>
      <c r="MS30" s="111" t="n"/>
      <c r="MT30" s="111" t="n"/>
      <c r="MU30" s="111" t="n"/>
      <c r="MV30" s="111" t="n"/>
      <c r="MW30" s="111" t="n"/>
      <c r="MX30" s="111" t="n"/>
      <c r="MY30" s="111" t="n"/>
      <c r="MZ30" s="111" t="n"/>
      <c r="NA30" s="111" t="n"/>
      <c r="NB30" s="111" t="n"/>
      <c r="NC30" s="111" t="n"/>
      <c r="ND30" s="111" t="n"/>
      <c r="NE30" s="111" t="n"/>
      <c r="NF30" s="111" t="n"/>
      <c r="NG30" s="111" t="n"/>
      <c r="NH30" s="111" t="n"/>
      <c r="NI30" s="111" t="n"/>
      <c r="NJ30" s="111" t="n"/>
      <c r="NK30" s="111" t="n"/>
      <c r="NL30" s="111" t="n"/>
      <c r="NM30" s="111" t="n"/>
      <c r="NN30" s="111" t="n"/>
      <c r="NO30" s="111" t="n"/>
      <c r="NP30" s="111" t="n"/>
      <c r="NQ30" s="111" t="n"/>
    </row>
    <row r="31" customFormat="1" s="17">
      <c r="A31" s="33">
        <f>IF(ISERROR(VALUE(SUBSTITUTE(OFFSET(A31,-1,0,1,1),".",""))),"0.1",IF(ISERROR(FIND("`",SUBSTITUTE(OFFSET(A31,-1,0,1,1),".","`",1))),OFFSET(A31,-1,0,1,1)&amp;".1",LEFT(OFFSET(A31,-1,0,1,1),FIND("`",SUBSTITUTE(OFFSET(A31,-1,0,1,1),".","`",1)))&amp;IF(ISERROR(FIND("`",SUBSTITUTE(OFFSET(A31,-1,0,1,1),".","`",2))),VALUE(RIGHT(OFFSET(A31,-1,0,1,1),LEN(OFFSET(A31,-1,0,1,1))-FIND("`",SUBSTITUTE(OFFSET(A31,-1,0,1,1),".","`",1))))+1,VALUE(MID(OFFSET(A31,-1,0,1,1),FIND("`",SUBSTITUTE(OFFSET(A31,-1,0,1,1),".","`",1))+1,(FIND("`",SUBSTITUTE(OFFSET(A31,-1,0,1,1),".","`",2))-FIND("`",SUBSTITUTE(OFFSET(A31,-1,0,1,1),".","`",1))-1)))+1)))</f>
        <v/>
      </c>
      <c r="B31" s="10" t="inlineStr">
        <is>
          <t>[ Level 2 Task ]</t>
        </is>
      </c>
      <c r="C31" s="11" t="n"/>
      <c r="D31" s="37" t="n"/>
      <c r="E31" s="37" t="n"/>
      <c r="F31" s="37" t="n"/>
      <c r="G31" s="274">
        <f>H30+1</f>
        <v/>
      </c>
      <c r="H31" s="275">
        <f>IF(K31=0,G31,WORKDAY(IF(WEEKDAY(G31,1)=7,G31+2,IF(WEEKDAY(G31,1)=1,G31+1,G31)),K31-1,holidays))</f>
        <v/>
      </c>
      <c r="I31" s="272" t="n">
        <v>41662</v>
      </c>
      <c r="J31" s="272" t="n">
        <v>41669</v>
      </c>
      <c r="K31" s="79" t="n">
        <v>10</v>
      </c>
      <c r="L31" s="80" t="n"/>
      <c r="M31" s="14">
        <f>IF(OR(G31=0,H31=0),0,H31-G31+1)</f>
        <v/>
      </c>
      <c r="N31" s="15">
        <f>MIN(M31,WORKDAY(G31,ROUNDDOWN(L31*K31,0),holidays)-G31)</f>
        <v/>
      </c>
      <c r="O31" s="14">
        <f>M31-N31</f>
        <v/>
      </c>
      <c r="P31" s="113" t="inlineStr">
        <is>
          <t>y</t>
        </is>
      </c>
      <c r="Q31" s="17"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c r="AJ31" s="111" t="n"/>
      <c r="AK31" s="111" t="n"/>
      <c r="AL31" s="111" t="n"/>
      <c r="AM31" s="111" t="n"/>
      <c r="AN31" s="111" t="n"/>
      <c r="AO31" s="111" t="n"/>
      <c r="AP31" s="111" t="n"/>
      <c r="AQ31" s="111" t="n"/>
      <c r="AR31" s="111" t="n"/>
      <c r="AS31" s="111" t="n"/>
      <c r="AT31" s="111" t="n"/>
      <c r="AU31" s="111" t="n"/>
      <c r="AV31" s="111" t="n"/>
      <c r="AW31" s="111" t="n"/>
      <c r="AX31" s="111" t="n"/>
      <c r="AY31" s="111" t="n"/>
      <c r="AZ31" s="111" t="n"/>
      <c r="BA31" s="111" t="n"/>
      <c r="BB31" s="111" t="n"/>
      <c r="BC31" s="111" t="n"/>
      <c r="BD31" s="111" t="n"/>
      <c r="BE31" s="111" t="n"/>
      <c r="BF31" s="111" t="n"/>
      <c r="BG31" s="111" t="n"/>
      <c r="BH31" s="111" t="n"/>
      <c r="BI31" s="111" t="n"/>
      <c r="BJ31" s="111" t="n"/>
      <c r="BK31" s="111" t="n"/>
      <c r="BL31" s="111" t="n"/>
      <c r="BM31" s="111" t="n"/>
      <c r="BN31" s="111" t="n"/>
      <c r="BO31" s="111" t="n"/>
      <c r="BP31" s="111" t="n"/>
      <c r="BQ31" s="111" t="n"/>
      <c r="BR31" s="111" t="n"/>
      <c r="BS31" s="111" t="n"/>
      <c r="BT31" s="111" t="n"/>
      <c r="BU31" s="111" t="n"/>
      <c r="BV31" s="111" t="n"/>
      <c r="BW31" s="111" t="n"/>
      <c r="BX31" s="111" t="n"/>
      <c r="BY31" s="111" t="n"/>
      <c r="BZ31" s="111" t="n"/>
      <c r="CA31" s="111" t="n"/>
      <c r="CB31" s="111" t="n"/>
      <c r="CC31" s="111" t="n"/>
      <c r="CD31" s="111" t="n"/>
      <c r="CE31" s="111" t="n"/>
      <c r="CF31" s="111" t="n"/>
      <c r="CG31" s="111" t="n"/>
      <c r="CH31" s="111" t="n"/>
      <c r="CI31" s="111" t="n"/>
      <c r="CJ31" s="111" t="n"/>
      <c r="CK31" s="111" t="n"/>
      <c r="CL31" s="111" t="n"/>
      <c r="CM31" s="111" t="n"/>
      <c r="CN31" s="111" t="n"/>
      <c r="CO31" s="111" t="n"/>
      <c r="CP31" s="111" t="n"/>
      <c r="CQ31" s="111" t="n"/>
      <c r="CR31" s="111" t="n"/>
      <c r="CS31" s="111" t="n"/>
      <c r="CT31" s="111" t="n"/>
      <c r="CU31" s="111" t="n"/>
      <c r="CV31" s="111" t="n"/>
      <c r="CW31" s="111" t="n"/>
      <c r="CX31" s="111" t="n"/>
      <c r="CY31" s="111" t="n"/>
      <c r="CZ31" s="111" t="n"/>
      <c r="DA31" s="111" t="n"/>
      <c r="DB31" s="111" t="n"/>
      <c r="DC31" s="111" t="n"/>
      <c r="DD31" s="111" t="n"/>
      <c r="DE31" s="111" t="n"/>
      <c r="DF31" s="111" t="n"/>
      <c r="DG31" s="111" t="n"/>
      <c r="DH31" s="111" t="n"/>
      <c r="DI31" s="111" t="n"/>
      <c r="DJ31" s="111" t="n"/>
      <c r="DK31" s="111" t="n"/>
      <c r="DL31" s="111" t="n"/>
      <c r="DM31" s="111" t="n"/>
      <c r="DN31" s="111" t="n"/>
      <c r="DO31" s="111" t="n"/>
      <c r="DP31" s="111" t="n"/>
      <c r="DQ31" s="111" t="n"/>
      <c r="DR31" s="111" t="n"/>
      <c r="DS31" s="111" t="n"/>
      <c r="DT31" s="111" t="n"/>
      <c r="DU31" s="111" t="n"/>
      <c r="DV31" s="111" t="n"/>
      <c r="DW31" s="111" t="n"/>
      <c r="DX31" s="111" t="n"/>
      <c r="DY31" s="111" t="n"/>
      <c r="DZ31" s="111" t="n"/>
      <c r="EA31" s="111" t="n"/>
      <c r="EB31" s="111" t="n"/>
      <c r="EC31" s="111" t="n"/>
      <c r="ED31" s="111" t="n"/>
      <c r="EE31" s="111" t="n"/>
      <c r="EF31" s="111" t="n"/>
      <c r="EG31" s="111" t="n"/>
      <c r="EH31" s="111" t="n"/>
      <c r="EI31" s="111" t="n"/>
      <c r="EJ31" s="111" t="n"/>
      <c r="EK31" s="111" t="n"/>
      <c r="EL31" s="111" t="n"/>
      <c r="EM31" s="111" t="n"/>
      <c r="EN31" s="111" t="n"/>
      <c r="EO31" s="111" t="n"/>
      <c r="EP31" s="111" t="n"/>
      <c r="EQ31" s="111" t="n"/>
      <c r="ER31" s="111" t="n"/>
      <c r="ES31" s="111" t="n"/>
      <c r="ET31" s="111" t="n"/>
      <c r="EU31" s="111" t="n"/>
      <c r="EV31" s="111" t="n"/>
      <c r="EW31" s="111" t="n"/>
      <c r="EX31" s="111" t="n"/>
      <c r="EY31" s="111" t="n"/>
      <c r="EZ31" s="111" t="n"/>
      <c r="FA31" s="111" t="n"/>
      <c r="FB31" s="111" t="n"/>
      <c r="FC31" s="111" t="n"/>
      <c r="FD31" s="111" t="n"/>
      <c r="FE31" s="111" t="n"/>
      <c r="FF31" s="111" t="n"/>
      <c r="FG31" s="111" t="n"/>
      <c r="FH31" s="111" t="n"/>
      <c r="FI31" s="111" t="n"/>
      <c r="FJ31" s="111" t="n"/>
      <c r="FK31" s="111" t="n"/>
      <c r="FL31" s="111" t="n"/>
      <c r="FM31" s="111" t="n"/>
      <c r="FN31" s="111" t="n"/>
      <c r="FO31" s="111" t="n"/>
      <c r="FP31" s="111" t="n"/>
      <c r="FQ31" s="111" t="n"/>
      <c r="FR31" s="111" t="n"/>
      <c r="FS31" s="111" t="n"/>
      <c r="FT31" s="111" t="n"/>
      <c r="FU31" s="111" t="n"/>
      <c r="FV31" s="111" t="n"/>
      <c r="FW31" s="111" t="n"/>
      <c r="FX31" s="111" t="n"/>
      <c r="FY31" s="111" t="n"/>
      <c r="FZ31" s="111" t="n"/>
      <c r="GA31" s="111" t="n"/>
      <c r="GB31" s="111" t="n"/>
      <c r="GC31" s="111" t="n"/>
      <c r="GD31" s="111" t="n"/>
      <c r="GE31" s="111" t="n"/>
      <c r="GF31" s="111" t="n"/>
      <c r="GG31" s="111" t="n"/>
      <c r="GH31" s="111" t="n"/>
      <c r="GI31" s="111" t="n"/>
      <c r="GJ31" s="111" t="n"/>
      <c r="GK31" s="111" t="n"/>
      <c r="GL31" s="111" t="n"/>
      <c r="GM31" s="111" t="n"/>
      <c r="GN31" s="111" t="n"/>
      <c r="GO31" s="111" t="n"/>
      <c r="GP31" s="111" t="n"/>
      <c r="GQ31" s="111" t="n"/>
      <c r="GR31" s="111" t="n"/>
      <c r="GS31" s="111" t="n"/>
      <c r="GT31" s="111" t="n"/>
      <c r="GU31" s="111" t="n"/>
      <c r="GV31" s="111" t="n"/>
      <c r="GW31" s="111" t="n"/>
      <c r="GX31" s="111" t="n"/>
      <c r="GY31" s="111" t="n"/>
      <c r="GZ31" s="111" t="n"/>
      <c r="HA31" s="111" t="n"/>
      <c r="HB31" s="111" t="n"/>
      <c r="HC31" s="111" t="n"/>
      <c r="HD31" s="111" t="n"/>
      <c r="HE31" s="111" t="n"/>
      <c r="HF31" s="111" t="n"/>
      <c r="HG31" s="111" t="n"/>
      <c r="HH31" s="111" t="n"/>
      <c r="HI31" s="111" t="n"/>
      <c r="HJ31" s="111" t="n"/>
      <c r="HK31" s="111" t="n"/>
      <c r="HL31" s="111" t="n"/>
      <c r="HM31" s="111" t="n"/>
      <c r="HN31" s="111" t="n"/>
      <c r="HO31" s="111" t="n"/>
      <c r="HP31" s="111" t="n"/>
      <c r="HQ31" s="111" t="n"/>
      <c r="HR31" s="111" t="n"/>
      <c r="HS31" s="111" t="n"/>
      <c r="HT31" s="111" t="n"/>
      <c r="HU31" s="111" t="n"/>
      <c r="HV31" s="111" t="n"/>
      <c r="HW31" s="111" t="n"/>
      <c r="HX31" s="111" t="n"/>
      <c r="HY31" s="111" t="n"/>
      <c r="HZ31" s="111" t="n"/>
      <c r="IA31" s="111" t="n"/>
      <c r="IB31" s="111" t="n"/>
      <c r="IC31" s="111" t="n"/>
      <c r="ID31" s="111" t="n"/>
      <c r="IE31" s="111" t="n"/>
      <c r="IF31" s="111" t="n"/>
      <c r="IG31" s="111" t="n"/>
      <c r="IH31" s="111" t="n"/>
      <c r="II31" s="111" t="n"/>
      <c r="IJ31" s="111" t="n"/>
      <c r="IK31" s="111" t="n"/>
      <c r="IL31" s="111" t="n"/>
      <c r="IM31" s="111" t="n"/>
      <c r="IN31" s="111" t="n"/>
      <c r="IO31" s="111" t="n"/>
      <c r="IP31" s="111" t="n"/>
      <c r="IQ31" s="111" t="n"/>
      <c r="IR31" s="111" t="n"/>
      <c r="IS31" s="111" t="n"/>
      <c r="IT31" s="111" t="n"/>
      <c r="IU31" s="111" t="n"/>
      <c r="IV31" s="111" t="n"/>
      <c r="IW31" s="111" t="n"/>
      <c r="IX31" s="111" t="n"/>
      <c r="IY31" s="111" t="n"/>
      <c r="IZ31" s="111" t="n"/>
      <c r="JA31" s="111" t="n"/>
      <c r="JB31" s="111" t="n"/>
      <c r="JC31" s="111" t="n"/>
      <c r="JD31" s="111" t="n"/>
      <c r="JE31" s="111" t="n"/>
      <c r="JF31" s="111" t="n"/>
      <c r="JG31" s="111" t="n"/>
      <c r="JH31" s="111" t="n"/>
      <c r="JI31" s="111" t="n"/>
      <c r="JJ31" s="111" t="n"/>
      <c r="JK31" s="111" t="n"/>
      <c r="JL31" s="111" t="n"/>
      <c r="JM31" s="111" t="n"/>
      <c r="JN31" s="111" t="n"/>
      <c r="JO31" s="111" t="n"/>
      <c r="JP31" s="111" t="n"/>
      <c r="JQ31" s="111" t="n"/>
      <c r="JR31" s="111" t="n"/>
      <c r="JS31" s="111" t="n"/>
      <c r="JT31" s="111" t="n"/>
      <c r="JU31" s="111" t="n"/>
      <c r="JV31" s="111" t="n"/>
      <c r="JW31" s="111" t="n"/>
      <c r="JX31" s="111" t="n"/>
      <c r="JY31" s="111" t="n"/>
      <c r="JZ31" s="111" t="n"/>
      <c r="KA31" s="111" t="n"/>
      <c r="KB31" s="111" t="n"/>
      <c r="KC31" s="111" t="n"/>
      <c r="KD31" s="111" t="n"/>
      <c r="KE31" s="111" t="n"/>
      <c r="KF31" s="111" t="n"/>
      <c r="KG31" s="111" t="n"/>
      <c r="KH31" s="111" t="n"/>
      <c r="KI31" s="111" t="n"/>
      <c r="KJ31" s="111" t="n"/>
      <c r="KK31" s="111" t="n"/>
      <c r="KL31" s="111" t="n"/>
      <c r="KM31" s="111" t="n"/>
      <c r="KN31" s="111" t="n"/>
      <c r="KO31" s="111" t="n"/>
      <c r="KP31" s="111" t="n"/>
      <c r="KQ31" s="111" t="n"/>
      <c r="KR31" s="111" t="n"/>
      <c r="KS31" s="111" t="n"/>
      <c r="KT31" s="111" t="n"/>
      <c r="KU31" s="111" t="n"/>
      <c r="KV31" s="111" t="n"/>
      <c r="KW31" s="111" t="n"/>
      <c r="KX31" s="111" t="n"/>
      <c r="KY31" s="111" t="n"/>
      <c r="KZ31" s="111" t="n"/>
      <c r="LA31" s="111" t="n"/>
      <c r="LB31" s="111" t="n"/>
      <c r="LC31" s="111" t="n"/>
      <c r="LD31" s="111" t="n"/>
      <c r="LE31" s="111" t="n"/>
      <c r="LF31" s="111" t="n"/>
      <c r="LG31" s="111" t="n"/>
      <c r="LH31" s="111" t="n"/>
      <c r="LI31" s="111" t="n"/>
      <c r="LJ31" s="111" t="n"/>
      <c r="LK31" s="111" t="n"/>
      <c r="LL31" s="111" t="n"/>
      <c r="LM31" s="111" t="n"/>
      <c r="LN31" s="111" t="n"/>
      <c r="LO31" s="111" t="n"/>
      <c r="LP31" s="111" t="n"/>
      <c r="LQ31" s="111" t="n"/>
      <c r="LR31" s="111" t="n"/>
      <c r="LS31" s="111" t="n"/>
      <c r="LT31" s="111" t="n"/>
      <c r="LU31" s="111" t="n"/>
      <c r="LV31" s="111" t="n"/>
      <c r="LW31" s="111" t="n"/>
      <c r="LX31" s="111" t="n"/>
      <c r="LY31" s="111" t="n"/>
      <c r="LZ31" s="111" t="n"/>
      <c r="MA31" s="111" t="n"/>
      <c r="MB31" s="111" t="n"/>
      <c r="MC31" s="111" t="n"/>
      <c r="MD31" s="111" t="n"/>
      <c r="ME31" s="111" t="n"/>
      <c r="MF31" s="111" t="n"/>
      <c r="MG31" s="111" t="n"/>
      <c r="MH31" s="111" t="n"/>
      <c r="MI31" s="111" t="n"/>
      <c r="MJ31" s="111" t="n"/>
      <c r="MK31" s="111" t="n"/>
      <c r="ML31" s="111" t="n"/>
      <c r="MM31" s="111" t="n"/>
      <c r="MN31" s="111" t="n"/>
      <c r="MO31" s="111" t="n"/>
      <c r="MP31" s="111" t="n"/>
      <c r="MQ31" s="111" t="n"/>
      <c r="MR31" s="111" t="n"/>
      <c r="MS31" s="111" t="n"/>
      <c r="MT31" s="111" t="n"/>
      <c r="MU31" s="111" t="n"/>
      <c r="MV31" s="111" t="n"/>
      <c r="MW31" s="111" t="n"/>
      <c r="MX31" s="111" t="n"/>
      <c r="MY31" s="111" t="n"/>
      <c r="MZ31" s="111" t="n"/>
      <c r="NA31" s="111" t="n"/>
      <c r="NB31" s="111" t="n"/>
      <c r="NC31" s="111" t="n"/>
      <c r="ND31" s="111" t="n"/>
      <c r="NE31" s="111" t="n"/>
      <c r="NF31" s="111" t="n"/>
      <c r="NG31" s="111" t="n"/>
      <c r="NH31" s="111" t="n"/>
      <c r="NI31" s="111" t="n"/>
      <c r="NJ31" s="111" t="n"/>
      <c r="NK31" s="111" t="n"/>
      <c r="NL31" s="111" t="n"/>
      <c r="NM31" s="111" t="n"/>
      <c r="NN31" s="111" t="n"/>
      <c r="NO31" s="111" t="n"/>
      <c r="NP31" s="111" t="n"/>
      <c r="NQ31" s="111" t="n"/>
    </row>
    <row r="32" customFormat="1" s="17">
      <c r="A32" s="33">
        <f>IF(ISERROR(VALUE(SUBSTITUTE(OFFSET(A32,-1,0,1,1),".",""))),"0.1",IF(ISERROR(FIND("`",SUBSTITUTE(OFFSET(A32,-1,0,1,1),".","`",1))),OFFSET(A32,-1,0,1,1)&amp;".1",LEFT(OFFSET(A32,-1,0,1,1),FIND("`",SUBSTITUTE(OFFSET(A32,-1,0,1,1),".","`",1)))&amp;IF(ISERROR(FIND("`",SUBSTITUTE(OFFSET(A32,-1,0,1,1),".","`",2))),VALUE(RIGHT(OFFSET(A32,-1,0,1,1),LEN(OFFSET(A32,-1,0,1,1))-FIND("`",SUBSTITUTE(OFFSET(A32,-1,0,1,1),".","`",1))))+1,VALUE(MID(OFFSET(A32,-1,0,1,1),FIND("`",SUBSTITUTE(OFFSET(A32,-1,0,1,1),".","`",1))+1,(FIND("`",SUBSTITUTE(OFFSET(A32,-1,0,1,1),".","`",2))-FIND("`",SUBSTITUTE(OFFSET(A32,-1,0,1,1),".","`",1))-1)))+1)))</f>
        <v/>
      </c>
      <c r="B32" s="10" t="inlineStr">
        <is>
          <t>[ Level 2 Task ]</t>
        </is>
      </c>
      <c r="C32" s="11" t="n"/>
      <c r="D32" s="37" t="n"/>
      <c r="E32" s="37" t="n"/>
      <c r="F32" s="37" t="n"/>
      <c r="G32" s="274">
        <f>H31+1</f>
        <v/>
      </c>
      <c r="H32" s="275">
        <f>IF(K32=0,G32,WORKDAY(IF(WEEKDAY(G32,1)=7,G32+2,IF(WEEKDAY(G32,1)=1,G32+1,G32)),K32-1,holidays))</f>
        <v/>
      </c>
      <c r="I32" s="272" t="n">
        <v>41670</v>
      </c>
      <c r="J32" s="272" t="n">
        <v>41680</v>
      </c>
      <c r="K32" s="79" t="n">
        <v>12</v>
      </c>
      <c r="L32" s="80" t="n"/>
      <c r="M32" s="14">
        <f>IF(OR(G32=0,H32=0),0,H32-G32+1)</f>
        <v/>
      </c>
      <c r="N32" s="15">
        <f>MIN(M32,WORKDAY(G32,ROUNDDOWN(L32*K32,0),holidays)-G32)</f>
        <v/>
      </c>
      <c r="O32" s="14">
        <f>M32-N32</f>
        <v/>
      </c>
      <c r="P32" s="113" t="inlineStr">
        <is>
          <t>o</t>
        </is>
      </c>
      <c r="Q32" s="17"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c r="BK32" s="111" t="n"/>
      <c r="BL32" s="111" t="n"/>
      <c r="BM32" s="111" t="n"/>
      <c r="BN32" s="111" t="n"/>
      <c r="BO32" s="111" t="n"/>
      <c r="BP32" s="111" t="n"/>
      <c r="BQ32" s="111" t="n"/>
      <c r="BR32" s="111" t="n"/>
      <c r="BS32" s="111" t="n"/>
      <c r="BT32" s="111" t="n"/>
      <c r="BU32" s="111" t="n"/>
      <c r="BV32" s="111" t="n"/>
      <c r="BW32" s="111" t="n"/>
      <c r="BX32" s="111" t="n"/>
      <c r="BY32" s="111" t="n"/>
      <c r="BZ32" s="111" t="n"/>
      <c r="CA32" s="111" t="n"/>
      <c r="CB32" s="111" t="n"/>
      <c r="CC32" s="111" t="n"/>
      <c r="CD32" s="111" t="n"/>
      <c r="CE32" s="111" t="n"/>
      <c r="CF32" s="111"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1" t="n"/>
      <c r="DS32" s="111" t="n"/>
      <c r="DT32" s="111" t="n"/>
      <c r="DU32" s="111" t="n"/>
      <c r="DV32" s="111" t="n"/>
      <c r="DW32" s="111" t="n"/>
      <c r="DX32" s="111" t="n"/>
      <c r="DY32" s="111" t="n"/>
      <c r="DZ32" s="111" t="n"/>
      <c r="EA32" s="111" t="n"/>
      <c r="EB32" s="111" t="n"/>
      <c r="EC32" s="111" t="n"/>
      <c r="ED32" s="111" t="n"/>
      <c r="EE32" s="111" t="n"/>
      <c r="EF32" s="111" t="n"/>
      <c r="EG32" s="111" t="n"/>
      <c r="EH32" s="111" t="n"/>
      <c r="EI32" s="111" t="n"/>
      <c r="EJ32" s="111" t="n"/>
      <c r="EK32" s="111" t="n"/>
      <c r="EL32" s="111" t="n"/>
      <c r="EM32" s="111" t="n"/>
      <c r="EN32" s="111" t="n"/>
      <c r="EO32" s="111" t="n"/>
      <c r="EP32" s="111" t="n"/>
      <c r="EQ32" s="111" t="n"/>
      <c r="ER32" s="111" t="n"/>
      <c r="ES32" s="111" t="n"/>
      <c r="ET32" s="111" t="n"/>
      <c r="EU32" s="111" t="n"/>
      <c r="EV32" s="111" t="n"/>
      <c r="EW32" s="111" t="n"/>
      <c r="EX32" s="111" t="n"/>
      <c r="EY32" s="111" t="n"/>
      <c r="EZ32" s="111" t="n"/>
      <c r="FA32" s="111" t="n"/>
      <c r="FB32" s="111"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1" t="n"/>
      <c r="GH32" s="111" t="n"/>
      <c r="GI32" s="111" t="n"/>
      <c r="GJ32" s="111" t="n"/>
      <c r="GK32" s="111" t="n"/>
      <c r="GL32" s="111" t="n"/>
      <c r="GM32" s="111" t="n"/>
      <c r="GN32" s="111" t="n"/>
      <c r="GO32" s="111" t="n"/>
      <c r="GP32" s="111" t="n"/>
      <c r="GQ32" s="111" t="n"/>
      <c r="GR32" s="111" t="n"/>
      <c r="GS32" s="111" t="n"/>
      <c r="GT32" s="111" t="n"/>
      <c r="GU32" s="111" t="n"/>
      <c r="GV32" s="111" t="n"/>
      <c r="GW32" s="111" t="n"/>
      <c r="GX32" s="111" t="n"/>
      <c r="GY32" s="111" t="n"/>
      <c r="GZ32" s="111" t="n"/>
      <c r="HA32" s="111" t="n"/>
      <c r="HB32" s="111" t="n"/>
      <c r="HC32" s="111" t="n"/>
      <c r="HD32" s="111" t="n"/>
      <c r="HE32" s="111" t="n"/>
      <c r="HF32" s="111" t="n"/>
      <c r="HG32" s="111" t="n"/>
      <c r="HH32" s="111" t="n"/>
      <c r="HI32" s="111" t="n"/>
      <c r="HJ32" s="111" t="n"/>
      <c r="HK32" s="111" t="n"/>
      <c r="HL32" s="111" t="n"/>
      <c r="HM32" s="111" t="n"/>
      <c r="HN32" s="111" t="n"/>
      <c r="HO32" s="111" t="n"/>
      <c r="HP32" s="111" t="n"/>
      <c r="HQ32" s="111" t="n"/>
      <c r="HR32" s="111" t="n"/>
      <c r="HS32" s="111" t="n"/>
      <c r="HT32" s="111" t="n"/>
      <c r="HU32" s="111" t="n"/>
      <c r="HV32" s="111" t="n"/>
      <c r="HW32" s="111" t="n"/>
      <c r="HX32" s="111" t="n"/>
      <c r="HY32" s="111" t="n"/>
      <c r="HZ32" s="111" t="n"/>
      <c r="IA32" s="111" t="n"/>
      <c r="IB32" s="111" t="n"/>
      <c r="IC32" s="111" t="n"/>
      <c r="ID32" s="111" t="n"/>
      <c r="IE32" s="111" t="n"/>
      <c r="IF32" s="111" t="n"/>
      <c r="IG32" s="111" t="n"/>
      <c r="IH32" s="111" t="n"/>
      <c r="II32" s="111" t="n"/>
      <c r="IJ32" s="111" t="n"/>
      <c r="IK32" s="111" t="n"/>
      <c r="IL32" s="111" t="n"/>
      <c r="IM32" s="111" t="n"/>
      <c r="IN32" s="111" t="n"/>
      <c r="IO32" s="111" t="n"/>
      <c r="IP32" s="111" t="n"/>
      <c r="IQ32" s="111" t="n"/>
      <c r="IR32" s="111" t="n"/>
      <c r="IS32" s="111" t="n"/>
      <c r="IT32" s="111" t="n"/>
      <c r="IU32" s="111" t="n"/>
      <c r="IV32" s="111" t="n"/>
      <c r="IW32" s="111" t="n"/>
      <c r="IX32" s="111" t="n"/>
      <c r="IY32" s="111" t="n"/>
      <c r="IZ32" s="111" t="n"/>
      <c r="JA32" s="111" t="n"/>
      <c r="JB32" s="111" t="n"/>
      <c r="JC32" s="111" t="n"/>
      <c r="JD32" s="111" t="n"/>
      <c r="JE32" s="111" t="n"/>
      <c r="JF32" s="111" t="n"/>
      <c r="JG32" s="111" t="n"/>
      <c r="JH32" s="111" t="n"/>
      <c r="JI32" s="111" t="n"/>
      <c r="JJ32" s="111" t="n"/>
      <c r="JK32" s="111" t="n"/>
      <c r="JL32" s="111" t="n"/>
      <c r="JM32" s="111" t="n"/>
      <c r="JN32" s="111" t="n"/>
      <c r="JO32" s="111" t="n"/>
      <c r="JP32" s="111" t="n"/>
      <c r="JQ32" s="111" t="n"/>
      <c r="JR32" s="111" t="n"/>
      <c r="JS32" s="111" t="n"/>
      <c r="JT32" s="111" t="n"/>
      <c r="JU32" s="111" t="n"/>
      <c r="JV32" s="111" t="n"/>
      <c r="JW32" s="111" t="n"/>
      <c r="JX32" s="111" t="n"/>
      <c r="JY32" s="111" t="n"/>
      <c r="JZ32" s="111" t="n"/>
      <c r="KA32" s="111" t="n"/>
      <c r="KB32" s="111" t="n"/>
      <c r="KC32" s="111" t="n"/>
      <c r="KD32" s="111" t="n"/>
      <c r="KE32" s="111" t="n"/>
      <c r="KF32" s="111" t="n"/>
      <c r="KG32" s="111" t="n"/>
      <c r="KH32" s="111" t="n"/>
      <c r="KI32" s="111" t="n"/>
      <c r="KJ32" s="111" t="n"/>
      <c r="KK32" s="111" t="n"/>
      <c r="KL32" s="111" t="n"/>
      <c r="KM32" s="111" t="n"/>
      <c r="KN32" s="111" t="n"/>
      <c r="KO32" s="111" t="n"/>
      <c r="KP32" s="111" t="n"/>
      <c r="KQ32" s="111" t="n"/>
      <c r="KR32" s="111" t="n"/>
      <c r="KS32" s="111" t="n"/>
      <c r="KT32" s="111" t="n"/>
      <c r="KU32" s="111" t="n"/>
      <c r="KV32" s="111" t="n"/>
      <c r="KW32" s="111" t="n"/>
      <c r="KX32" s="111" t="n"/>
      <c r="KY32" s="111" t="n"/>
      <c r="KZ32" s="111" t="n"/>
      <c r="LA32" s="111" t="n"/>
      <c r="LB32" s="111" t="n"/>
      <c r="LC32" s="111" t="n"/>
      <c r="LD32" s="111" t="n"/>
      <c r="LE32" s="111" t="n"/>
      <c r="LF32" s="111" t="n"/>
      <c r="LG32" s="111" t="n"/>
      <c r="LH32" s="111" t="n"/>
      <c r="LI32" s="111" t="n"/>
      <c r="LJ32" s="111" t="n"/>
      <c r="LK32" s="111" t="n"/>
      <c r="LL32" s="111" t="n"/>
      <c r="LM32" s="111" t="n"/>
      <c r="LN32" s="111" t="n"/>
      <c r="LO32" s="111" t="n"/>
      <c r="LP32" s="111" t="n"/>
      <c r="LQ32" s="111" t="n"/>
      <c r="LR32" s="111" t="n"/>
      <c r="LS32" s="111" t="n"/>
      <c r="LT32" s="111" t="n"/>
      <c r="LU32" s="111" t="n"/>
      <c r="LV32" s="111" t="n"/>
      <c r="LW32" s="111" t="n"/>
      <c r="LX32" s="111" t="n"/>
      <c r="LY32" s="111" t="n"/>
      <c r="LZ32" s="111" t="n"/>
      <c r="MA32" s="111" t="n"/>
      <c r="MB32" s="111" t="n"/>
      <c r="MC32" s="111" t="n"/>
      <c r="MD32" s="111" t="n"/>
      <c r="ME32" s="111" t="n"/>
      <c r="MF32" s="111" t="n"/>
      <c r="MG32" s="111" t="n"/>
      <c r="MH32" s="111" t="n"/>
      <c r="MI32" s="111" t="n"/>
      <c r="MJ32" s="111" t="n"/>
      <c r="MK32" s="111" t="n"/>
      <c r="ML32" s="111" t="n"/>
      <c r="MM32" s="111" t="n"/>
      <c r="MN32" s="111" t="n"/>
      <c r="MO32" s="111" t="n"/>
      <c r="MP32" s="111" t="n"/>
      <c r="MQ32" s="111" t="n"/>
      <c r="MR32" s="111" t="n"/>
      <c r="MS32" s="111" t="n"/>
      <c r="MT32" s="111" t="n"/>
      <c r="MU32" s="111" t="n"/>
      <c r="MV32" s="111" t="n"/>
      <c r="MW32" s="111" t="n"/>
      <c r="MX32" s="111" t="n"/>
      <c r="MY32" s="111" t="n"/>
      <c r="MZ32" s="111" t="n"/>
      <c r="NA32" s="111" t="n"/>
      <c r="NB32" s="111" t="n"/>
      <c r="NC32" s="111" t="n"/>
      <c r="ND32" s="111" t="n"/>
      <c r="NE32" s="111" t="n"/>
      <c r="NF32" s="111" t="n"/>
      <c r="NG32" s="111" t="n"/>
      <c r="NH32" s="111" t="n"/>
      <c r="NI32" s="111" t="n"/>
      <c r="NJ32" s="111" t="n"/>
      <c r="NK32" s="111" t="n"/>
      <c r="NL32" s="111" t="n"/>
      <c r="NM32" s="111" t="n"/>
      <c r="NN32" s="111" t="n"/>
      <c r="NO32" s="111" t="n"/>
      <c r="NP32" s="111" t="n"/>
      <c r="NQ32" s="111" t="n"/>
    </row>
    <row r="33" customFormat="1" s="17">
      <c r="A33" s="33">
        <f>IF(ISERROR(VALUE(SUBSTITUTE(OFFSET(A33,-1,0,1,1),".",""))),"0.1",IF(ISERROR(FIND("`",SUBSTITUTE(OFFSET(A33,-1,0,1,1),".","`",1))),OFFSET(A33,-1,0,1,1)&amp;".1",LEFT(OFFSET(A33,-1,0,1,1),FIND("`",SUBSTITUTE(OFFSET(A33,-1,0,1,1),".","`",1)))&amp;IF(ISERROR(FIND("`",SUBSTITUTE(OFFSET(A33,-1,0,1,1),".","`",2))),VALUE(RIGHT(OFFSET(A33,-1,0,1,1),LEN(OFFSET(A33,-1,0,1,1))-FIND("`",SUBSTITUTE(OFFSET(A33,-1,0,1,1),".","`",1))))+1,VALUE(MID(OFFSET(A33,-1,0,1,1),FIND("`",SUBSTITUTE(OFFSET(A33,-1,0,1,1),".","`",1))+1,(FIND("`",SUBSTITUTE(OFFSET(A33,-1,0,1,1),".","`",2))-FIND("`",SUBSTITUTE(OFFSET(A33,-1,0,1,1),".","`",1))-1)))+1)))</f>
        <v/>
      </c>
      <c r="B33" s="10" t="inlineStr">
        <is>
          <t>[ Level 2 Task ]</t>
        </is>
      </c>
      <c r="C33" s="11" t="n"/>
      <c r="D33" s="37" t="n"/>
      <c r="E33" s="37" t="n"/>
      <c r="F33" s="37" t="n"/>
      <c r="G33" s="274">
        <f>H32+1</f>
        <v/>
      </c>
      <c r="H33" s="275">
        <f>IF(K33=0,G33,WORKDAY(IF(WEEKDAY(G33,1)=7,G33+2,IF(WEEKDAY(G33,1)=1,G33+1,G33)),K33-1,holidays))</f>
        <v/>
      </c>
      <c r="I33" s="272" t="n">
        <v>41681</v>
      </c>
      <c r="J33" s="272" t="n">
        <v>41691</v>
      </c>
      <c r="K33" s="79" t="n">
        <v>14</v>
      </c>
      <c r="L33" s="80" t="n"/>
      <c r="M33" s="14">
        <f>IF(OR(G33=0,H33=0),0,H33-G33+1)</f>
        <v/>
      </c>
      <c r="N33" s="15">
        <f>MIN(M33,WORKDAY(G33,ROUNDDOWN(L33*K33,0),holidays)-G33)</f>
        <v/>
      </c>
      <c r="O33" s="14">
        <f>M33-N33</f>
        <v/>
      </c>
      <c r="P33" s="113" t="inlineStr">
        <is>
          <t>p</t>
        </is>
      </c>
      <c r="Q33" s="17"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1" t="n"/>
      <c r="AY33" s="111" t="n"/>
      <c r="AZ33" s="111" t="n"/>
      <c r="BA33" s="111" t="n"/>
      <c r="BB33" s="111" t="n"/>
      <c r="BC33" s="111" t="n"/>
      <c r="BD33" s="111" t="n"/>
      <c r="BE33" s="111" t="n"/>
      <c r="BF33" s="111" t="n"/>
      <c r="BG33" s="111" t="n"/>
      <c r="BH33" s="111" t="n"/>
      <c r="BI33" s="111" t="n"/>
      <c r="BJ33" s="111" t="n"/>
      <c r="BK33" s="111" t="n"/>
      <c r="BL33" s="111" t="n"/>
      <c r="BM33" s="111" t="n"/>
      <c r="BN33" s="111" t="n"/>
      <c r="BO33" s="111" t="n"/>
      <c r="BP33" s="111" t="n"/>
      <c r="BQ33" s="111" t="n"/>
      <c r="BR33" s="111" t="n"/>
      <c r="BS33" s="111" t="n"/>
      <c r="BT33" s="111" t="n"/>
      <c r="BU33" s="111" t="n"/>
      <c r="BV33" s="111" t="n"/>
      <c r="BW33" s="111" t="n"/>
      <c r="BX33" s="111" t="n"/>
      <c r="BY33" s="111" t="n"/>
      <c r="BZ33" s="111" t="n"/>
      <c r="CA33" s="111" t="n"/>
      <c r="CB33" s="111" t="n"/>
      <c r="CC33" s="111" t="n"/>
      <c r="CD33" s="111" t="n"/>
      <c r="CE33" s="111" t="n"/>
      <c r="CF33" s="111"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1" t="n"/>
      <c r="DS33" s="111" t="n"/>
      <c r="DT33" s="111" t="n"/>
      <c r="DU33" s="111" t="n"/>
      <c r="DV33" s="111" t="n"/>
      <c r="DW33" s="111" t="n"/>
      <c r="DX33" s="111" t="n"/>
      <c r="DY33" s="111" t="n"/>
      <c r="DZ33" s="111" t="n"/>
      <c r="EA33" s="111" t="n"/>
      <c r="EB33" s="111" t="n"/>
      <c r="EC33" s="111" t="n"/>
      <c r="ED33" s="111" t="n"/>
      <c r="EE33" s="111" t="n"/>
      <c r="EF33" s="111" t="n"/>
      <c r="EG33" s="111" t="n"/>
      <c r="EH33" s="111" t="n"/>
      <c r="EI33" s="111" t="n"/>
      <c r="EJ33" s="111" t="n"/>
      <c r="EK33" s="111" t="n"/>
      <c r="EL33" s="111" t="n"/>
      <c r="EM33" s="111" t="n"/>
      <c r="EN33" s="111" t="n"/>
      <c r="EO33" s="111" t="n"/>
      <c r="EP33" s="111" t="n"/>
      <c r="EQ33" s="111" t="n"/>
      <c r="ER33" s="111" t="n"/>
      <c r="ES33" s="111" t="n"/>
      <c r="ET33" s="111" t="n"/>
      <c r="EU33" s="111" t="n"/>
      <c r="EV33" s="111" t="n"/>
      <c r="EW33" s="111" t="n"/>
      <c r="EX33" s="111" t="n"/>
      <c r="EY33" s="111" t="n"/>
      <c r="EZ33" s="111" t="n"/>
      <c r="FA33" s="111" t="n"/>
      <c r="FB33" s="111"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1" t="n"/>
      <c r="GH33" s="111" t="n"/>
      <c r="GI33" s="111" t="n"/>
      <c r="GJ33" s="111" t="n"/>
      <c r="GK33" s="111" t="n"/>
      <c r="GL33" s="111" t="n"/>
      <c r="GM33" s="111" t="n"/>
      <c r="GN33" s="111" t="n"/>
      <c r="GO33" s="111" t="n"/>
      <c r="GP33" s="111" t="n"/>
      <c r="GQ33" s="111" t="n"/>
      <c r="GR33" s="111" t="n"/>
      <c r="GS33" s="111" t="n"/>
      <c r="GT33" s="111" t="n"/>
      <c r="GU33" s="111" t="n"/>
      <c r="GV33" s="111" t="n"/>
      <c r="GW33" s="111" t="n"/>
      <c r="GX33" s="111" t="n"/>
      <c r="GY33" s="111" t="n"/>
      <c r="GZ33" s="111" t="n"/>
      <c r="HA33" s="111" t="n"/>
      <c r="HB33" s="111" t="n"/>
      <c r="HC33" s="111" t="n"/>
      <c r="HD33" s="111" t="n"/>
      <c r="HE33" s="111" t="n"/>
      <c r="HF33" s="111" t="n"/>
      <c r="HG33" s="111" t="n"/>
      <c r="HH33" s="111" t="n"/>
      <c r="HI33" s="111" t="n"/>
      <c r="HJ33" s="111" t="n"/>
      <c r="HK33" s="111" t="n"/>
      <c r="HL33" s="111" t="n"/>
      <c r="HM33" s="111" t="n"/>
      <c r="HN33" s="111" t="n"/>
      <c r="HO33" s="111" t="n"/>
      <c r="HP33" s="111" t="n"/>
      <c r="HQ33" s="111" t="n"/>
      <c r="HR33" s="111" t="n"/>
      <c r="HS33" s="111" t="n"/>
      <c r="HT33" s="111" t="n"/>
      <c r="HU33" s="111" t="n"/>
      <c r="HV33" s="111" t="n"/>
      <c r="HW33" s="111" t="n"/>
      <c r="HX33" s="111" t="n"/>
      <c r="HY33" s="111" t="n"/>
      <c r="HZ33" s="111" t="n"/>
      <c r="IA33" s="111" t="n"/>
      <c r="IB33" s="111" t="n"/>
      <c r="IC33" s="111" t="n"/>
      <c r="ID33" s="111" t="n"/>
      <c r="IE33" s="111" t="n"/>
      <c r="IF33" s="111" t="n"/>
      <c r="IG33" s="111" t="n"/>
      <c r="IH33" s="111" t="n"/>
      <c r="II33" s="111" t="n"/>
      <c r="IJ33" s="111" t="n"/>
      <c r="IK33" s="111" t="n"/>
      <c r="IL33" s="111" t="n"/>
      <c r="IM33" s="111" t="n"/>
      <c r="IN33" s="111" t="n"/>
      <c r="IO33" s="111" t="n"/>
      <c r="IP33" s="111" t="n"/>
      <c r="IQ33" s="111" t="n"/>
      <c r="IR33" s="111" t="n"/>
      <c r="IS33" s="111" t="n"/>
      <c r="IT33" s="111" t="n"/>
      <c r="IU33" s="111" t="n"/>
      <c r="IV33" s="111" t="n"/>
      <c r="IW33" s="111" t="n"/>
      <c r="IX33" s="111" t="n"/>
      <c r="IY33" s="111" t="n"/>
      <c r="IZ33" s="111" t="n"/>
      <c r="JA33" s="111" t="n"/>
      <c r="JB33" s="111" t="n"/>
      <c r="JC33" s="111" t="n"/>
      <c r="JD33" s="111" t="n"/>
      <c r="JE33" s="111" t="n"/>
      <c r="JF33" s="111" t="n"/>
      <c r="JG33" s="111" t="n"/>
      <c r="JH33" s="111" t="n"/>
      <c r="JI33" s="111" t="n"/>
      <c r="JJ33" s="111" t="n"/>
      <c r="JK33" s="111" t="n"/>
      <c r="JL33" s="111" t="n"/>
      <c r="JM33" s="111" t="n"/>
      <c r="JN33" s="111" t="n"/>
      <c r="JO33" s="111" t="n"/>
      <c r="JP33" s="111" t="n"/>
      <c r="JQ33" s="111" t="n"/>
      <c r="JR33" s="111" t="n"/>
      <c r="JS33" s="111" t="n"/>
      <c r="JT33" s="111" t="n"/>
      <c r="JU33" s="111" t="n"/>
      <c r="JV33" s="111" t="n"/>
      <c r="JW33" s="111" t="n"/>
      <c r="JX33" s="111" t="n"/>
      <c r="JY33" s="111" t="n"/>
      <c r="JZ33" s="111" t="n"/>
      <c r="KA33" s="111" t="n"/>
      <c r="KB33" s="111" t="n"/>
      <c r="KC33" s="111" t="n"/>
      <c r="KD33" s="111" t="n"/>
      <c r="KE33" s="111" t="n"/>
      <c r="KF33" s="111" t="n"/>
      <c r="KG33" s="111" t="n"/>
      <c r="KH33" s="111" t="n"/>
      <c r="KI33" s="111" t="n"/>
      <c r="KJ33" s="111" t="n"/>
      <c r="KK33" s="111" t="n"/>
      <c r="KL33" s="111" t="n"/>
      <c r="KM33" s="111" t="n"/>
      <c r="KN33" s="111" t="n"/>
      <c r="KO33" s="111" t="n"/>
      <c r="KP33" s="111" t="n"/>
      <c r="KQ33" s="111" t="n"/>
      <c r="KR33" s="111" t="n"/>
      <c r="KS33" s="111" t="n"/>
      <c r="KT33" s="111" t="n"/>
      <c r="KU33" s="111" t="n"/>
      <c r="KV33" s="111" t="n"/>
      <c r="KW33" s="111" t="n"/>
      <c r="KX33" s="111" t="n"/>
      <c r="KY33" s="111" t="n"/>
      <c r="KZ33" s="111" t="n"/>
      <c r="LA33" s="111" t="n"/>
      <c r="LB33" s="111" t="n"/>
      <c r="LC33" s="111" t="n"/>
      <c r="LD33" s="111" t="n"/>
      <c r="LE33" s="111" t="n"/>
      <c r="LF33" s="111" t="n"/>
      <c r="LG33" s="111" t="n"/>
      <c r="LH33" s="111" t="n"/>
      <c r="LI33" s="111" t="n"/>
      <c r="LJ33" s="111" t="n"/>
      <c r="LK33" s="111" t="n"/>
      <c r="LL33" s="111" t="n"/>
      <c r="LM33" s="111" t="n"/>
      <c r="LN33" s="111" t="n"/>
      <c r="LO33" s="111" t="n"/>
      <c r="LP33" s="111" t="n"/>
      <c r="LQ33" s="111" t="n"/>
      <c r="LR33" s="111" t="n"/>
      <c r="LS33" s="111" t="n"/>
      <c r="LT33" s="111" t="n"/>
      <c r="LU33" s="111" t="n"/>
      <c r="LV33" s="111" t="n"/>
      <c r="LW33" s="111" t="n"/>
      <c r="LX33" s="111" t="n"/>
      <c r="LY33" s="111" t="n"/>
      <c r="LZ33" s="111" t="n"/>
      <c r="MA33" s="111" t="n"/>
      <c r="MB33" s="111" t="n"/>
      <c r="MC33" s="111" t="n"/>
      <c r="MD33" s="111" t="n"/>
      <c r="ME33" s="111" t="n"/>
      <c r="MF33" s="111" t="n"/>
      <c r="MG33" s="111" t="n"/>
      <c r="MH33" s="111" t="n"/>
      <c r="MI33" s="111" t="n"/>
      <c r="MJ33" s="111" t="n"/>
      <c r="MK33" s="111" t="n"/>
      <c r="ML33" s="111" t="n"/>
      <c r="MM33" s="111" t="n"/>
      <c r="MN33" s="111" t="n"/>
      <c r="MO33" s="111" t="n"/>
      <c r="MP33" s="111" t="n"/>
      <c r="MQ33" s="111" t="n"/>
      <c r="MR33" s="111" t="n"/>
      <c r="MS33" s="111" t="n"/>
      <c r="MT33" s="111" t="n"/>
      <c r="MU33" s="111" t="n"/>
      <c r="MV33" s="111" t="n"/>
      <c r="MW33" s="111" t="n"/>
      <c r="MX33" s="111" t="n"/>
      <c r="MY33" s="111" t="n"/>
      <c r="MZ33" s="111" t="n"/>
      <c r="NA33" s="111" t="n"/>
      <c r="NB33" s="111" t="n"/>
      <c r="NC33" s="111" t="n"/>
      <c r="ND33" s="111" t="n"/>
      <c r="NE33" s="111" t="n"/>
      <c r="NF33" s="111" t="n"/>
      <c r="NG33" s="111" t="n"/>
      <c r="NH33" s="111" t="n"/>
      <c r="NI33" s="111" t="n"/>
      <c r="NJ33" s="111" t="n"/>
      <c r="NK33" s="111" t="n"/>
      <c r="NL33" s="111" t="n"/>
      <c r="NM33" s="111" t="n"/>
      <c r="NN33" s="111" t="n"/>
      <c r="NO33" s="111" t="n"/>
      <c r="NP33" s="111" t="n"/>
      <c r="NQ33" s="111" t="n"/>
    </row>
    <row r="34" customFormat="1" s="17">
      <c r="A34" s="33">
        <f>IF(ISERROR(VALUE(SUBSTITUTE(OFFSET(A34,-1,0,1,1),".",""))),"0.1",IF(ISERROR(FIND("`",SUBSTITUTE(OFFSET(A34,-1,0,1,1),".","`",1))),OFFSET(A34,-1,0,1,1)&amp;".1",LEFT(OFFSET(A34,-1,0,1,1),FIND("`",SUBSTITUTE(OFFSET(A34,-1,0,1,1),".","`",1)))&amp;IF(ISERROR(FIND("`",SUBSTITUTE(OFFSET(A34,-1,0,1,1),".","`",2))),VALUE(RIGHT(OFFSET(A34,-1,0,1,1),LEN(OFFSET(A34,-1,0,1,1))-FIND("`",SUBSTITUTE(OFFSET(A34,-1,0,1,1),".","`",1))))+1,VALUE(MID(OFFSET(A34,-1,0,1,1),FIND("`",SUBSTITUTE(OFFSET(A34,-1,0,1,1),".","`",1))+1,(FIND("`",SUBSTITUTE(OFFSET(A34,-1,0,1,1),".","`",2))-FIND("`",SUBSTITUTE(OFFSET(A34,-1,0,1,1),".","`",1))-1)))+1)))</f>
        <v/>
      </c>
      <c r="B34" s="10" t="inlineStr">
        <is>
          <t>[ Level 2 Task ]</t>
        </is>
      </c>
      <c r="C34" s="11" t="n"/>
      <c r="D34" s="37" t="n"/>
      <c r="E34" s="37" t="n"/>
      <c r="F34" s="37" t="n"/>
      <c r="G34" s="274">
        <f>H33+1</f>
        <v/>
      </c>
      <c r="H34" s="275">
        <f>IF(K34=0,G34,WORKDAY(IF(WEEKDAY(G34,1)=7,G34+2,IF(WEEKDAY(G34,1)=1,G34+1,G34)),K34-1,holidays))</f>
        <v/>
      </c>
      <c r="I34" s="272" t="n">
        <v>41692</v>
      </c>
      <c r="J34" s="272" t="n">
        <v>41704</v>
      </c>
      <c r="K34" s="79" t="n">
        <v>15</v>
      </c>
      <c r="L34" s="80" t="n"/>
      <c r="M34" s="14">
        <f>IF(OR(G34=0,H34=0),0,H34-G34+1)</f>
        <v/>
      </c>
      <c r="N34" s="15">
        <f>MIN(M34,WORKDAY(G34,ROUNDDOWN(L34*K34,0),holidays)-G34)</f>
        <v/>
      </c>
      <c r="O34" s="14">
        <f>M34-N34</f>
        <v/>
      </c>
      <c r="P34" s="113" t="inlineStr">
        <is>
          <t>k</t>
        </is>
      </c>
      <c r="Q34" s="17"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1" t="n"/>
      <c r="CC34" s="111" t="n"/>
      <c r="CD34" s="111" t="n"/>
      <c r="CE34" s="111" t="n"/>
      <c r="CF34" s="111"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1" t="n"/>
      <c r="DS34" s="111" t="n"/>
      <c r="DT34" s="111" t="n"/>
      <c r="DU34" s="111" t="n"/>
      <c r="DV34" s="111" t="n"/>
      <c r="DW34" s="111" t="n"/>
      <c r="DX34" s="111" t="n"/>
      <c r="DY34" s="111" t="n"/>
      <c r="DZ34" s="111" t="n"/>
      <c r="EA34" s="111" t="n"/>
      <c r="EB34" s="111" t="n"/>
      <c r="EC34" s="111" t="n"/>
      <c r="ED34" s="111" t="n"/>
      <c r="EE34" s="111" t="n"/>
      <c r="EF34" s="111" t="n"/>
      <c r="EG34" s="111" t="n"/>
      <c r="EH34" s="111" t="n"/>
      <c r="EI34" s="111" t="n"/>
      <c r="EJ34" s="111" t="n"/>
      <c r="EK34" s="111" t="n"/>
      <c r="EL34" s="111" t="n"/>
      <c r="EM34" s="111" t="n"/>
      <c r="EN34" s="111" t="n"/>
      <c r="EO34" s="111" t="n"/>
      <c r="EP34" s="111" t="n"/>
      <c r="EQ34" s="111" t="n"/>
      <c r="ER34" s="111" t="n"/>
      <c r="ES34" s="111" t="n"/>
      <c r="ET34" s="111" t="n"/>
      <c r="EU34" s="111" t="n"/>
      <c r="EV34" s="111" t="n"/>
      <c r="EW34" s="111" t="n"/>
      <c r="EX34" s="111" t="n"/>
      <c r="EY34" s="111" t="n"/>
      <c r="EZ34" s="111" t="n"/>
      <c r="FA34" s="111" t="n"/>
      <c r="FB34" s="111"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1" t="n"/>
      <c r="GH34" s="111" t="n"/>
      <c r="GI34" s="111" t="n"/>
      <c r="GJ34" s="111" t="n"/>
      <c r="GK34" s="111" t="n"/>
      <c r="GL34" s="111" t="n"/>
      <c r="GM34" s="111" t="n"/>
      <c r="GN34" s="111" t="n"/>
      <c r="GO34" s="111" t="n"/>
      <c r="GP34" s="111" t="n"/>
      <c r="GQ34" s="111" t="n"/>
      <c r="GR34" s="111" t="n"/>
      <c r="GS34" s="111" t="n"/>
      <c r="GT34" s="111" t="n"/>
      <c r="GU34" s="111" t="n"/>
      <c r="GV34" s="111" t="n"/>
      <c r="GW34" s="111" t="n"/>
      <c r="GX34" s="111" t="n"/>
      <c r="GY34" s="111" t="n"/>
      <c r="GZ34" s="111" t="n"/>
      <c r="HA34" s="111" t="n"/>
      <c r="HB34" s="111" t="n"/>
      <c r="HC34" s="111" t="n"/>
      <c r="HD34" s="111" t="n"/>
      <c r="HE34" s="111" t="n"/>
      <c r="HF34" s="111" t="n"/>
      <c r="HG34" s="111" t="n"/>
      <c r="HH34" s="111" t="n"/>
      <c r="HI34" s="111" t="n"/>
      <c r="HJ34" s="111" t="n"/>
      <c r="HK34" s="111" t="n"/>
      <c r="HL34" s="111" t="n"/>
      <c r="HM34" s="111" t="n"/>
      <c r="HN34" s="111" t="n"/>
      <c r="HO34" s="111" t="n"/>
      <c r="HP34" s="111" t="n"/>
      <c r="HQ34" s="111" t="n"/>
      <c r="HR34" s="111" t="n"/>
      <c r="HS34" s="111" t="n"/>
      <c r="HT34" s="111" t="n"/>
      <c r="HU34" s="111" t="n"/>
      <c r="HV34" s="111" t="n"/>
      <c r="HW34" s="111" t="n"/>
      <c r="HX34" s="111" t="n"/>
      <c r="HY34" s="111" t="n"/>
      <c r="HZ34" s="111" t="n"/>
      <c r="IA34" s="111" t="n"/>
      <c r="IB34" s="111" t="n"/>
      <c r="IC34" s="111" t="n"/>
      <c r="ID34" s="111" t="n"/>
      <c r="IE34" s="111" t="n"/>
      <c r="IF34" s="111" t="n"/>
      <c r="IG34" s="111" t="n"/>
      <c r="IH34" s="111" t="n"/>
      <c r="II34" s="111" t="n"/>
      <c r="IJ34" s="111" t="n"/>
      <c r="IK34" s="111" t="n"/>
      <c r="IL34" s="111" t="n"/>
      <c r="IM34" s="111" t="n"/>
      <c r="IN34" s="111" t="n"/>
      <c r="IO34" s="111" t="n"/>
      <c r="IP34" s="111" t="n"/>
      <c r="IQ34" s="111" t="n"/>
      <c r="IR34" s="111" t="n"/>
      <c r="IS34" s="111" t="n"/>
      <c r="IT34" s="111" t="n"/>
      <c r="IU34" s="111" t="n"/>
      <c r="IV34" s="111" t="n"/>
      <c r="IW34" s="111" t="n"/>
      <c r="IX34" s="111" t="n"/>
      <c r="IY34" s="111" t="n"/>
      <c r="IZ34" s="111" t="n"/>
      <c r="JA34" s="111" t="n"/>
      <c r="JB34" s="111" t="n"/>
      <c r="JC34" s="111" t="n"/>
      <c r="JD34" s="111" t="n"/>
      <c r="JE34" s="111" t="n"/>
      <c r="JF34" s="111" t="n"/>
      <c r="JG34" s="111" t="n"/>
      <c r="JH34" s="111" t="n"/>
      <c r="JI34" s="111" t="n"/>
      <c r="JJ34" s="111" t="n"/>
      <c r="JK34" s="111" t="n"/>
      <c r="JL34" s="111" t="n"/>
      <c r="JM34" s="111" t="n"/>
      <c r="JN34" s="111" t="n"/>
      <c r="JO34" s="111" t="n"/>
      <c r="JP34" s="111" t="n"/>
      <c r="JQ34" s="111" t="n"/>
      <c r="JR34" s="111" t="n"/>
      <c r="JS34" s="111" t="n"/>
      <c r="JT34" s="111" t="n"/>
      <c r="JU34" s="111" t="n"/>
      <c r="JV34" s="111" t="n"/>
      <c r="JW34" s="111" t="n"/>
      <c r="JX34" s="111" t="n"/>
      <c r="JY34" s="111" t="n"/>
      <c r="JZ34" s="111" t="n"/>
      <c r="KA34" s="111" t="n"/>
      <c r="KB34" s="111" t="n"/>
      <c r="KC34" s="111" t="n"/>
      <c r="KD34" s="111" t="n"/>
      <c r="KE34" s="111" t="n"/>
      <c r="KF34" s="111" t="n"/>
      <c r="KG34" s="111" t="n"/>
      <c r="KH34" s="111" t="n"/>
      <c r="KI34" s="111" t="n"/>
      <c r="KJ34" s="111" t="n"/>
      <c r="KK34" s="111" t="n"/>
      <c r="KL34" s="111" t="n"/>
      <c r="KM34" s="111" t="n"/>
      <c r="KN34" s="111" t="n"/>
      <c r="KO34" s="111" t="n"/>
      <c r="KP34" s="111" t="n"/>
      <c r="KQ34" s="111" t="n"/>
      <c r="KR34" s="111" t="n"/>
      <c r="KS34" s="111" t="n"/>
      <c r="KT34" s="111" t="n"/>
      <c r="KU34" s="111" t="n"/>
      <c r="KV34" s="111" t="n"/>
      <c r="KW34" s="111" t="n"/>
      <c r="KX34" s="111" t="n"/>
      <c r="KY34" s="111" t="n"/>
      <c r="KZ34" s="111" t="n"/>
      <c r="LA34" s="111" t="n"/>
      <c r="LB34" s="111" t="n"/>
      <c r="LC34" s="111" t="n"/>
      <c r="LD34" s="111" t="n"/>
      <c r="LE34" s="111" t="n"/>
      <c r="LF34" s="111" t="n"/>
      <c r="LG34" s="111" t="n"/>
      <c r="LH34" s="111" t="n"/>
      <c r="LI34" s="111" t="n"/>
      <c r="LJ34" s="111" t="n"/>
      <c r="LK34" s="111" t="n"/>
      <c r="LL34" s="111" t="n"/>
      <c r="LM34" s="111" t="n"/>
      <c r="LN34" s="111" t="n"/>
      <c r="LO34" s="111" t="n"/>
      <c r="LP34" s="111" t="n"/>
      <c r="LQ34" s="111" t="n"/>
      <c r="LR34" s="111" t="n"/>
      <c r="LS34" s="111" t="n"/>
      <c r="LT34" s="111" t="n"/>
      <c r="LU34" s="111" t="n"/>
      <c r="LV34" s="111" t="n"/>
      <c r="LW34" s="111" t="n"/>
      <c r="LX34" s="111" t="n"/>
      <c r="LY34" s="111" t="n"/>
      <c r="LZ34" s="111" t="n"/>
      <c r="MA34" s="111" t="n"/>
      <c r="MB34" s="111" t="n"/>
      <c r="MC34" s="111" t="n"/>
      <c r="MD34" s="111" t="n"/>
      <c r="ME34" s="111" t="n"/>
      <c r="MF34" s="111" t="n"/>
      <c r="MG34" s="111" t="n"/>
      <c r="MH34" s="111" t="n"/>
      <c r="MI34" s="111" t="n"/>
      <c r="MJ34" s="111" t="n"/>
      <c r="MK34" s="111" t="n"/>
      <c r="ML34" s="111" t="n"/>
      <c r="MM34" s="111" t="n"/>
      <c r="MN34" s="111" t="n"/>
      <c r="MO34" s="111" t="n"/>
      <c r="MP34" s="111" t="n"/>
      <c r="MQ34" s="111" t="n"/>
      <c r="MR34" s="111" t="n"/>
      <c r="MS34" s="111" t="n"/>
      <c r="MT34" s="111" t="n"/>
      <c r="MU34" s="111" t="n"/>
      <c r="MV34" s="111" t="n"/>
      <c r="MW34" s="111" t="n"/>
      <c r="MX34" s="111" t="n"/>
      <c r="MY34" s="111" t="n"/>
      <c r="MZ34" s="111" t="n"/>
      <c r="NA34" s="111" t="n"/>
      <c r="NB34" s="111" t="n"/>
      <c r="NC34" s="111" t="n"/>
      <c r="ND34" s="111" t="n"/>
      <c r="NE34" s="111" t="n"/>
      <c r="NF34" s="111" t="n"/>
      <c r="NG34" s="111" t="n"/>
      <c r="NH34" s="111" t="n"/>
      <c r="NI34" s="111" t="n"/>
      <c r="NJ34" s="111" t="n"/>
      <c r="NK34" s="111" t="n"/>
      <c r="NL34" s="111" t="n"/>
      <c r="NM34" s="111" t="n"/>
      <c r="NN34" s="111" t="n"/>
      <c r="NO34" s="111" t="n"/>
      <c r="NP34" s="111" t="n"/>
      <c r="NQ34" s="111" t="n"/>
    </row>
    <row r="35" customFormat="1" s="17">
      <c r="A35" s="33">
        <f>IF(ISERROR(VALUE(SUBSTITUTE(OFFSET(A35,-1,0,1,1),".",""))),"0.1",IF(ISERROR(FIND("`",SUBSTITUTE(OFFSET(A35,-1,0,1,1),".","`",1))),OFFSET(A35,-1,0,1,1)&amp;".1",LEFT(OFFSET(A35,-1,0,1,1),FIND("`",SUBSTITUTE(OFFSET(A35,-1,0,1,1),".","`",1)))&amp;IF(ISERROR(FIND("`",SUBSTITUTE(OFFSET(A35,-1,0,1,1),".","`",2))),VALUE(RIGHT(OFFSET(A35,-1,0,1,1),LEN(OFFSET(A35,-1,0,1,1))-FIND("`",SUBSTITUTE(OFFSET(A35,-1,0,1,1),".","`",1))))+1,VALUE(MID(OFFSET(A35,-1,0,1,1),FIND("`",SUBSTITUTE(OFFSET(A35,-1,0,1,1),".","`",1))+1,(FIND("`",SUBSTITUTE(OFFSET(A35,-1,0,1,1),".","`",2))-FIND("`",SUBSTITUTE(OFFSET(A35,-1,0,1,1),".","`",1))-1)))+1)))</f>
        <v/>
      </c>
      <c r="B35" s="10" t="inlineStr">
        <is>
          <t>[ Level 2 Task ]</t>
        </is>
      </c>
      <c r="C35" s="11" t="n"/>
      <c r="D35" s="37" t="n"/>
      <c r="E35" s="37" t="n"/>
      <c r="F35" s="37" t="n"/>
      <c r="G35" s="274">
        <f>H34+1</f>
        <v/>
      </c>
      <c r="H35" s="275">
        <f>IF(K35=0,G35,WORKDAY(IF(WEEKDAY(G35,1)=7,G35+2,IF(WEEKDAY(G35,1)=1,G35+1,G35)),K35-1,holidays))</f>
        <v/>
      </c>
      <c r="I35" s="272" t="n">
        <v>41705</v>
      </c>
      <c r="J35" s="272" t="n">
        <v>41718</v>
      </c>
      <c r="K35" s="79" t="n">
        <v>20</v>
      </c>
      <c r="L35" s="80" t="n"/>
      <c r="M35" s="14">
        <f>IF(OR(G35=0,H35=0),0,H35-G35+1)</f>
        <v/>
      </c>
      <c r="N35" s="15">
        <f>MIN(M35,WORKDAY(G35,ROUNDDOWN(L35*K35,0),holidays)-G35)</f>
        <v/>
      </c>
      <c r="O35" s="14">
        <f>M35-N35</f>
        <v/>
      </c>
      <c r="P35" s="113" t="inlineStr">
        <is>
          <t>r</t>
        </is>
      </c>
      <c r="Q35" s="17"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111" t="n"/>
      <c r="GJ35" s="111" t="n"/>
      <c r="GK35" s="111" t="n"/>
      <c r="GL35" s="111" t="n"/>
      <c r="GM35" s="111" t="n"/>
      <c r="GN35" s="111" t="n"/>
      <c r="GO35" s="111" t="n"/>
      <c r="GP35" s="111" t="n"/>
      <c r="GQ35" s="111" t="n"/>
      <c r="GR35" s="111" t="n"/>
      <c r="GS35" s="111" t="n"/>
      <c r="GT35" s="111" t="n"/>
      <c r="GU35" s="111" t="n"/>
      <c r="GV35" s="111" t="n"/>
      <c r="GW35" s="111" t="n"/>
      <c r="GX35" s="111" t="n"/>
      <c r="GY35" s="111" t="n"/>
      <c r="GZ35" s="111" t="n"/>
      <c r="HA35" s="111" t="n"/>
      <c r="HB35" s="111" t="n"/>
      <c r="HC35" s="111" t="n"/>
      <c r="HD35" s="111" t="n"/>
      <c r="HE35" s="111" t="n"/>
      <c r="HF35" s="111" t="n"/>
      <c r="HG35" s="111" t="n"/>
      <c r="HH35" s="111" t="n"/>
      <c r="HI35" s="111" t="n"/>
      <c r="HJ35" s="111" t="n"/>
      <c r="HK35" s="111" t="n"/>
      <c r="HL35" s="111" t="n"/>
      <c r="HM35" s="111" t="n"/>
      <c r="HN35" s="111" t="n"/>
      <c r="HO35" s="111" t="n"/>
      <c r="HP35" s="111" t="n"/>
      <c r="HQ35" s="111" t="n"/>
      <c r="HR35" s="111" t="n"/>
      <c r="HS35" s="111" t="n"/>
      <c r="HT35" s="111" t="n"/>
      <c r="HU35" s="111" t="n"/>
      <c r="HV35" s="111" t="n"/>
      <c r="HW35" s="111" t="n"/>
      <c r="HX35" s="111" t="n"/>
      <c r="HY35" s="111" t="n"/>
      <c r="HZ35" s="111" t="n"/>
      <c r="IA35" s="111" t="n"/>
      <c r="IB35" s="111" t="n"/>
      <c r="IC35" s="111" t="n"/>
      <c r="ID35" s="111" t="n"/>
      <c r="IE35" s="111" t="n"/>
      <c r="IF35" s="111" t="n"/>
      <c r="IG35" s="111" t="n"/>
      <c r="IH35" s="111" t="n"/>
      <c r="II35" s="111" t="n"/>
      <c r="IJ35" s="111" t="n"/>
      <c r="IK35" s="111" t="n"/>
      <c r="IL35" s="111" t="n"/>
      <c r="IM35" s="111" t="n"/>
      <c r="IN35" s="111" t="n"/>
      <c r="IO35" s="111" t="n"/>
      <c r="IP35" s="111" t="n"/>
      <c r="IQ35" s="111" t="n"/>
      <c r="IR35" s="111" t="n"/>
      <c r="IS35" s="111" t="n"/>
      <c r="IT35" s="111" t="n"/>
      <c r="IU35" s="111" t="n"/>
      <c r="IV35" s="111" t="n"/>
      <c r="IW35" s="111" t="n"/>
      <c r="IX35" s="111" t="n"/>
      <c r="IY35" s="111" t="n"/>
      <c r="IZ35" s="111" t="n"/>
      <c r="JA35" s="111" t="n"/>
      <c r="JB35" s="111" t="n"/>
      <c r="JC35" s="111" t="n"/>
      <c r="JD35" s="111" t="n"/>
      <c r="JE35" s="111" t="n"/>
      <c r="JF35" s="111" t="n"/>
      <c r="JG35" s="111" t="n"/>
      <c r="JH35" s="111" t="n"/>
      <c r="JI35" s="111" t="n"/>
      <c r="JJ35" s="111" t="n"/>
      <c r="JK35" s="111" t="n"/>
      <c r="JL35" s="111" t="n"/>
      <c r="JM35" s="111" t="n"/>
      <c r="JN35" s="111" t="n"/>
      <c r="JO35" s="111" t="n"/>
      <c r="JP35" s="111" t="n"/>
      <c r="JQ35" s="111" t="n"/>
      <c r="JR35" s="111" t="n"/>
      <c r="JS35" s="111" t="n"/>
      <c r="JT35" s="111" t="n"/>
      <c r="JU35" s="111" t="n"/>
      <c r="JV35" s="111" t="n"/>
      <c r="JW35" s="111" t="n"/>
      <c r="JX35" s="111" t="n"/>
      <c r="JY35" s="111" t="n"/>
      <c r="JZ35" s="111" t="n"/>
      <c r="KA35" s="111" t="n"/>
      <c r="KB35" s="111" t="n"/>
      <c r="KC35" s="111" t="n"/>
      <c r="KD35" s="111" t="n"/>
      <c r="KE35" s="111" t="n"/>
      <c r="KF35" s="111" t="n"/>
      <c r="KG35" s="111" t="n"/>
      <c r="KH35" s="111" t="n"/>
      <c r="KI35" s="111" t="n"/>
      <c r="KJ35" s="111" t="n"/>
      <c r="KK35" s="111" t="n"/>
      <c r="KL35" s="111" t="n"/>
      <c r="KM35" s="111" t="n"/>
      <c r="KN35" s="111" t="n"/>
      <c r="KO35" s="111" t="n"/>
      <c r="KP35" s="111" t="n"/>
      <c r="KQ35" s="111" t="n"/>
      <c r="KR35" s="111" t="n"/>
      <c r="KS35" s="111" t="n"/>
      <c r="KT35" s="111" t="n"/>
      <c r="KU35" s="111" t="n"/>
      <c r="KV35" s="111" t="n"/>
      <c r="KW35" s="111" t="n"/>
      <c r="KX35" s="111" t="n"/>
      <c r="KY35" s="111" t="n"/>
      <c r="KZ35" s="111" t="n"/>
      <c r="LA35" s="111" t="n"/>
      <c r="LB35" s="111" t="n"/>
      <c r="LC35" s="111" t="n"/>
      <c r="LD35" s="111" t="n"/>
      <c r="LE35" s="111" t="n"/>
      <c r="LF35" s="111" t="n"/>
      <c r="LG35" s="111" t="n"/>
      <c r="LH35" s="111" t="n"/>
      <c r="LI35" s="111" t="n"/>
      <c r="LJ35" s="111" t="n"/>
      <c r="LK35" s="111" t="n"/>
      <c r="LL35" s="111" t="n"/>
      <c r="LM35" s="111" t="n"/>
      <c r="LN35" s="111" t="n"/>
      <c r="LO35" s="111" t="n"/>
      <c r="LP35" s="111" t="n"/>
      <c r="LQ35" s="111" t="n"/>
      <c r="LR35" s="111" t="n"/>
      <c r="LS35" s="111" t="n"/>
      <c r="LT35" s="111" t="n"/>
      <c r="LU35" s="111" t="n"/>
      <c r="LV35" s="111" t="n"/>
      <c r="LW35" s="111" t="n"/>
      <c r="LX35" s="111" t="n"/>
      <c r="LY35" s="111" t="n"/>
      <c r="LZ35" s="111" t="n"/>
      <c r="MA35" s="111" t="n"/>
      <c r="MB35" s="111" t="n"/>
      <c r="MC35" s="111" t="n"/>
      <c r="MD35" s="111" t="n"/>
      <c r="ME35" s="111" t="n"/>
      <c r="MF35" s="111" t="n"/>
      <c r="MG35" s="111" t="n"/>
      <c r="MH35" s="111" t="n"/>
      <c r="MI35" s="111" t="n"/>
      <c r="MJ35" s="111" t="n"/>
      <c r="MK35" s="111" t="n"/>
      <c r="ML35" s="111" t="n"/>
      <c r="MM35" s="111" t="n"/>
      <c r="MN35" s="111" t="n"/>
      <c r="MO35" s="111" t="n"/>
      <c r="MP35" s="111" t="n"/>
      <c r="MQ35" s="111" t="n"/>
      <c r="MR35" s="111" t="n"/>
      <c r="MS35" s="111" t="n"/>
      <c r="MT35" s="111" t="n"/>
      <c r="MU35" s="111" t="n"/>
      <c r="MV35" s="111" t="n"/>
      <c r="MW35" s="111" t="n"/>
      <c r="MX35" s="111" t="n"/>
      <c r="MY35" s="111" t="n"/>
      <c r="MZ35" s="111" t="n"/>
      <c r="NA35" s="111" t="n"/>
      <c r="NB35" s="111" t="n"/>
      <c r="NC35" s="111" t="n"/>
      <c r="ND35" s="111" t="n"/>
      <c r="NE35" s="111" t="n"/>
      <c r="NF35" s="111" t="n"/>
      <c r="NG35" s="111" t="n"/>
      <c r="NH35" s="111" t="n"/>
      <c r="NI35" s="111" t="n"/>
      <c r="NJ35" s="111" t="n"/>
      <c r="NK35" s="111" t="n"/>
      <c r="NL35" s="111" t="n"/>
      <c r="NM35" s="111" t="n"/>
      <c r="NN35" s="111" t="n"/>
      <c r="NO35" s="111" t="n"/>
      <c r="NP35" s="111" t="n"/>
      <c r="NQ35" s="111" t="n"/>
    </row>
    <row r="36" ht="12.75" customFormat="1" customHeight="1" s="17">
      <c r="A36" s="33">
        <f>IF(ISERROR(VALUE(SUBSTITUTE(OFFSET(A36,-1,0,1,1),".",""))),"0.1",IF(ISERROR(FIND("`",SUBSTITUTE(OFFSET(A36,-1,0,1,1),".","`",1))),OFFSET(A36,-1,0,1,1)&amp;".1",LEFT(OFFSET(A36,-1,0,1,1),FIND("`",SUBSTITUTE(OFFSET(A36,-1,0,1,1),".","`",1)))&amp;IF(ISERROR(FIND("`",SUBSTITUTE(OFFSET(A36,-1,0,1,1),".","`",2))),VALUE(RIGHT(OFFSET(A36,-1,0,1,1),LEN(OFFSET(A36,-1,0,1,1))-FIND("`",SUBSTITUTE(OFFSET(A36,-1,0,1,1),".","`",1))))+1,VALUE(MID(OFFSET(A36,-1,0,1,1),FIND("`",SUBSTITUTE(OFFSET(A36,-1,0,1,1),".","`",1))+1,(FIND("`",SUBSTITUTE(OFFSET(A36,-1,0,1,1),".","`",2))-FIND("`",SUBSTITUTE(OFFSET(A36,-1,0,1,1),".","`",1))-1)))+1)))</f>
        <v/>
      </c>
      <c r="B36" s="32" t="inlineStr">
        <is>
          <t>[Insert Rows above this one, then Hide or Delete this row]</t>
        </is>
      </c>
      <c r="C36" s="32" t="n"/>
      <c r="D36" s="37" t="n"/>
      <c r="E36" s="37" t="n"/>
      <c r="F36" s="37" t="n"/>
      <c r="G36" s="32" t="n"/>
      <c r="H36" s="32" t="n"/>
      <c r="I36" s="272" t="n"/>
      <c r="J36" s="272" t="n"/>
      <c r="K36" s="21" t="n"/>
      <c r="L36" s="22" t="n"/>
      <c r="M36" s="15" t="n"/>
      <c r="N36" s="15" t="n"/>
      <c r="O36" s="14" t="n"/>
      <c r="P36" s="14" t="n"/>
      <c r="R36" s="111" t="n"/>
      <c r="S36" s="111" t="n"/>
      <c r="T36" s="111" t="n"/>
      <c r="U36" s="111" t="n"/>
      <c r="V36" s="111" t="n"/>
      <c r="W36" s="111"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1" t="n"/>
      <c r="CF36" s="111"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1" t="n"/>
      <c r="DS36" s="111" t="n"/>
      <c r="DT36" s="111" t="n"/>
      <c r="DU36" s="111" t="n"/>
      <c r="DV36" s="111" t="n"/>
      <c r="DW36" s="111" t="n"/>
      <c r="DX36" s="111" t="n"/>
      <c r="DY36" s="111" t="n"/>
      <c r="DZ36" s="111" t="n"/>
      <c r="EA36" s="111" t="n"/>
      <c r="EB36" s="111" t="n"/>
      <c r="EC36" s="111" t="n"/>
      <c r="ED36" s="111" t="n"/>
      <c r="EE36" s="111" t="n"/>
      <c r="EF36" s="111" t="n"/>
      <c r="EG36" s="111" t="n"/>
      <c r="EH36" s="111" t="n"/>
      <c r="EI36" s="111" t="n"/>
      <c r="EJ36" s="111" t="n"/>
      <c r="EK36" s="111" t="n"/>
      <c r="EL36" s="111" t="n"/>
      <c r="EM36" s="111" t="n"/>
      <c r="EN36" s="111" t="n"/>
      <c r="EO36" s="111" t="n"/>
      <c r="EP36" s="111" t="n"/>
      <c r="EQ36" s="111" t="n"/>
      <c r="ER36" s="111" t="n"/>
      <c r="ES36" s="111" t="n"/>
      <c r="ET36" s="111" t="n"/>
      <c r="EU36" s="111" t="n"/>
      <c r="EV36" s="111" t="n"/>
      <c r="EW36" s="111" t="n"/>
      <c r="EX36" s="111" t="n"/>
      <c r="EY36" s="111" t="n"/>
      <c r="EZ36" s="111" t="n"/>
      <c r="FA36" s="111" t="n"/>
      <c r="FB36" s="111"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1" t="n"/>
      <c r="GH36" s="111" t="n"/>
      <c r="GI36" s="111" t="n"/>
      <c r="GJ36" s="111" t="n"/>
      <c r="GK36" s="111" t="n"/>
      <c r="GL36" s="111" t="n"/>
      <c r="GM36" s="111" t="n"/>
      <c r="GN36" s="111" t="n"/>
      <c r="GO36" s="111" t="n"/>
      <c r="GP36" s="111" t="n"/>
      <c r="GQ36" s="111" t="n"/>
      <c r="GR36" s="111" t="n"/>
      <c r="GS36" s="111" t="n"/>
      <c r="GT36" s="111" t="n"/>
      <c r="GU36" s="111" t="n"/>
      <c r="GV36" s="111" t="n"/>
      <c r="GW36" s="111" t="n"/>
      <c r="GX36" s="111" t="n"/>
      <c r="GY36" s="111" t="n"/>
      <c r="GZ36" s="111" t="n"/>
      <c r="HA36" s="111" t="n"/>
      <c r="HB36" s="111" t="n"/>
      <c r="HC36" s="111" t="n"/>
      <c r="HD36" s="111" t="n"/>
      <c r="HE36" s="111" t="n"/>
      <c r="HF36" s="111" t="n"/>
      <c r="HG36" s="111" t="n"/>
      <c r="HH36" s="111" t="n"/>
      <c r="HI36" s="111" t="n"/>
      <c r="HJ36" s="111" t="n"/>
      <c r="HK36" s="111" t="n"/>
      <c r="HL36" s="111" t="n"/>
      <c r="HM36" s="111" t="n"/>
      <c r="HN36" s="111" t="n"/>
      <c r="HO36" s="111" t="n"/>
      <c r="HP36" s="111" t="n"/>
      <c r="HQ36" s="111" t="n"/>
      <c r="HR36" s="111" t="n"/>
      <c r="HS36" s="111" t="n"/>
      <c r="HT36" s="111" t="n"/>
      <c r="HU36" s="111" t="n"/>
      <c r="HV36" s="111" t="n"/>
      <c r="HW36" s="111" t="n"/>
      <c r="HX36" s="111" t="n"/>
      <c r="HY36" s="111" t="n"/>
      <c r="HZ36" s="111" t="n"/>
      <c r="IA36" s="111" t="n"/>
      <c r="IB36" s="111" t="n"/>
      <c r="IC36" s="111" t="n"/>
      <c r="ID36" s="111" t="n"/>
      <c r="IE36" s="111" t="n"/>
      <c r="IF36" s="111" t="n"/>
      <c r="IG36" s="111" t="n"/>
      <c r="IH36" s="111" t="n"/>
      <c r="II36" s="111" t="n"/>
      <c r="IJ36" s="111" t="n"/>
      <c r="IK36" s="111" t="n"/>
      <c r="IL36" s="111" t="n"/>
      <c r="IM36" s="111" t="n"/>
      <c r="IN36" s="111" t="n"/>
      <c r="IO36" s="111" t="n"/>
      <c r="IP36" s="111" t="n"/>
      <c r="IQ36" s="111" t="n"/>
      <c r="IR36" s="111" t="n"/>
      <c r="IS36" s="111" t="n"/>
      <c r="IT36" s="111" t="n"/>
      <c r="IU36" s="111" t="n"/>
      <c r="IV36" s="111" t="n"/>
      <c r="IW36" s="111" t="n"/>
      <c r="IX36" s="111" t="n"/>
      <c r="IY36" s="111" t="n"/>
      <c r="IZ36" s="111" t="n"/>
      <c r="JA36" s="111" t="n"/>
      <c r="JB36" s="111" t="n"/>
      <c r="JC36" s="111" t="n"/>
      <c r="JD36" s="111" t="n"/>
      <c r="JE36" s="111" t="n"/>
      <c r="JF36" s="111" t="n"/>
      <c r="JG36" s="111" t="n"/>
      <c r="JH36" s="111" t="n"/>
      <c r="JI36" s="111" t="n"/>
      <c r="JJ36" s="111" t="n"/>
      <c r="JK36" s="111" t="n"/>
      <c r="JL36" s="111" t="n"/>
      <c r="JM36" s="111" t="n"/>
      <c r="JN36" s="111" t="n"/>
      <c r="JO36" s="111" t="n"/>
      <c r="JP36" s="111" t="n"/>
      <c r="JQ36" s="111" t="n"/>
      <c r="JR36" s="111" t="n"/>
      <c r="JS36" s="111" t="n"/>
      <c r="JT36" s="111" t="n"/>
      <c r="JU36" s="111" t="n"/>
      <c r="JV36" s="111" t="n"/>
      <c r="JW36" s="111" t="n"/>
      <c r="JX36" s="111" t="n"/>
      <c r="JY36" s="111" t="n"/>
      <c r="JZ36" s="111" t="n"/>
      <c r="KA36" s="111" t="n"/>
      <c r="KB36" s="111" t="n"/>
      <c r="KC36" s="111" t="n"/>
      <c r="KD36" s="111" t="n"/>
      <c r="KE36" s="111" t="n"/>
      <c r="KF36" s="111" t="n"/>
      <c r="KG36" s="111" t="n"/>
      <c r="KH36" s="111" t="n"/>
      <c r="KI36" s="111" t="n"/>
      <c r="KJ36" s="111" t="n"/>
      <c r="KK36" s="111" t="n"/>
      <c r="KL36" s="111" t="n"/>
      <c r="KM36" s="111" t="n"/>
      <c r="KN36" s="111" t="n"/>
      <c r="KO36" s="111" t="n"/>
      <c r="KP36" s="111" t="n"/>
      <c r="KQ36" s="111" t="n"/>
      <c r="KR36" s="111" t="n"/>
      <c r="KS36" s="111" t="n"/>
      <c r="KT36" s="111" t="n"/>
      <c r="KU36" s="111" t="n"/>
      <c r="KV36" s="111" t="n"/>
      <c r="KW36" s="111" t="n"/>
      <c r="KX36" s="111" t="n"/>
      <c r="KY36" s="111" t="n"/>
      <c r="KZ36" s="111" t="n"/>
      <c r="LA36" s="111" t="n"/>
      <c r="LB36" s="111" t="n"/>
      <c r="LC36" s="111" t="n"/>
      <c r="LD36" s="111" t="n"/>
      <c r="LE36" s="111" t="n"/>
      <c r="LF36" s="111" t="n"/>
      <c r="LG36" s="111" t="n"/>
      <c r="LH36" s="111" t="n"/>
      <c r="LI36" s="111" t="n"/>
      <c r="LJ36" s="111" t="n"/>
      <c r="LK36" s="111" t="n"/>
      <c r="LL36" s="111" t="n"/>
      <c r="LM36" s="111" t="n"/>
      <c r="LN36" s="111" t="n"/>
      <c r="LO36" s="111" t="n"/>
      <c r="LP36" s="111" t="n"/>
      <c r="LQ36" s="111" t="n"/>
      <c r="LR36" s="111" t="n"/>
      <c r="LS36" s="111" t="n"/>
      <c r="LT36" s="111" t="n"/>
      <c r="LU36" s="111" t="n"/>
      <c r="LV36" s="111" t="n"/>
      <c r="LW36" s="111" t="n"/>
      <c r="LX36" s="111" t="n"/>
      <c r="LY36" s="111" t="n"/>
      <c r="LZ36" s="111" t="n"/>
      <c r="MA36" s="111" t="n"/>
      <c r="MB36" s="111" t="n"/>
      <c r="MC36" s="111" t="n"/>
      <c r="MD36" s="111" t="n"/>
      <c r="ME36" s="111" t="n"/>
      <c r="MF36" s="111" t="n"/>
      <c r="MG36" s="111" t="n"/>
      <c r="MH36" s="111" t="n"/>
      <c r="MI36" s="111" t="n"/>
      <c r="MJ36" s="111" t="n"/>
      <c r="MK36" s="111" t="n"/>
      <c r="ML36" s="111" t="n"/>
      <c r="MM36" s="111" t="n"/>
      <c r="MN36" s="111" t="n"/>
      <c r="MO36" s="111" t="n"/>
      <c r="MP36" s="111" t="n"/>
      <c r="MQ36" s="111" t="n"/>
      <c r="MR36" s="111" t="n"/>
      <c r="MS36" s="111" t="n"/>
      <c r="MT36" s="111" t="n"/>
      <c r="MU36" s="111" t="n"/>
      <c r="MV36" s="111" t="n"/>
      <c r="MW36" s="111" t="n"/>
      <c r="MX36" s="111" t="n"/>
      <c r="MY36" s="111" t="n"/>
      <c r="MZ36" s="111" t="n"/>
      <c r="NA36" s="111" t="n"/>
      <c r="NB36" s="111" t="n"/>
      <c r="NC36" s="111" t="n"/>
      <c r="ND36" s="111" t="n"/>
      <c r="NE36" s="111" t="n"/>
      <c r="NF36" s="111" t="n"/>
      <c r="NG36" s="111" t="n"/>
      <c r="NH36" s="111" t="n"/>
      <c r="NI36" s="111" t="n"/>
      <c r="NJ36" s="111" t="n"/>
      <c r="NK36" s="111" t="n"/>
      <c r="NL36" s="111" t="n"/>
      <c r="NM36" s="111" t="n"/>
      <c r="NN36" s="111" t="n"/>
      <c r="NO36" s="111" t="n"/>
      <c r="NP36" s="111" t="n"/>
      <c r="NQ36" s="111" t="n"/>
    </row>
    <row r="37" customFormat="1" s="76">
      <c r="A37" s="70">
        <f>IF(ISERROR(VALUE(SUBSTITUTE(OFFSET(A37,-1,0,1,1),".",""))),"1",IF(ISERROR(FIND("`",SUBSTITUTE(OFFSET(A37,-1,0,1,1),".","`",1))),TEXT(VALUE(OFFSET(A37,-1,0,1,1))+1,"#"),TEXT(VALUE(LEFT(OFFSET(A37,-1,0,1,1),FIND("`",SUBSTITUTE(OFFSET(A37,-1,0,1,1),".","`",1))-1))+1,"#")))</f>
        <v/>
      </c>
      <c r="B37" s="71" t="inlineStr">
        <is>
          <t>[ Task Category ]</t>
        </is>
      </c>
      <c r="C37" s="72" t="inlineStr">
        <is>
          <t>[ name ]</t>
        </is>
      </c>
      <c r="D37" s="73" t="n"/>
      <c r="E37" s="73" t="n"/>
      <c r="F37" s="73" t="n"/>
      <c r="G37" s="273">
        <f>MIN(G38:G48)</f>
        <v/>
      </c>
      <c r="H37" s="276">
        <f>MAX(H38:H48)</f>
        <v/>
      </c>
      <c r="I37" s="272" t="n"/>
      <c r="J37" s="272" t="n"/>
      <c r="K37" s="74">
        <f>NETWORKDAYS(G37,H37,holidays)</f>
        <v/>
      </c>
      <c r="L37" s="83">
        <f>SUMPRODUCT(K38:K48,L38:L48)/SUM(K38:K48)</f>
        <v/>
      </c>
      <c r="M37" s="74">
        <f>IF(OR(G37=0,H37=0),0,H37-G37+1)</f>
        <v/>
      </c>
      <c r="N37" s="75">
        <f>MIN(M37,WORKDAY(G37,ROUNDDOWN(L37*K37,0),holidays)-G37)</f>
        <v/>
      </c>
      <c r="O37" s="74">
        <f>M37-N37</f>
        <v/>
      </c>
      <c r="P37" s="113" t="n"/>
      <c r="Q37" s="17"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GW37" s="111" t="n"/>
      <c r="GX37" s="111" t="n"/>
      <c r="GY37" s="111" t="n"/>
      <c r="GZ37" s="111" t="n"/>
      <c r="HA37" s="111" t="n"/>
      <c r="HB37" s="111" t="n"/>
      <c r="HC37" s="111" t="n"/>
      <c r="HD37" s="111" t="n"/>
      <c r="HE37" s="111" t="n"/>
      <c r="HF37" s="111" t="n"/>
      <c r="HG37" s="111" t="n"/>
      <c r="HH37" s="111" t="n"/>
      <c r="HI37" s="111" t="n"/>
      <c r="HJ37" s="111" t="n"/>
      <c r="HK37" s="111" t="n"/>
      <c r="HL37" s="111" t="n"/>
      <c r="HM37" s="111" t="n"/>
      <c r="HN37" s="111" t="n"/>
      <c r="HO37" s="111" t="n"/>
      <c r="HP37" s="111" t="n"/>
      <c r="HQ37" s="111" t="n"/>
      <c r="HR37" s="111" t="n"/>
      <c r="HS37" s="111" t="n"/>
      <c r="HT37" s="111" t="n"/>
      <c r="HU37" s="111" t="n"/>
      <c r="HV37" s="111" t="n"/>
      <c r="HW37" s="111" t="n"/>
      <c r="HX37" s="111" t="n"/>
      <c r="HY37" s="111" t="n"/>
      <c r="HZ37" s="111" t="n"/>
      <c r="IA37" s="111" t="n"/>
      <c r="IB37" s="111" t="n"/>
      <c r="IC37" s="111" t="n"/>
      <c r="ID37" s="111" t="n"/>
      <c r="IE37" s="111" t="n"/>
      <c r="IF37" s="111" t="n"/>
      <c r="IG37" s="111" t="n"/>
      <c r="IH37" s="111" t="n"/>
      <c r="II37" s="111" t="n"/>
      <c r="IJ37" s="111" t="n"/>
      <c r="IK37" s="111" t="n"/>
      <c r="IL37" s="111" t="n"/>
      <c r="IM37" s="111" t="n"/>
      <c r="IN37" s="111" t="n"/>
      <c r="IO37" s="111" t="n"/>
      <c r="IP37" s="111" t="n"/>
      <c r="IQ37" s="111" t="n"/>
      <c r="IR37" s="111" t="n"/>
      <c r="IS37" s="111" t="n"/>
      <c r="IT37" s="111" t="n"/>
      <c r="IU37" s="111" t="n"/>
      <c r="IV37" s="111" t="n"/>
      <c r="IW37" s="111" t="n"/>
      <c r="IX37" s="111" t="n"/>
      <c r="IY37" s="111" t="n"/>
      <c r="IZ37" s="111" t="n"/>
      <c r="JA37" s="111" t="n"/>
      <c r="JB37" s="111" t="n"/>
      <c r="JC37" s="111" t="n"/>
      <c r="JD37" s="111" t="n"/>
      <c r="JE37" s="111" t="n"/>
      <c r="JF37" s="111" t="n"/>
      <c r="JG37" s="111" t="n"/>
      <c r="JH37" s="111" t="n"/>
      <c r="JI37" s="111" t="n"/>
      <c r="JJ37" s="111" t="n"/>
      <c r="JK37" s="111" t="n"/>
      <c r="JL37" s="111" t="n"/>
      <c r="JM37" s="111" t="n"/>
      <c r="JN37" s="111" t="n"/>
      <c r="JO37" s="111" t="n"/>
      <c r="JP37" s="111" t="n"/>
      <c r="JQ37" s="111" t="n"/>
      <c r="JR37" s="111" t="n"/>
      <c r="JS37" s="111" t="n"/>
      <c r="JT37" s="111" t="n"/>
      <c r="JU37" s="111" t="n"/>
      <c r="JV37" s="111" t="n"/>
      <c r="JW37" s="111" t="n"/>
      <c r="JX37" s="111" t="n"/>
      <c r="JY37" s="111" t="n"/>
      <c r="JZ37" s="111" t="n"/>
      <c r="KA37" s="111" t="n"/>
      <c r="KB37" s="111" t="n"/>
      <c r="KC37" s="111" t="n"/>
      <c r="KD37" s="111" t="n"/>
      <c r="KE37" s="111" t="n"/>
      <c r="KF37" s="111" t="n"/>
      <c r="KG37" s="111" t="n"/>
      <c r="KH37" s="111" t="n"/>
      <c r="KI37" s="111" t="n"/>
      <c r="KJ37" s="111" t="n"/>
      <c r="KK37" s="111" t="n"/>
      <c r="KL37" s="111" t="n"/>
      <c r="KM37" s="111" t="n"/>
      <c r="KN37" s="111" t="n"/>
      <c r="KO37" s="111" t="n"/>
      <c r="KP37" s="111" t="n"/>
      <c r="KQ37" s="111" t="n"/>
      <c r="KR37" s="111" t="n"/>
      <c r="KS37" s="111" t="n"/>
      <c r="KT37" s="111" t="n"/>
      <c r="KU37" s="111" t="n"/>
      <c r="KV37" s="111" t="n"/>
      <c r="KW37" s="111" t="n"/>
      <c r="KX37" s="111" t="n"/>
      <c r="KY37" s="111" t="n"/>
      <c r="KZ37" s="111" t="n"/>
      <c r="LA37" s="111" t="n"/>
      <c r="LB37" s="111" t="n"/>
      <c r="LC37" s="111" t="n"/>
      <c r="LD37" s="111" t="n"/>
      <c r="LE37" s="111" t="n"/>
      <c r="LF37" s="111" t="n"/>
      <c r="LG37" s="111" t="n"/>
      <c r="LH37" s="111" t="n"/>
      <c r="LI37" s="111" t="n"/>
      <c r="LJ37" s="111" t="n"/>
      <c r="LK37" s="111" t="n"/>
      <c r="LL37" s="111" t="n"/>
      <c r="LM37" s="111" t="n"/>
      <c r="LN37" s="111" t="n"/>
      <c r="LO37" s="111" t="n"/>
      <c r="LP37" s="111" t="n"/>
      <c r="LQ37" s="111" t="n"/>
      <c r="LR37" s="111" t="n"/>
      <c r="LS37" s="111" t="n"/>
      <c r="LT37" s="111" t="n"/>
      <c r="LU37" s="111" t="n"/>
      <c r="LV37" s="111" t="n"/>
      <c r="LW37" s="111" t="n"/>
      <c r="LX37" s="111" t="n"/>
      <c r="LY37" s="111" t="n"/>
      <c r="LZ37" s="111" t="n"/>
      <c r="MA37" s="111" t="n"/>
      <c r="MB37" s="111" t="n"/>
      <c r="MC37" s="111" t="n"/>
      <c r="MD37" s="111" t="n"/>
      <c r="ME37" s="111" t="n"/>
      <c r="MF37" s="111" t="n"/>
      <c r="MG37" s="111" t="n"/>
      <c r="MH37" s="111" t="n"/>
      <c r="MI37" s="111" t="n"/>
      <c r="MJ37" s="111" t="n"/>
      <c r="MK37" s="111" t="n"/>
      <c r="ML37" s="111" t="n"/>
      <c r="MM37" s="111" t="n"/>
      <c r="MN37" s="111" t="n"/>
      <c r="MO37" s="111" t="n"/>
      <c r="MP37" s="111" t="n"/>
      <c r="MQ37" s="111" t="n"/>
      <c r="MR37" s="111" t="n"/>
      <c r="MS37" s="111" t="n"/>
      <c r="MT37" s="111" t="n"/>
      <c r="MU37" s="111" t="n"/>
      <c r="MV37" s="111" t="n"/>
      <c r="MW37" s="111" t="n"/>
      <c r="MX37" s="111" t="n"/>
      <c r="MY37" s="111" t="n"/>
      <c r="MZ37" s="111" t="n"/>
      <c r="NA37" s="111" t="n"/>
      <c r="NB37" s="111" t="n"/>
      <c r="NC37" s="111" t="n"/>
      <c r="ND37" s="111" t="n"/>
      <c r="NE37" s="111" t="n"/>
      <c r="NF37" s="111" t="n"/>
      <c r="NG37" s="111" t="n"/>
      <c r="NH37" s="111" t="n"/>
      <c r="NI37" s="111" t="n"/>
      <c r="NJ37" s="111" t="n"/>
      <c r="NK37" s="111" t="n"/>
      <c r="NL37" s="111" t="n"/>
      <c r="NM37" s="111" t="n"/>
      <c r="NN37" s="111" t="n"/>
      <c r="NO37" s="111" t="n"/>
      <c r="NP37" s="111" t="n"/>
      <c r="NQ37" s="111" t="n"/>
    </row>
    <row r="38" customFormat="1" s="17">
      <c r="A38" s="33">
        <f>IF(ISERROR(VALUE(SUBSTITUTE(OFFSET(A38,-1,0,1,1),".",""))),"0.1",IF(ISERROR(FIND("`",SUBSTITUTE(OFFSET(A38,-1,0,1,1),".","`",1))),OFFSET(A38,-1,0,1,1)&amp;".1",LEFT(OFFSET(A38,-1,0,1,1),FIND("`",SUBSTITUTE(OFFSET(A38,-1,0,1,1),".","`",1)))&amp;IF(ISERROR(FIND("`",SUBSTITUTE(OFFSET(A38,-1,0,1,1),".","`",2))),VALUE(RIGHT(OFFSET(A38,-1,0,1,1),LEN(OFFSET(A38,-1,0,1,1))-FIND("`",SUBSTITUTE(OFFSET(A38,-1,0,1,1),".","`",1))))+1,VALUE(MID(OFFSET(A38,-1,0,1,1),FIND("`",SUBSTITUTE(OFFSET(A38,-1,0,1,1),".","`",1))+1,(FIND("`",SUBSTITUTE(OFFSET(A38,-1,0,1,1),".","`",2))-FIND("`",SUBSTITUTE(OFFSET(A38,-1,0,1,1),".","`",1))-1)))+1)))</f>
        <v/>
      </c>
      <c r="B38" s="10" t="inlineStr">
        <is>
          <t>[ Level 2 Task ]</t>
        </is>
      </c>
      <c r="C38" s="11" t="n"/>
      <c r="D38" s="37" t="n"/>
      <c r="E38" s="37" t="n"/>
      <c r="F38" s="37" t="n"/>
      <c r="G38" s="274">
        <f>$G$6</f>
        <v/>
      </c>
      <c r="H38" s="275">
        <f>IF(K38=0,G38,WORKDAY(IF(WEEKDAY(G38,1)=7,G38+2,IF(WEEKDAY(G38,1)=1,G38+1,G38)),K38-1,holidays))</f>
        <v/>
      </c>
      <c r="I38" s="272" t="n"/>
      <c r="J38" s="272" t="n"/>
      <c r="K38" s="79" t="n">
        <v>1</v>
      </c>
      <c r="L38" s="80" t="n"/>
      <c r="M38" s="14">
        <f>IF(OR(G38=0,H38=0),0,H38-G38+1)</f>
        <v/>
      </c>
      <c r="N38" s="15">
        <f>MIN(M38,WORKDAY(G38,ROUNDDOWN(L38*K38,0),holidays)-G38)</f>
        <v/>
      </c>
      <c r="O38" s="14">
        <f>M38-N38</f>
        <v/>
      </c>
      <c r="P38" s="113" t="n"/>
      <c r="Q38" s="17"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1" t="n"/>
      <c r="CF38" s="111" t="n"/>
      <c r="CG38" s="111" t="n"/>
      <c r="CH38" s="111" t="n"/>
      <c r="CI38" s="111" t="n"/>
      <c r="CJ38" s="111" t="n"/>
      <c r="CK38" s="111" t="n"/>
      <c r="CL38" s="111" t="n"/>
      <c r="CM38" s="111" t="n"/>
      <c r="CN38" s="111" t="n"/>
      <c r="CO38" s="111" t="n"/>
      <c r="CP38" s="111" t="n"/>
      <c r="CQ38" s="111" t="n"/>
      <c r="CR38" s="111" t="n"/>
      <c r="CS38" s="111" t="n"/>
      <c r="CT38" s="111" t="n"/>
      <c r="CU38" s="111" t="n"/>
      <c r="CV38" s="111" t="n"/>
      <c r="CW38" s="111" t="n"/>
      <c r="CX38" s="111" t="n"/>
      <c r="CY38" s="111" t="n"/>
      <c r="CZ38" s="111" t="n"/>
      <c r="DA38" s="111" t="n"/>
      <c r="DB38" s="111" t="n"/>
      <c r="DC38" s="111" t="n"/>
      <c r="DD38" s="111" t="n"/>
      <c r="DE38" s="111" t="n"/>
      <c r="DF38" s="111" t="n"/>
      <c r="DG38" s="111" t="n"/>
      <c r="DH38" s="111" t="n"/>
      <c r="DI38" s="111" t="n"/>
      <c r="DJ38" s="111" t="n"/>
      <c r="DK38" s="111" t="n"/>
      <c r="DL38" s="111" t="n"/>
      <c r="DM38" s="111" t="n"/>
      <c r="DN38" s="111" t="n"/>
      <c r="DO38" s="111" t="n"/>
      <c r="DP38" s="111" t="n"/>
      <c r="DQ38" s="111" t="n"/>
      <c r="DR38" s="111" t="n"/>
      <c r="DS38" s="111" t="n"/>
      <c r="DT38" s="111" t="n"/>
      <c r="DU38" s="111" t="n"/>
      <c r="DV38" s="111" t="n"/>
      <c r="DW38" s="111" t="n"/>
      <c r="DX38" s="111" t="n"/>
      <c r="DY38" s="111" t="n"/>
      <c r="DZ38" s="111" t="n"/>
      <c r="EA38" s="111" t="n"/>
      <c r="EB38" s="111" t="n"/>
      <c r="EC38" s="111" t="n"/>
      <c r="ED38" s="111" t="n"/>
      <c r="EE38" s="111" t="n"/>
      <c r="EF38" s="111" t="n"/>
      <c r="EG38" s="111" t="n"/>
      <c r="EH38" s="111" t="n"/>
      <c r="EI38" s="111" t="n"/>
      <c r="EJ38" s="111" t="n"/>
      <c r="EK38" s="111" t="n"/>
      <c r="EL38" s="111" t="n"/>
      <c r="EM38" s="111" t="n"/>
      <c r="EN38" s="111" t="n"/>
      <c r="EO38" s="111" t="n"/>
      <c r="EP38" s="111" t="n"/>
      <c r="EQ38" s="111" t="n"/>
      <c r="ER38" s="111" t="n"/>
      <c r="ES38" s="111" t="n"/>
      <c r="ET38" s="111" t="n"/>
      <c r="EU38" s="111" t="n"/>
      <c r="EV38" s="111" t="n"/>
      <c r="EW38" s="111" t="n"/>
      <c r="EX38" s="111" t="n"/>
      <c r="EY38" s="111" t="n"/>
      <c r="EZ38" s="111" t="n"/>
      <c r="FA38" s="111" t="n"/>
      <c r="FB38" s="111" t="n"/>
      <c r="FC38" s="111" t="n"/>
      <c r="FD38" s="111" t="n"/>
      <c r="FE38" s="111" t="n"/>
      <c r="FF38" s="111" t="n"/>
      <c r="FG38" s="111" t="n"/>
      <c r="FH38" s="111" t="n"/>
      <c r="FI38" s="111" t="n"/>
      <c r="FJ38" s="111" t="n"/>
      <c r="FK38" s="111" t="n"/>
      <c r="FL38" s="111" t="n"/>
      <c r="FM38" s="111" t="n"/>
      <c r="FN38" s="111" t="n"/>
      <c r="FO38" s="111" t="n"/>
      <c r="FP38" s="111" t="n"/>
      <c r="FQ38" s="111" t="n"/>
      <c r="FR38" s="111" t="n"/>
      <c r="FS38" s="111" t="n"/>
      <c r="FT38" s="111" t="n"/>
      <c r="FU38" s="111" t="n"/>
      <c r="FV38" s="111" t="n"/>
      <c r="FW38" s="111" t="n"/>
      <c r="FX38" s="111" t="n"/>
      <c r="FY38" s="111" t="n"/>
      <c r="FZ38" s="111" t="n"/>
      <c r="GA38" s="111" t="n"/>
      <c r="GB38" s="111" t="n"/>
      <c r="GC38" s="111" t="n"/>
      <c r="GD38" s="111" t="n"/>
      <c r="GE38" s="111" t="n"/>
      <c r="GF38" s="111" t="n"/>
      <c r="GG38" s="111" t="n"/>
      <c r="GH38" s="111" t="n"/>
      <c r="GI38" s="111" t="n"/>
      <c r="GJ38" s="111" t="n"/>
      <c r="GK38" s="111" t="n"/>
      <c r="GL38" s="111" t="n"/>
      <c r="GM38" s="111" t="n"/>
      <c r="GN38" s="111" t="n"/>
      <c r="GO38" s="111" t="n"/>
      <c r="GP38" s="111" t="n"/>
      <c r="GQ38" s="111" t="n"/>
      <c r="GR38" s="111" t="n"/>
      <c r="GS38" s="111" t="n"/>
      <c r="GT38" s="111" t="n"/>
      <c r="GU38" s="111" t="n"/>
      <c r="GV38" s="111" t="n"/>
      <c r="GW38" s="111" t="n"/>
      <c r="GX38" s="111" t="n"/>
      <c r="GY38" s="111" t="n"/>
      <c r="GZ38" s="111" t="n"/>
      <c r="HA38" s="111" t="n"/>
      <c r="HB38" s="111" t="n"/>
      <c r="HC38" s="111" t="n"/>
      <c r="HD38" s="111" t="n"/>
      <c r="HE38" s="111" t="n"/>
      <c r="HF38" s="111" t="n"/>
      <c r="HG38" s="111" t="n"/>
      <c r="HH38" s="111" t="n"/>
      <c r="HI38" s="111" t="n"/>
      <c r="HJ38" s="111" t="n"/>
      <c r="HK38" s="111" t="n"/>
      <c r="HL38" s="111" t="n"/>
      <c r="HM38" s="111" t="n"/>
      <c r="HN38" s="111" t="n"/>
      <c r="HO38" s="111" t="n"/>
      <c r="HP38" s="111" t="n"/>
      <c r="HQ38" s="111" t="n"/>
      <c r="HR38" s="111" t="n"/>
      <c r="HS38" s="111" t="n"/>
      <c r="HT38" s="111" t="n"/>
      <c r="HU38" s="111" t="n"/>
      <c r="HV38" s="111" t="n"/>
      <c r="HW38" s="111" t="n"/>
      <c r="HX38" s="111" t="n"/>
      <c r="HY38" s="111" t="n"/>
      <c r="HZ38" s="111" t="n"/>
      <c r="IA38" s="111" t="n"/>
      <c r="IB38" s="111" t="n"/>
      <c r="IC38" s="111" t="n"/>
      <c r="ID38" s="111" t="n"/>
      <c r="IE38" s="111" t="n"/>
      <c r="IF38" s="111" t="n"/>
      <c r="IG38" s="111" t="n"/>
      <c r="IH38" s="111" t="n"/>
      <c r="II38" s="111" t="n"/>
      <c r="IJ38" s="111" t="n"/>
      <c r="IK38" s="111" t="n"/>
      <c r="IL38" s="111" t="n"/>
      <c r="IM38" s="111" t="n"/>
      <c r="IN38" s="111" t="n"/>
      <c r="IO38" s="111" t="n"/>
      <c r="IP38" s="111" t="n"/>
      <c r="IQ38" s="111" t="n"/>
      <c r="IR38" s="111" t="n"/>
      <c r="IS38" s="111" t="n"/>
      <c r="IT38" s="111" t="n"/>
      <c r="IU38" s="111" t="n"/>
      <c r="IV38" s="111" t="n"/>
      <c r="IW38" s="111" t="n"/>
      <c r="IX38" s="111" t="n"/>
      <c r="IY38" s="111" t="n"/>
      <c r="IZ38" s="111" t="n"/>
      <c r="JA38" s="111" t="n"/>
      <c r="JB38" s="111" t="n"/>
      <c r="JC38" s="111" t="n"/>
      <c r="JD38" s="111" t="n"/>
      <c r="JE38" s="111" t="n"/>
      <c r="JF38" s="111" t="n"/>
      <c r="JG38" s="111" t="n"/>
      <c r="JH38" s="111" t="n"/>
      <c r="JI38" s="111" t="n"/>
      <c r="JJ38" s="111" t="n"/>
      <c r="JK38" s="111" t="n"/>
      <c r="JL38" s="111" t="n"/>
      <c r="JM38" s="111" t="n"/>
      <c r="JN38" s="111" t="n"/>
      <c r="JO38" s="111" t="n"/>
      <c r="JP38" s="111" t="n"/>
      <c r="JQ38" s="111" t="n"/>
      <c r="JR38" s="111" t="n"/>
      <c r="JS38" s="111" t="n"/>
      <c r="JT38" s="111" t="n"/>
      <c r="JU38" s="111" t="n"/>
      <c r="JV38" s="111" t="n"/>
      <c r="JW38" s="111" t="n"/>
      <c r="JX38" s="111" t="n"/>
      <c r="JY38" s="111" t="n"/>
      <c r="JZ38" s="111" t="n"/>
      <c r="KA38" s="111" t="n"/>
      <c r="KB38" s="111" t="n"/>
      <c r="KC38" s="111" t="n"/>
      <c r="KD38" s="111" t="n"/>
      <c r="KE38" s="111" t="n"/>
      <c r="KF38" s="111" t="n"/>
      <c r="KG38" s="111" t="n"/>
      <c r="KH38" s="111" t="n"/>
      <c r="KI38" s="111" t="n"/>
      <c r="KJ38" s="111" t="n"/>
      <c r="KK38" s="111" t="n"/>
      <c r="KL38" s="111" t="n"/>
      <c r="KM38" s="111" t="n"/>
      <c r="KN38" s="111" t="n"/>
      <c r="KO38" s="111" t="n"/>
      <c r="KP38" s="111" t="n"/>
      <c r="KQ38" s="111" t="n"/>
      <c r="KR38" s="111" t="n"/>
      <c r="KS38" s="111" t="n"/>
      <c r="KT38" s="111" t="n"/>
      <c r="KU38" s="111" t="n"/>
      <c r="KV38" s="111" t="n"/>
      <c r="KW38" s="111" t="n"/>
      <c r="KX38" s="111" t="n"/>
      <c r="KY38" s="111" t="n"/>
      <c r="KZ38" s="111" t="n"/>
      <c r="LA38" s="111" t="n"/>
      <c r="LB38" s="111" t="n"/>
      <c r="LC38" s="111" t="n"/>
      <c r="LD38" s="111" t="n"/>
      <c r="LE38" s="111" t="n"/>
      <c r="LF38" s="111" t="n"/>
      <c r="LG38" s="111" t="n"/>
      <c r="LH38" s="111" t="n"/>
      <c r="LI38" s="111" t="n"/>
      <c r="LJ38" s="111" t="n"/>
      <c r="LK38" s="111" t="n"/>
      <c r="LL38" s="111" t="n"/>
      <c r="LM38" s="111" t="n"/>
      <c r="LN38" s="111" t="n"/>
      <c r="LO38" s="111" t="n"/>
      <c r="LP38" s="111" t="n"/>
      <c r="LQ38" s="111" t="n"/>
      <c r="LR38" s="111" t="n"/>
      <c r="LS38" s="111" t="n"/>
      <c r="LT38" s="111" t="n"/>
      <c r="LU38" s="111" t="n"/>
      <c r="LV38" s="111" t="n"/>
      <c r="LW38" s="111" t="n"/>
      <c r="LX38" s="111" t="n"/>
      <c r="LY38" s="111" t="n"/>
      <c r="LZ38" s="111" t="n"/>
      <c r="MA38" s="111" t="n"/>
      <c r="MB38" s="111" t="n"/>
      <c r="MC38" s="111" t="n"/>
      <c r="MD38" s="111" t="n"/>
      <c r="ME38" s="111" t="n"/>
      <c r="MF38" s="111" t="n"/>
      <c r="MG38" s="111" t="n"/>
      <c r="MH38" s="111" t="n"/>
      <c r="MI38" s="111" t="n"/>
      <c r="MJ38" s="111" t="n"/>
      <c r="MK38" s="111" t="n"/>
      <c r="ML38" s="111" t="n"/>
      <c r="MM38" s="111" t="n"/>
      <c r="MN38" s="111" t="n"/>
      <c r="MO38" s="111" t="n"/>
      <c r="MP38" s="111" t="n"/>
      <c r="MQ38" s="111" t="n"/>
      <c r="MR38" s="111" t="n"/>
      <c r="MS38" s="111" t="n"/>
      <c r="MT38" s="111" t="n"/>
      <c r="MU38" s="111" t="n"/>
      <c r="MV38" s="111" t="n"/>
      <c r="MW38" s="111" t="n"/>
      <c r="MX38" s="111" t="n"/>
      <c r="MY38" s="111" t="n"/>
      <c r="MZ38" s="111" t="n"/>
      <c r="NA38" s="111" t="n"/>
      <c r="NB38" s="111" t="n"/>
      <c r="NC38" s="111" t="n"/>
      <c r="ND38" s="111" t="n"/>
      <c r="NE38" s="111" t="n"/>
      <c r="NF38" s="111" t="n"/>
      <c r="NG38" s="111" t="n"/>
      <c r="NH38" s="111" t="n"/>
      <c r="NI38" s="111" t="n"/>
      <c r="NJ38" s="111" t="n"/>
      <c r="NK38" s="111" t="n"/>
      <c r="NL38" s="111" t="n"/>
      <c r="NM38" s="111" t="n"/>
      <c r="NN38" s="111" t="n"/>
      <c r="NO38" s="111" t="n"/>
      <c r="NP38" s="111" t="n"/>
      <c r="NQ38" s="111" t="n"/>
    </row>
    <row r="39" customFormat="1" s="17">
      <c r="A39" s="33">
        <f>IF(ISERROR(VALUE(SUBSTITUTE(OFFSET(A39,-1,0,1,1),".",""))),"0.1",IF(ISERROR(FIND("`",SUBSTITUTE(OFFSET(A39,-1,0,1,1),".","`",1))),OFFSET(A39,-1,0,1,1)&amp;".1",LEFT(OFFSET(A39,-1,0,1,1),FIND("`",SUBSTITUTE(OFFSET(A39,-1,0,1,1),".","`",1)))&amp;IF(ISERROR(FIND("`",SUBSTITUTE(OFFSET(A39,-1,0,1,1),".","`",2))),VALUE(RIGHT(OFFSET(A39,-1,0,1,1),LEN(OFFSET(A39,-1,0,1,1))-FIND("`",SUBSTITUTE(OFFSET(A39,-1,0,1,1),".","`",1))))+1,VALUE(MID(OFFSET(A39,-1,0,1,1),FIND("`",SUBSTITUTE(OFFSET(A39,-1,0,1,1),".","`",1))+1,(FIND("`",SUBSTITUTE(OFFSET(A39,-1,0,1,1),".","`",2))-FIND("`",SUBSTITUTE(OFFSET(A39,-1,0,1,1),".","`",1))-1)))+1)))</f>
        <v/>
      </c>
      <c r="B39" s="10" t="inlineStr">
        <is>
          <t>[ Level 2 Task ]</t>
        </is>
      </c>
      <c r="C39" s="11" t="n"/>
      <c r="D39" s="37" t="n"/>
      <c r="E39" s="37" t="n"/>
      <c r="F39" s="37" t="n"/>
      <c r="G39" s="274">
        <f>$G$6</f>
        <v/>
      </c>
      <c r="H39" s="275">
        <f>IF(K39=0,G39,WORKDAY(IF(WEEKDAY(G39,1)=7,G39+2,IF(WEEKDAY(G39,1)=1,G39+1,G39)),K39-1,holidays))</f>
        <v/>
      </c>
      <c r="I39" s="272" t="n"/>
      <c r="J39" s="272" t="n"/>
      <c r="K39" s="79" t="n">
        <v>1</v>
      </c>
      <c r="L39" s="80" t="n"/>
      <c r="M39" s="14">
        <f>IF(OR(G39=0,H39=0),0,H39-G39+1)</f>
        <v/>
      </c>
      <c r="N39" s="15">
        <f>MIN(M39,WORKDAY(G39,ROUNDDOWN(L39*K39,0),holidays)-G39)</f>
        <v/>
      </c>
      <c r="O39" s="14">
        <f>M39-N39</f>
        <v/>
      </c>
      <c r="P39" s="113" t="n"/>
      <c r="Q39" s="17" t="n"/>
      <c r="R39" s="111" t="n"/>
      <c r="S39" s="111" t="n"/>
      <c r="T39" s="111" t="n"/>
      <c r="U39" s="111" t="n"/>
      <c r="V39" s="111" t="n"/>
      <c r="W39" s="111" t="n"/>
      <c r="X39" s="111" t="n"/>
      <c r="Y39" s="111" t="n"/>
      <c r="Z39" s="111" t="n"/>
      <c r="AA39" s="111" t="n"/>
      <c r="AB39" s="111" t="n"/>
      <c r="AC39" s="111" t="n"/>
      <c r="AD39" s="111" t="n"/>
      <c r="AE39" s="111" t="n"/>
      <c r="AF39" s="111" t="n"/>
      <c r="AG39" s="111" t="n"/>
      <c r="AH39" s="111" t="n"/>
      <c r="AI39" s="111" t="n"/>
      <c r="AJ39" s="111" t="n"/>
      <c r="AK39" s="111" t="n"/>
      <c r="AL39" s="111" t="n"/>
      <c r="AM39" s="111" t="n"/>
      <c r="AN39" s="111" t="n"/>
      <c r="AO39" s="111" t="n"/>
      <c r="AP39" s="111" t="n"/>
      <c r="AQ39" s="111" t="n"/>
      <c r="AR39" s="111" t="n"/>
      <c r="AS39" s="111" t="n"/>
      <c r="AT39" s="111" t="n"/>
      <c r="AU39" s="111" t="n"/>
      <c r="AV39" s="111" t="n"/>
      <c r="AW39" s="111" t="n"/>
      <c r="AX39" s="111" t="n"/>
      <c r="AY39" s="111" t="n"/>
      <c r="AZ39" s="111"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1" t="n"/>
      <c r="CF39" s="111" t="n"/>
      <c r="CG39" s="111" t="n"/>
      <c r="CH39" s="111" t="n"/>
      <c r="CI39" s="111" t="n"/>
      <c r="CJ39" s="111" t="n"/>
      <c r="CK39" s="111" t="n"/>
      <c r="CL39" s="111" t="n"/>
      <c r="CM39" s="111" t="n"/>
      <c r="CN39" s="111" t="n"/>
      <c r="CO39" s="111" t="n"/>
      <c r="CP39" s="111" t="n"/>
      <c r="CQ39" s="111" t="n"/>
      <c r="CR39" s="111" t="n"/>
      <c r="CS39" s="111" t="n"/>
      <c r="CT39" s="111" t="n"/>
      <c r="CU39" s="111" t="n"/>
      <c r="CV39" s="111" t="n"/>
      <c r="CW39" s="111" t="n"/>
      <c r="CX39" s="111" t="n"/>
      <c r="CY39" s="111" t="n"/>
      <c r="CZ39" s="111" t="n"/>
      <c r="DA39" s="111" t="n"/>
      <c r="DB39" s="111" t="n"/>
      <c r="DC39" s="111" t="n"/>
      <c r="DD39" s="111" t="n"/>
      <c r="DE39" s="111" t="n"/>
      <c r="DF39" s="111" t="n"/>
      <c r="DG39" s="111" t="n"/>
      <c r="DH39" s="111" t="n"/>
      <c r="DI39" s="111" t="n"/>
      <c r="DJ39" s="111" t="n"/>
      <c r="DK39" s="111" t="n"/>
      <c r="DL39" s="111" t="n"/>
      <c r="DM39" s="111" t="n"/>
      <c r="DN39" s="111" t="n"/>
      <c r="DO39" s="111" t="n"/>
      <c r="DP39" s="111" t="n"/>
      <c r="DQ39" s="111" t="n"/>
      <c r="DR39" s="111" t="n"/>
      <c r="DS39" s="111" t="n"/>
      <c r="DT39" s="111" t="n"/>
      <c r="DU39" s="111" t="n"/>
      <c r="DV39" s="111" t="n"/>
      <c r="DW39" s="111" t="n"/>
      <c r="DX39" s="111" t="n"/>
      <c r="DY39" s="111" t="n"/>
      <c r="DZ39" s="111" t="n"/>
      <c r="EA39" s="111" t="n"/>
      <c r="EB39" s="111" t="n"/>
      <c r="EC39" s="111" t="n"/>
      <c r="ED39" s="111" t="n"/>
      <c r="EE39" s="111" t="n"/>
      <c r="EF39" s="111" t="n"/>
      <c r="EG39" s="111" t="n"/>
      <c r="EH39" s="111" t="n"/>
      <c r="EI39" s="111" t="n"/>
      <c r="EJ39" s="111" t="n"/>
      <c r="EK39" s="111" t="n"/>
      <c r="EL39" s="111" t="n"/>
      <c r="EM39" s="111" t="n"/>
      <c r="EN39" s="111" t="n"/>
      <c r="EO39" s="111" t="n"/>
      <c r="EP39" s="111" t="n"/>
      <c r="EQ39" s="111" t="n"/>
      <c r="ER39" s="111" t="n"/>
      <c r="ES39" s="111" t="n"/>
      <c r="ET39" s="111" t="n"/>
      <c r="EU39" s="111" t="n"/>
      <c r="EV39" s="111" t="n"/>
      <c r="EW39" s="111" t="n"/>
      <c r="EX39" s="111" t="n"/>
      <c r="EY39" s="111" t="n"/>
      <c r="EZ39" s="111" t="n"/>
      <c r="FA39" s="111" t="n"/>
      <c r="FB39" s="111" t="n"/>
      <c r="FC39" s="111" t="n"/>
      <c r="FD39" s="111" t="n"/>
      <c r="FE39" s="111" t="n"/>
      <c r="FF39" s="111" t="n"/>
      <c r="FG39" s="111" t="n"/>
      <c r="FH39" s="111" t="n"/>
      <c r="FI39" s="111" t="n"/>
      <c r="FJ39" s="111" t="n"/>
      <c r="FK39" s="111" t="n"/>
      <c r="FL39" s="111" t="n"/>
      <c r="FM39" s="111" t="n"/>
      <c r="FN39" s="111" t="n"/>
      <c r="FO39" s="111" t="n"/>
      <c r="FP39" s="111" t="n"/>
      <c r="FQ39" s="111" t="n"/>
      <c r="FR39" s="111" t="n"/>
      <c r="FS39" s="111" t="n"/>
      <c r="FT39" s="111" t="n"/>
      <c r="FU39" s="111" t="n"/>
      <c r="FV39" s="111" t="n"/>
      <c r="FW39" s="111" t="n"/>
      <c r="FX39" s="111" t="n"/>
      <c r="FY39" s="111" t="n"/>
      <c r="FZ39" s="111" t="n"/>
      <c r="GA39" s="111" t="n"/>
      <c r="GB39" s="111" t="n"/>
      <c r="GC39" s="111" t="n"/>
      <c r="GD39" s="111" t="n"/>
      <c r="GE39" s="111" t="n"/>
      <c r="GF39" s="111" t="n"/>
      <c r="GG39" s="111" t="n"/>
      <c r="GH39" s="111" t="n"/>
      <c r="GI39" s="111" t="n"/>
      <c r="GJ39" s="111" t="n"/>
      <c r="GK39" s="111" t="n"/>
      <c r="GL39" s="111" t="n"/>
      <c r="GM39" s="111" t="n"/>
      <c r="GN39" s="111" t="n"/>
      <c r="GO39" s="111" t="n"/>
      <c r="GP39" s="111" t="n"/>
      <c r="GQ39" s="111" t="n"/>
      <c r="GR39" s="111" t="n"/>
      <c r="GS39" s="111" t="n"/>
      <c r="GT39" s="111" t="n"/>
      <c r="GU39" s="111" t="n"/>
      <c r="GV39" s="111" t="n"/>
      <c r="GW39" s="111" t="n"/>
      <c r="GX39" s="111" t="n"/>
      <c r="GY39" s="111" t="n"/>
      <c r="GZ39" s="111" t="n"/>
      <c r="HA39" s="111" t="n"/>
      <c r="HB39" s="111" t="n"/>
      <c r="HC39" s="111" t="n"/>
      <c r="HD39" s="111" t="n"/>
      <c r="HE39" s="111" t="n"/>
      <c r="HF39" s="111" t="n"/>
      <c r="HG39" s="111" t="n"/>
      <c r="HH39" s="111" t="n"/>
      <c r="HI39" s="111" t="n"/>
      <c r="HJ39" s="111" t="n"/>
      <c r="HK39" s="111" t="n"/>
      <c r="HL39" s="111" t="n"/>
      <c r="HM39" s="111" t="n"/>
      <c r="HN39" s="111" t="n"/>
      <c r="HO39" s="111" t="n"/>
      <c r="HP39" s="111" t="n"/>
      <c r="HQ39" s="111" t="n"/>
      <c r="HR39" s="111" t="n"/>
      <c r="HS39" s="111" t="n"/>
      <c r="HT39" s="111" t="n"/>
      <c r="HU39" s="111" t="n"/>
      <c r="HV39" s="111" t="n"/>
      <c r="HW39" s="111" t="n"/>
      <c r="HX39" s="111" t="n"/>
      <c r="HY39" s="111" t="n"/>
      <c r="HZ39" s="111" t="n"/>
      <c r="IA39" s="111" t="n"/>
      <c r="IB39" s="111" t="n"/>
      <c r="IC39" s="111" t="n"/>
      <c r="ID39" s="111" t="n"/>
      <c r="IE39" s="111" t="n"/>
      <c r="IF39" s="111" t="n"/>
      <c r="IG39" s="111" t="n"/>
      <c r="IH39" s="111" t="n"/>
      <c r="II39" s="111" t="n"/>
      <c r="IJ39" s="111" t="n"/>
      <c r="IK39" s="111" t="n"/>
      <c r="IL39" s="111" t="n"/>
      <c r="IM39" s="111" t="n"/>
      <c r="IN39" s="111" t="n"/>
      <c r="IO39" s="111" t="n"/>
      <c r="IP39" s="111" t="n"/>
      <c r="IQ39" s="111" t="n"/>
      <c r="IR39" s="111" t="n"/>
      <c r="IS39" s="111" t="n"/>
      <c r="IT39" s="111" t="n"/>
      <c r="IU39" s="111" t="n"/>
      <c r="IV39" s="111" t="n"/>
      <c r="IW39" s="111" t="n"/>
      <c r="IX39" s="111" t="n"/>
      <c r="IY39" s="111" t="n"/>
      <c r="IZ39" s="111" t="n"/>
      <c r="JA39" s="111" t="n"/>
      <c r="JB39" s="111" t="n"/>
      <c r="JC39" s="111" t="n"/>
      <c r="JD39" s="111" t="n"/>
      <c r="JE39" s="111" t="n"/>
      <c r="JF39" s="111" t="n"/>
      <c r="JG39" s="111" t="n"/>
      <c r="JH39" s="111" t="n"/>
      <c r="JI39" s="111" t="n"/>
      <c r="JJ39" s="111" t="n"/>
      <c r="JK39" s="111" t="n"/>
      <c r="JL39" s="111" t="n"/>
      <c r="JM39" s="111" t="n"/>
      <c r="JN39" s="111" t="n"/>
      <c r="JO39" s="111" t="n"/>
      <c r="JP39" s="111" t="n"/>
      <c r="JQ39" s="111" t="n"/>
      <c r="JR39" s="111" t="n"/>
      <c r="JS39" s="111" t="n"/>
      <c r="JT39" s="111" t="n"/>
      <c r="JU39" s="111" t="n"/>
      <c r="JV39" s="111" t="n"/>
      <c r="JW39" s="111" t="n"/>
      <c r="JX39" s="111" t="n"/>
      <c r="JY39" s="111" t="n"/>
      <c r="JZ39" s="111" t="n"/>
      <c r="KA39" s="111" t="n"/>
      <c r="KB39" s="111" t="n"/>
      <c r="KC39" s="111" t="n"/>
      <c r="KD39" s="111" t="n"/>
      <c r="KE39" s="111" t="n"/>
      <c r="KF39" s="111" t="n"/>
      <c r="KG39" s="111" t="n"/>
      <c r="KH39" s="111" t="n"/>
      <c r="KI39" s="111" t="n"/>
      <c r="KJ39" s="111" t="n"/>
      <c r="KK39" s="111" t="n"/>
      <c r="KL39" s="111" t="n"/>
      <c r="KM39" s="111" t="n"/>
      <c r="KN39" s="111" t="n"/>
      <c r="KO39" s="111" t="n"/>
      <c r="KP39" s="111" t="n"/>
      <c r="KQ39" s="111" t="n"/>
      <c r="KR39" s="111" t="n"/>
      <c r="KS39" s="111" t="n"/>
      <c r="KT39" s="111" t="n"/>
      <c r="KU39" s="111" t="n"/>
      <c r="KV39" s="111" t="n"/>
      <c r="KW39" s="111" t="n"/>
      <c r="KX39" s="111" t="n"/>
      <c r="KY39" s="111" t="n"/>
      <c r="KZ39" s="111" t="n"/>
      <c r="LA39" s="111" t="n"/>
      <c r="LB39" s="111" t="n"/>
      <c r="LC39" s="111" t="n"/>
      <c r="LD39" s="111" t="n"/>
      <c r="LE39" s="111" t="n"/>
      <c r="LF39" s="111" t="n"/>
      <c r="LG39" s="111" t="n"/>
      <c r="LH39" s="111" t="n"/>
      <c r="LI39" s="111" t="n"/>
      <c r="LJ39" s="111" t="n"/>
      <c r="LK39" s="111" t="n"/>
      <c r="LL39" s="111" t="n"/>
      <c r="LM39" s="111" t="n"/>
      <c r="LN39" s="111" t="n"/>
      <c r="LO39" s="111" t="n"/>
      <c r="LP39" s="111" t="n"/>
      <c r="LQ39" s="111" t="n"/>
      <c r="LR39" s="111" t="n"/>
      <c r="LS39" s="111" t="n"/>
      <c r="LT39" s="111" t="n"/>
      <c r="LU39" s="111" t="n"/>
      <c r="LV39" s="111" t="n"/>
      <c r="LW39" s="111" t="n"/>
      <c r="LX39" s="111" t="n"/>
      <c r="LY39" s="111" t="n"/>
      <c r="LZ39" s="111" t="n"/>
      <c r="MA39" s="111" t="n"/>
      <c r="MB39" s="111" t="n"/>
      <c r="MC39" s="111" t="n"/>
      <c r="MD39" s="111" t="n"/>
      <c r="ME39" s="111" t="n"/>
      <c r="MF39" s="111" t="n"/>
      <c r="MG39" s="111" t="n"/>
      <c r="MH39" s="111" t="n"/>
      <c r="MI39" s="111" t="n"/>
      <c r="MJ39" s="111" t="n"/>
      <c r="MK39" s="111" t="n"/>
      <c r="ML39" s="111" t="n"/>
      <c r="MM39" s="111" t="n"/>
      <c r="MN39" s="111" t="n"/>
      <c r="MO39" s="111" t="n"/>
      <c r="MP39" s="111" t="n"/>
      <c r="MQ39" s="111" t="n"/>
      <c r="MR39" s="111" t="n"/>
      <c r="MS39" s="111" t="n"/>
      <c r="MT39" s="111" t="n"/>
      <c r="MU39" s="111" t="n"/>
      <c r="MV39" s="111" t="n"/>
      <c r="MW39" s="111" t="n"/>
      <c r="MX39" s="111" t="n"/>
      <c r="MY39" s="111" t="n"/>
      <c r="MZ39" s="111" t="n"/>
      <c r="NA39" s="111" t="n"/>
      <c r="NB39" s="111" t="n"/>
      <c r="NC39" s="111" t="n"/>
      <c r="ND39" s="111" t="n"/>
      <c r="NE39" s="111" t="n"/>
      <c r="NF39" s="111" t="n"/>
      <c r="NG39" s="111" t="n"/>
      <c r="NH39" s="111" t="n"/>
      <c r="NI39" s="111" t="n"/>
      <c r="NJ39" s="111" t="n"/>
      <c r="NK39" s="111" t="n"/>
      <c r="NL39" s="111" t="n"/>
      <c r="NM39" s="111" t="n"/>
      <c r="NN39" s="111" t="n"/>
      <c r="NO39" s="111" t="n"/>
      <c r="NP39" s="111" t="n"/>
      <c r="NQ39" s="111" t="n"/>
    </row>
    <row r="40" customFormat="1" s="17">
      <c r="A40" s="33">
        <f>IF(ISERROR(VALUE(SUBSTITUTE(OFFSET(A40,-1,0,1,1),".",""))),"0.1",IF(ISERROR(FIND("`",SUBSTITUTE(OFFSET(A40,-1,0,1,1),".","`",1))),OFFSET(A40,-1,0,1,1)&amp;".1",LEFT(OFFSET(A40,-1,0,1,1),FIND("`",SUBSTITUTE(OFFSET(A40,-1,0,1,1),".","`",1)))&amp;IF(ISERROR(FIND("`",SUBSTITUTE(OFFSET(A40,-1,0,1,1),".","`",2))),VALUE(RIGHT(OFFSET(A40,-1,0,1,1),LEN(OFFSET(A40,-1,0,1,1))-FIND("`",SUBSTITUTE(OFFSET(A40,-1,0,1,1),".","`",1))))+1,VALUE(MID(OFFSET(A40,-1,0,1,1),FIND("`",SUBSTITUTE(OFFSET(A40,-1,0,1,1),".","`",1))+1,(FIND("`",SUBSTITUTE(OFFSET(A40,-1,0,1,1),".","`",2))-FIND("`",SUBSTITUTE(OFFSET(A40,-1,0,1,1),".","`",1))-1)))+1)))</f>
        <v/>
      </c>
      <c r="B40" s="10" t="inlineStr">
        <is>
          <t>[ Level 2 Task ]</t>
        </is>
      </c>
      <c r="C40" s="11" t="n"/>
      <c r="D40" s="37" t="n"/>
      <c r="E40" s="37" t="n"/>
      <c r="F40" s="37" t="n"/>
      <c r="G40" s="274">
        <f>$G$6</f>
        <v/>
      </c>
      <c r="H40" s="275">
        <f>IF(K40=0,G40,WORKDAY(IF(WEEKDAY(G40,1)=7,G40+2,IF(WEEKDAY(G40,1)=1,G40+1,G40)),K40-1,holidays))</f>
        <v/>
      </c>
      <c r="I40" s="272" t="n"/>
      <c r="J40" s="272" t="n"/>
      <c r="K40" s="79" t="n">
        <v>1</v>
      </c>
      <c r="L40" s="80" t="n"/>
      <c r="M40" s="14">
        <f>IF(OR(G40=0,H40=0),0,H40-G40+1)</f>
        <v/>
      </c>
      <c r="N40" s="15">
        <f>MIN(M40,WORKDAY(G40,ROUNDDOWN(L40*K40,0),holidays)-G40)</f>
        <v/>
      </c>
      <c r="O40" s="14">
        <f>M40-N40</f>
        <v/>
      </c>
      <c r="P40" s="113" t="n"/>
      <c r="Q40" s="17" t="n"/>
      <c r="R40" s="111" t="n"/>
      <c r="S40" s="111" t="n"/>
      <c r="T40" s="111" t="n"/>
      <c r="U40" s="111" t="n"/>
      <c r="V40" s="111" t="n"/>
      <c r="W40" s="111" t="n"/>
      <c r="X40" s="111" t="n"/>
      <c r="Y40" s="111" t="n"/>
      <c r="Z40" s="111" t="n"/>
      <c r="AA40" s="111" t="n"/>
      <c r="AB40" s="111" t="n"/>
      <c r="AC40" s="111" t="n"/>
      <c r="AD40" s="111" t="n"/>
      <c r="AE40" s="111" t="n"/>
      <c r="AF40" s="111" t="n"/>
      <c r="AG40" s="111" t="n"/>
      <c r="AH40" s="111" t="n"/>
      <c r="AI40" s="111" t="n"/>
      <c r="AJ40" s="111" t="n"/>
      <c r="AK40" s="111" t="n"/>
      <c r="AL40" s="111" t="n"/>
      <c r="AM40" s="111" t="n"/>
      <c r="AN40" s="111" t="n"/>
      <c r="AO40" s="111" t="n"/>
      <c r="AP40" s="111" t="n"/>
      <c r="AQ40" s="111" t="n"/>
      <c r="AR40" s="111" t="n"/>
      <c r="AS40" s="111" t="n"/>
      <c r="AT40" s="111" t="n"/>
      <c r="AU40" s="111" t="n"/>
      <c r="AV40" s="111" t="n"/>
      <c r="AW40" s="111" t="n"/>
      <c r="AX40" s="111" t="n"/>
      <c r="AY40" s="111" t="n"/>
      <c r="AZ40" s="111"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1" t="n"/>
      <c r="CF40" s="111" t="n"/>
      <c r="CG40" s="111" t="n"/>
      <c r="CH40" s="111" t="n"/>
      <c r="CI40" s="111" t="n"/>
      <c r="CJ40" s="111" t="n"/>
      <c r="CK40" s="111" t="n"/>
      <c r="CL40" s="111" t="n"/>
      <c r="CM40" s="111" t="n"/>
      <c r="CN40" s="111" t="n"/>
      <c r="CO40" s="111" t="n"/>
      <c r="CP40" s="111" t="n"/>
      <c r="CQ40" s="111" t="n"/>
      <c r="CR40" s="111" t="n"/>
      <c r="CS40" s="111" t="n"/>
      <c r="CT40" s="111" t="n"/>
      <c r="CU40" s="111" t="n"/>
      <c r="CV40" s="111" t="n"/>
      <c r="CW40" s="111" t="n"/>
      <c r="CX40" s="111" t="n"/>
      <c r="CY40" s="111" t="n"/>
      <c r="CZ40" s="111" t="n"/>
      <c r="DA40" s="111" t="n"/>
      <c r="DB40" s="111" t="n"/>
      <c r="DC40" s="111" t="n"/>
      <c r="DD40" s="111" t="n"/>
      <c r="DE40" s="111" t="n"/>
      <c r="DF40" s="111" t="n"/>
      <c r="DG40" s="111" t="n"/>
      <c r="DH40" s="111" t="n"/>
      <c r="DI40" s="111" t="n"/>
      <c r="DJ40" s="111" t="n"/>
      <c r="DK40" s="111" t="n"/>
      <c r="DL40" s="111" t="n"/>
      <c r="DM40" s="111" t="n"/>
      <c r="DN40" s="111" t="n"/>
      <c r="DO40" s="111" t="n"/>
      <c r="DP40" s="111" t="n"/>
      <c r="DQ40" s="111" t="n"/>
      <c r="DR40" s="111" t="n"/>
      <c r="DS40" s="111" t="n"/>
      <c r="DT40" s="111" t="n"/>
      <c r="DU40" s="111" t="n"/>
      <c r="DV40" s="111" t="n"/>
      <c r="DW40" s="111" t="n"/>
      <c r="DX40" s="111" t="n"/>
      <c r="DY40" s="111" t="n"/>
      <c r="DZ40" s="111" t="n"/>
      <c r="EA40" s="111" t="n"/>
      <c r="EB40" s="111" t="n"/>
      <c r="EC40" s="111" t="n"/>
      <c r="ED40" s="111" t="n"/>
      <c r="EE40" s="111" t="n"/>
      <c r="EF40" s="111" t="n"/>
      <c r="EG40" s="111" t="n"/>
      <c r="EH40" s="111" t="n"/>
      <c r="EI40" s="111" t="n"/>
      <c r="EJ40" s="111" t="n"/>
      <c r="EK40" s="111" t="n"/>
      <c r="EL40" s="111" t="n"/>
      <c r="EM40" s="111" t="n"/>
      <c r="EN40" s="111" t="n"/>
      <c r="EO40" s="111" t="n"/>
      <c r="EP40" s="111" t="n"/>
      <c r="EQ40" s="111" t="n"/>
      <c r="ER40" s="111" t="n"/>
      <c r="ES40" s="111" t="n"/>
      <c r="ET40" s="111" t="n"/>
      <c r="EU40" s="111" t="n"/>
      <c r="EV40" s="111" t="n"/>
      <c r="EW40" s="111" t="n"/>
      <c r="EX40" s="111" t="n"/>
      <c r="EY40" s="111" t="n"/>
      <c r="EZ40" s="111" t="n"/>
      <c r="FA40" s="111" t="n"/>
      <c r="FB40" s="111" t="n"/>
      <c r="FC40" s="111" t="n"/>
      <c r="FD40" s="111" t="n"/>
      <c r="FE40" s="111" t="n"/>
      <c r="FF40" s="111" t="n"/>
      <c r="FG40" s="111" t="n"/>
      <c r="FH40" s="111" t="n"/>
      <c r="FI40" s="111" t="n"/>
      <c r="FJ40" s="111" t="n"/>
      <c r="FK40" s="111" t="n"/>
      <c r="FL40" s="111" t="n"/>
      <c r="FM40" s="111" t="n"/>
      <c r="FN40" s="111" t="n"/>
      <c r="FO40" s="111" t="n"/>
      <c r="FP40" s="111" t="n"/>
      <c r="FQ40" s="111" t="n"/>
      <c r="FR40" s="111" t="n"/>
      <c r="FS40" s="111" t="n"/>
      <c r="FT40" s="111" t="n"/>
      <c r="FU40" s="111" t="n"/>
      <c r="FV40" s="111" t="n"/>
      <c r="FW40" s="111" t="n"/>
      <c r="FX40" s="111" t="n"/>
      <c r="FY40" s="111" t="n"/>
      <c r="FZ40" s="111" t="n"/>
      <c r="GA40" s="111" t="n"/>
      <c r="GB40" s="111" t="n"/>
      <c r="GC40" s="111" t="n"/>
      <c r="GD40" s="111" t="n"/>
      <c r="GE40" s="111" t="n"/>
      <c r="GF40" s="111" t="n"/>
      <c r="GG40" s="111" t="n"/>
      <c r="GH40" s="111" t="n"/>
      <c r="GI40" s="111" t="n"/>
      <c r="GJ40" s="111" t="n"/>
      <c r="GK40" s="111" t="n"/>
      <c r="GL40" s="111" t="n"/>
      <c r="GM40" s="111" t="n"/>
      <c r="GN40" s="111" t="n"/>
      <c r="GO40" s="111" t="n"/>
      <c r="GP40" s="111" t="n"/>
      <c r="GQ40" s="111" t="n"/>
      <c r="GR40" s="111" t="n"/>
      <c r="GS40" s="111" t="n"/>
      <c r="GT40" s="111" t="n"/>
      <c r="GU40" s="111" t="n"/>
      <c r="GV40" s="111" t="n"/>
      <c r="GW40" s="111" t="n"/>
      <c r="GX40" s="111" t="n"/>
      <c r="GY40" s="111" t="n"/>
      <c r="GZ40" s="111" t="n"/>
      <c r="HA40" s="111" t="n"/>
      <c r="HB40" s="111" t="n"/>
      <c r="HC40" s="111" t="n"/>
      <c r="HD40" s="111" t="n"/>
      <c r="HE40" s="111" t="n"/>
      <c r="HF40" s="111" t="n"/>
      <c r="HG40" s="111" t="n"/>
      <c r="HH40" s="111" t="n"/>
      <c r="HI40" s="111" t="n"/>
      <c r="HJ40" s="111" t="n"/>
      <c r="HK40" s="111" t="n"/>
      <c r="HL40" s="111" t="n"/>
      <c r="HM40" s="111" t="n"/>
      <c r="HN40" s="111" t="n"/>
      <c r="HO40" s="111" t="n"/>
      <c r="HP40" s="111" t="n"/>
      <c r="HQ40" s="111" t="n"/>
      <c r="HR40" s="111" t="n"/>
      <c r="HS40" s="111" t="n"/>
      <c r="HT40" s="111" t="n"/>
      <c r="HU40" s="111" t="n"/>
      <c r="HV40" s="111" t="n"/>
      <c r="HW40" s="111" t="n"/>
      <c r="HX40" s="111" t="n"/>
      <c r="HY40" s="111" t="n"/>
      <c r="HZ40" s="111" t="n"/>
      <c r="IA40" s="111" t="n"/>
      <c r="IB40" s="111" t="n"/>
      <c r="IC40" s="111" t="n"/>
      <c r="ID40" s="111" t="n"/>
      <c r="IE40" s="111" t="n"/>
      <c r="IF40" s="111" t="n"/>
      <c r="IG40" s="111" t="n"/>
      <c r="IH40" s="111" t="n"/>
      <c r="II40" s="111" t="n"/>
      <c r="IJ40" s="111" t="n"/>
      <c r="IK40" s="111" t="n"/>
      <c r="IL40" s="111" t="n"/>
      <c r="IM40" s="111" t="n"/>
      <c r="IN40" s="111" t="n"/>
      <c r="IO40" s="111" t="n"/>
      <c r="IP40" s="111" t="n"/>
      <c r="IQ40" s="111" t="n"/>
      <c r="IR40" s="111" t="n"/>
      <c r="IS40" s="111" t="n"/>
      <c r="IT40" s="111" t="n"/>
      <c r="IU40" s="111" t="n"/>
      <c r="IV40" s="111" t="n"/>
      <c r="IW40" s="111" t="n"/>
      <c r="IX40" s="111" t="n"/>
      <c r="IY40" s="111" t="n"/>
      <c r="IZ40" s="111" t="n"/>
      <c r="JA40" s="111" t="n"/>
      <c r="JB40" s="111" t="n"/>
      <c r="JC40" s="111" t="n"/>
      <c r="JD40" s="111" t="n"/>
      <c r="JE40" s="111" t="n"/>
      <c r="JF40" s="111" t="n"/>
      <c r="JG40" s="111" t="n"/>
      <c r="JH40" s="111" t="n"/>
      <c r="JI40" s="111" t="n"/>
      <c r="JJ40" s="111" t="n"/>
      <c r="JK40" s="111" t="n"/>
      <c r="JL40" s="111" t="n"/>
      <c r="JM40" s="111" t="n"/>
      <c r="JN40" s="111" t="n"/>
      <c r="JO40" s="111" t="n"/>
      <c r="JP40" s="111" t="n"/>
      <c r="JQ40" s="111" t="n"/>
      <c r="JR40" s="111" t="n"/>
      <c r="JS40" s="111" t="n"/>
      <c r="JT40" s="111" t="n"/>
      <c r="JU40" s="111" t="n"/>
      <c r="JV40" s="111" t="n"/>
      <c r="JW40" s="111" t="n"/>
      <c r="JX40" s="111" t="n"/>
      <c r="JY40" s="111" t="n"/>
      <c r="JZ40" s="111" t="n"/>
      <c r="KA40" s="111" t="n"/>
      <c r="KB40" s="111" t="n"/>
      <c r="KC40" s="111" t="n"/>
      <c r="KD40" s="111" t="n"/>
      <c r="KE40" s="111" t="n"/>
      <c r="KF40" s="111" t="n"/>
      <c r="KG40" s="111" t="n"/>
      <c r="KH40" s="111" t="n"/>
      <c r="KI40" s="111" t="n"/>
      <c r="KJ40" s="111" t="n"/>
      <c r="KK40" s="111" t="n"/>
      <c r="KL40" s="111" t="n"/>
      <c r="KM40" s="111" t="n"/>
      <c r="KN40" s="111" t="n"/>
      <c r="KO40" s="111" t="n"/>
      <c r="KP40" s="111" t="n"/>
      <c r="KQ40" s="111" t="n"/>
      <c r="KR40" s="111" t="n"/>
      <c r="KS40" s="111" t="n"/>
      <c r="KT40" s="111" t="n"/>
      <c r="KU40" s="111" t="n"/>
      <c r="KV40" s="111" t="n"/>
      <c r="KW40" s="111" t="n"/>
      <c r="KX40" s="111" t="n"/>
      <c r="KY40" s="111" t="n"/>
      <c r="KZ40" s="111" t="n"/>
      <c r="LA40" s="111" t="n"/>
      <c r="LB40" s="111" t="n"/>
      <c r="LC40" s="111" t="n"/>
      <c r="LD40" s="111" t="n"/>
      <c r="LE40" s="111" t="n"/>
      <c r="LF40" s="111" t="n"/>
      <c r="LG40" s="111" t="n"/>
      <c r="LH40" s="111" t="n"/>
      <c r="LI40" s="111" t="n"/>
      <c r="LJ40" s="111" t="n"/>
      <c r="LK40" s="111" t="n"/>
      <c r="LL40" s="111" t="n"/>
      <c r="LM40" s="111" t="n"/>
      <c r="LN40" s="111" t="n"/>
      <c r="LO40" s="111" t="n"/>
      <c r="LP40" s="111" t="n"/>
      <c r="LQ40" s="111" t="n"/>
      <c r="LR40" s="111" t="n"/>
      <c r="LS40" s="111" t="n"/>
      <c r="LT40" s="111" t="n"/>
      <c r="LU40" s="111" t="n"/>
      <c r="LV40" s="111" t="n"/>
      <c r="LW40" s="111" t="n"/>
      <c r="LX40" s="111" t="n"/>
      <c r="LY40" s="111" t="n"/>
      <c r="LZ40" s="111" t="n"/>
      <c r="MA40" s="111" t="n"/>
      <c r="MB40" s="111" t="n"/>
      <c r="MC40" s="111" t="n"/>
      <c r="MD40" s="111" t="n"/>
      <c r="ME40" s="111" t="n"/>
      <c r="MF40" s="111" t="n"/>
      <c r="MG40" s="111" t="n"/>
      <c r="MH40" s="111" t="n"/>
      <c r="MI40" s="111" t="n"/>
      <c r="MJ40" s="111" t="n"/>
      <c r="MK40" s="111" t="n"/>
      <c r="ML40" s="111" t="n"/>
      <c r="MM40" s="111" t="n"/>
      <c r="MN40" s="111" t="n"/>
      <c r="MO40" s="111" t="n"/>
      <c r="MP40" s="111" t="n"/>
      <c r="MQ40" s="111" t="n"/>
      <c r="MR40" s="111" t="n"/>
      <c r="MS40" s="111" t="n"/>
      <c r="MT40" s="111" t="n"/>
      <c r="MU40" s="111" t="n"/>
      <c r="MV40" s="111" t="n"/>
      <c r="MW40" s="111" t="n"/>
      <c r="MX40" s="111" t="n"/>
      <c r="MY40" s="111" t="n"/>
      <c r="MZ40" s="111" t="n"/>
      <c r="NA40" s="111" t="n"/>
      <c r="NB40" s="111" t="n"/>
      <c r="NC40" s="111" t="n"/>
      <c r="ND40" s="111" t="n"/>
      <c r="NE40" s="111" t="n"/>
      <c r="NF40" s="111" t="n"/>
      <c r="NG40" s="111" t="n"/>
      <c r="NH40" s="111" t="n"/>
      <c r="NI40" s="111" t="n"/>
      <c r="NJ40" s="111" t="n"/>
      <c r="NK40" s="111" t="n"/>
      <c r="NL40" s="111" t="n"/>
      <c r="NM40" s="111" t="n"/>
      <c r="NN40" s="111" t="n"/>
      <c r="NO40" s="111" t="n"/>
      <c r="NP40" s="111" t="n"/>
      <c r="NQ40" s="111" t="n"/>
    </row>
    <row r="41" customFormat="1" s="17">
      <c r="A41" s="33">
        <f>IF(ISERROR(VALUE(SUBSTITUTE(OFFSET(A41,-1,0,1,1),".",""))),"0.1",IF(ISERROR(FIND("`",SUBSTITUTE(OFFSET(A41,-1,0,1,1),".","`",1))),OFFSET(A41,-1,0,1,1)&amp;".1",LEFT(OFFSET(A41,-1,0,1,1),FIND("`",SUBSTITUTE(OFFSET(A41,-1,0,1,1),".","`",1)))&amp;IF(ISERROR(FIND("`",SUBSTITUTE(OFFSET(A41,-1,0,1,1),".","`",2))),VALUE(RIGHT(OFFSET(A41,-1,0,1,1),LEN(OFFSET(A41,-1,0,1,1))-FIND("`",SUBSTITUTE(OFFSET(A41,-1,0,1,1),".","`",1))))+1,VALUE(MID(OFFSET(A41,-1,0,1,1),FIND("`",SUBSTITUTE(OFFSET(A41,-1,0,1,1),".","`",1))+1,(FIND("`",SUBSTITUTE(OFFSET(A41,-1,0,1,1),".","`",2))-FIND("`",SUBSTITUTE(OFFSET(A41,-1,0,1,1),".","`",1))-1)))+1)))</f>
        <v/>
      </c>
      <c r="B41" s="10" t="inlineStr">
        <is>
          <t>[ Level 2 Task ]</t>
        </is>
      </c>
      <c r="C41" s="11" t="n"/>
      <c r="D41" s="37" t="n"/>
      <c r="E41" s="37" t="n"/>
      <c r="F41" s="37" t="n"/>
      <c r="G41" s="274">
        <f>$G$6</f>
        <v/>
      </c>
      <c r="H41" s="275">
        <f>IF(K41=0,G41,WORKDAY(IF(WEEKDAY(G41,1)=7,G41+2,IF(WEEKDAY(G41,1)=1,G41+1,G41)),K41-1,holidays))</f>
        <v/>
      </c>
      <c r="I41" s="272" t="n"/>
      <c r="J41" s="272" t="n"/>
      <c r="K41" s="79" t="n">
        <v>1</v>
      </c>
      <c r="L41" s="80" t="n"/>
      <c r="M41" s="14">
        <f>IF(OR(G41=0,H41=0),0,H41-G41+1)</f>
        <v/>
      </c>
      <c r="N41" s="15">
        <f>MIN(M41,WORKDAY(G41,ROUNDDOWN(L41*K41,0),holidays)-G41)</f>
        <v/>
      </c>
      <c r="O41" s="14">
        <f>M41-N41</f>
        <v/>
      </c>
      <c r="P41" s="113" t="n"/>
      <c r="Q41" s="17" t="n"/>
      <c r="R41" s="111" t="n"/>
      <c r="S41" s="111" t="n"/>
      <c r="T41" s="111" t="n"/>
      <c r="U41" s="111" t="n"/>
      <c r="V41" s="111" t="n"/>
      <c r="W41" s="111" t="n"/>
      <c r="X41" s="111" t="n"/>
      <c r="Y41" s="111" t="n"/>
      <c r="Z41" s="111" t="n"/>
      <c r="AA41" s="111" t="n"/>
      <c r="AB41" s="111" t="n"/>
      <c r="AC41" s="111" t="n"/>
      <c r="AD41" s="111" t="n"/>
      <c r="AE41" s="111" t="n"/>
      <c r="AF41" s="111" t="n"/>
      <c r="AG41" s="111" t="n"/>
      <c r="AH41" s="111" t="n"/>
      <c r="AI41" s="111" t="n"/>
      <c r="AJ41" s="111" t="n"/>
      <c r="AK41" s="111" t="n"/>
      <c r="AL41" s="111" t="n"/>
      <c r="AM41" s="111" t="n"/>
      <c r="AN41" s="111" t="n"/>
      <c r="AO41" s="111" t="n"/>
      <c r="AP41" s="111" t="n"/>
      <c r="AQ41" s="111" t="n"/>
      <c r="AR41" s="111" t="n"/>
      <c r="AS41" s="111" t="n"/>
      <c r="AT41" s="111" t="n"/>
      <c r="AU41" s="111" t="n"/>
      <c r="AV41" s="111" t="n"/>
      <c r="AW41" s="111" t="n"/>
      <c r="AX41" s="111" t="n"/>
      <c r="AY41" s="111" t="n"/>
      <c r="AZ41" s="111"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1" t="n"/>
      <c r="CF41" s="111" t="n"/>
      <c r="CG41" s="111" t="n"/>
      <c r="CH41" s="111" t="n"/>
      <c r="CI41" s="111" t="n"/>
      <c r="CJ41" s="111" t="n"/>
      <c r="CK41" s="111" t="n"/>
      <c r="CL41" s="111" t="n"/>
      <c r="CM41" s="111" t="n"/>
      <c r="CN41" s="111" t="n"/>
      <c r="CO41" s="111" t="n"/>
      <c r="CP41" s="111" t="n"/>
      <c r="CQ41" s="111" t="n"/>
      <c r="CR41" s="111" t="n"/>
      <c r="CS41" s="111" t="n"/>
      <c r="CT41" s="111" t="n"/>
      <c r="CU41" s="111" t="n"/>
      <c r="CV41" s="111" t="n"/>
      <c r="CW41" s="111" t="n"/>
      <c r="CX41" s="111" t="n"/>
      <c r="CY41" s="111" t="n"/>
      <c r="CZ41" s="111" t="n"/>
      <c r="DA41" s="111" t="n"/>
      <c r="DB41" s="111" t="n"/>
      <c r="DC41" s="111" t="n"/>
      <c r="DD41" s="111" t="n"/>
      <c r="DE41" s="111" t="n"/>
      <c r="DF41" s="111" t="n"/>
      <c r="DG41" s="111" t="n"/>
      <c r="DH41" s="111" t="n"/>
      <c r="DI41" s="111" t="n"/>
      <c r="DJ41" s="111" t="n"/>
      <c r="DK41" s="111" t="n"/>
      <c r="DL41" s="111" t="n"/>
      <c r="DM41" s="111" t="n"/>
      <c r="DN41" s="111" t="n"/>
      <c r="DO41" s="111" t="n"/>
      <c r="DP41" s="111" t="n"/>
      <c r="DQ41" s="111" t="n"/>
      <c r="DR41" s="111" t="n"/>
      <c r="DS41" s="111" t="n"/>
      <c r="DT41" s="111" t="n"/>
      <c r="DU41" s="111" t="n"/>
      <c r="DV41" s="111" t="n"/>
      <c r="DW41" s="111" t="n"/>
      <c r="DX41" s="111" t="n"/>
      <c r="DY41" s="111" t="n"/>
      <c r="DZ41" s="111" t="n"/>
      <c r="EA41" s="111" t="n"/>
      <c r="EB41" s="111" t="n"/>
      <c r="EC41" s="111" t="n"/>
      <c r="ED41" s="111" t="n"/>
      <c r="EE41" s="111" t="n"/>
      <c r="EF41" s="111" t="n"/>
      <c r="EG41" s="111" t="n"/>
      <c r="EH41" s="111" t="n"/>
      <c r="EI41" s="111" t="n"/>
      <c r="EJ41" s="111" t="n"/>
      <c r="EK41" s="111" t="n"/>
      <c r="EL41" s="111" t="n"/>
      <c r="EM41" s="111" t="n"/>
      <c r="EN41" s="111" t="n"/>
      <c r="EO41" s="111" t="n"/>
      <c r="EP41" s="111" t="n"/>
      <c r="EQ41" s="111" t="n"/>
      <c r="ER41" s="111" t="n"/>
      <c r="ES41" s="111" t="n"/>
      <c r="ET41" s="111" t="n"/>
      <c r="EU41" s="111" t="n"/>
      <c r="EV41" s="111" t="n"/>
      <c r="EW41" s="111" t="n"/>
      <c r="EX41" s="111" t="n"/>
      <c r="EY41" s="111" t="n"/>
      <c r="EZ41" s="111" t="n"/>
      <c r="FA41" s="111" t="n"/>
      <c r="FB41" s="111" t="n"/>
      <c r="FC41" s="111" t="n"/>
      <c r="FD41" s="111" t="n"/>
      <c r="FE41" s="111" t="n"/>
      <c r="FF41" s="111" t="n"/>
      <c r="FG41" s="111" t="n"/>
      <c r="FH41" s="111" t="n"/>
      <c r="FI41" s="111" t="n"/>
      <c r="FJ41" s="111" t="n"/>
      <c r="FK41" s="111" t="n"/>
      <c r="FL41" s="111" t="n"/>
      <c r="FM41" s="111" t="n"/>
      <c r="FN41" s="111" t="n"/>
      <c r="FO41" s="111" t="n"/>
      <c r="FP41" s="111" t="n"/>
      <c r="FQ41" s="111" t="n"/>
      <c r="FR41" s="111" t="n"/>
      <c r="FS41" s="111" t="n"/>
      <c r="FT41" s="111" t="n"/>
      <c r="FU41" s="111" t="n"/>
      <c r="FV41" s="111" t="n"/>
      <c r="FW41" s="111" t="n"/>
      <c r="FX41" s="111" t="n"/>
      <c r="FY41" s="111" t="n"/>
      <c r="FZ41" s="111" t="n"/>
      <c r="GA41" s="111" t="n"/>
      <c r="GB41" s="111" t="n"/>
      <c r="GC41" s="111" t="n"/>
      <c r="GD41" s="111" t="n"/>
      <c r="GE41" s="111" t="n"/>
      <c r="GF41" s="111" t="n"/>
      <c r="GG41" s="111" t="n"/>
      <c r="GH41" s="111" t="n"/>
      <c r="GI41" s="111" t="n"/>
      <c r="GJ41" s="111" t="n"/>
      <c r="GK41" s="111" t="n"/>
      <c r="GL41" s="111" t="n"/>
      <c r="GM41" s="111" t="n"/>
      <c r="GN41" s="111" t="n"/>
      <c r="GO41" s="111" t="n"/>
      <c r="GP41" s="111" t="n"/>
      <c r="GQ41" s="111" t="n"/>
      <c r="GR41" s="111" t="n"/>
      <c r="GS41" s="111" t="n"/>
      <c r="GT41" s="111" t="n"/>
      <c r="GU41" s="111" t="n"/>
      <c r="GV41" s="111" t="n"/>
      <c r="GW41" s="111" t="n"/>
      <c r="GX41" s="111" t="n"/>
      <c r="GY41" s="111" t="n"/>
      <c r="GZ41" s="111" t="n"/>
      <c r="HA41" s="111" t="n"/>
      <c r="HB41" s="111" t="n"/>
      <c r="HC41" s="111" t="n"/>
      <c r="HD41" s="111" t="n"/>
      <c r="HE41" s="111" t="n"/>
      <c r="HF41" s="111" t="n"/>
      <c r="HG41" s="111" t="n"/>
      <c r="HH41" s="111" t="n"/>
      <c r="HI41" s="111" t="n"/>
      <c r="HJ41" s="111" t="n"/>
      <c r="HK41" s="111" t="n"/>
      <c r="HL41" s="111" t="n"/>
      <c r="HM41" s="111" t="n"/>
      <c r="HN41" s="111" t="n"/>
      <c r="HO41" s="111" t="n"/>
      <c r="HP41" s="111" t="n"/>
      <c r="HQ41" s="111" t="n"/>
      <c r="HR41" s="111" t="n"/>
      <c r="HS41" s="111" t="n"/>
      <c r="HT41" s="111" t="n"/>
      <c r="HU41" s="111" t="n"/>
      <c r="HV41" s="111" t="n"/>
      <c r="HW41" s="111" t="n"/>
      <c r="HX41" s="111" t="n"/>
      <c r="HY41" s="111" t="n"/>
      <c r="HZ41" s="111" t="n"/>
      <c r="IA41" s="111" t="n"/>
      <c r="IB41" s="111" t="n"/>
      <c r="IC41" s="111" t="n"/>
      <c r="ID41" s="111" t="n"/>
      <c r="IE41" s="111" t="n"/>
      <c r="IF41" s="111" t="n"/>
      <c r="IG41" s="111" t="n"/>
      <c r="IH41" s="111" t="n"/>
      <c r="II41" s="111" t="n"/>
      <c r="IJ41" s="111" t="n"/>
      <c r="IK41" s="111" t="n"/>
      <c r="IL41" s="111" t="n"/>
      <c r="IM41" s="111" t="n"/>
      <c r="IN41" s="111" t="n"/>
      <c r="IO41" s="111" t="n"/>
      <c r="IP41" s="111" t="n"/>
      <c r="IQ41" s="111" t="n"/>
      <c r="IR41" s="111" t="n"/>
      <c r="IS41" s="111" t="n"/>
      <c r="IT41" s="111" t="n"/>
      <c r="IU41" s="111" t="n"/>
      <c r="IV41" s="111" t="n"/>
      <c r="IW41" s="111" t="n"/>
      <c r="IX41" s="111" t="n"/>
      <c r="IY41" s="111" t="n"/>
      <c r="IZ41" s="111" t="n"/>
      <c r="JA41" s="111" t="n"/>
      <c r="JB41" s="111" t="n"/>
      <c r="JC41" s="111" t="n"/>
      <c r="JD41" s="111" t="n"/>
      <c r="JE41" s="111" t="n"/>
      <c r="JF41" s="111" t="n"/>
      <c r="JG41" s="111" t="n"/>
      <c r="JH41" s="111" t="n"/>
      <c r="JI41" s="111" t="n"/>
      <c r="JJ41" s="111" t="n"/>
      <c r="JK41" s="111" t="n"/>
      <c r="JL41" s="111" t="n"/>
      <c r="JM41" s="111" t="n"/>
      <c r="JN41" s="111" t="n"/>
      <c r="JO41" s="111" t="n"/>
      <c r="JP41" s="111" t="n"/>
      <c r="JQ41" s="111" t="n"/>
      <c r="JR41" s="111" t="n"/>
      <c r="JS41" s="111" t="n"/>
      <c r="JT41" s="111" t="n"/>
      <c r="JU41" s="111" t="n"/>
      <c r="JV41" s="111" t="n"/>
      <c r="JW41" s="111" t="n"/>
      <c r="JX41" s="111" t="n"/>
      <c r="JY41" s="111" t="n"/>
      <c r="JZ41" s="111" t="n"/>
      <c r="KA41" s="111" t="n"/>
      <c r="KB41" s="111" t="n"/>
      <c r="KC41" s="111" t="n"/>
      <c r="KD41" s="111" t="n"/>
      <c r="KE41" s="111" t="n"/>
      <c r="KF41" s="111" t="n"/>
      <c r="KG41" s="111" t="n"/>
      <c r="KH41" s="111" t="n"/>
      <c r="KI41" s="111" t="n"/>
      <c r="KJ41" s="111" t="n"/>
      <c r="KK41" s="111" t="n"/>
      <c r="KL41" s="111" t="n"/>
      <c r="KM41" s="111" t="n"/>
      <c r="KN41" s="111" t="n"/>
      <c r="KO41" s="111" t="n"/>
      <c r="KP41" s="111" t="n"/>
      <c r="KQ41" s="111" t="n"/>
      <c r="KR41" s="111" t="n"/>
      <c r="KS41" s="111" t="n"/>
      <c r="KT41" s="111" t="n"/>
      <c r="KU41" s="111" t="n"/>
      <c r="KV41" s="111" t="n"/>
      <c r="KW41" s="111" t="n"/>
      <c r="KX41" s="111" t="n"/>
      <c r="KY41" s="111" t="n"/>
      <c r="KZ41" s="111" t="n"/>
      <c r="LA41" s="111" t="n"/>
      <c r="LB41" s="111" t="n"/>
      <c r="LC41" s="111" t="n"/>
      <c r="LD41" s="111" t="n"/>
      <c r="LE41" s="111" t="n"/>
      <c r="LF41" s="111" t="n"/>
      <c r="LG41" s="111" t="n"/>
      <c r="LH41" s="111" t="n"/>
      <c r="LI41" s="111" t="n"/>
      <c r="LJ41" s="111" t="n"/>
      <c r="LK41" s="111" t="n"/>
      <c r="LL41" s="111" t="n"/>
      <c r="LM41" s="111" t="n"/>
      <c r="LN41" s="111" t="n"/>
      <c r="LO41" s="111" t="n"/>
      <c r="LP41" s="111" t="n"/>
      <c r="LQ41" s="111" t="n"/>
      <c r="LR41" s="111" t="n"/>
      <c r="LS41" s="111" t="n"/>
      <c r="LT41" s="111" t="n"/>
      <c r="LU41" s="111" t="n"/>
      <c r="LV41" s="111" t="n"/>
      <c r="LW41" s="111" t="n"/>
      <c r="LX41" s="111" t="n"/>
      <c r="LY41" s="111" t="n"/>
      <c r="LZ41" s="111" t="n"/>
      <c r="MA41" s="111" t="n"/>
      <c r="MB41" s="111" t="n"/>
      <c r="MC41" s="111" t="n"/>
      <c r="MD41" s="111" t="n"/>
      <c r="ME41" s="111" t="n"/>
      <c r="MF41" s="111" t="n"/>
      <c r="MG41" s="111" t="n"/>
      <c r="MH41" s="111" t="n"/>
      <c r="MI41" s="111" t="n"/>
      <c r="MJ41" s="111" t="n"/>
      <c r="MK41" s="111" t="n"/>
      <c r="ML41" s="111" t="n"/>
      <c r="MM41" s="111" t="n"/>
      <c r="MN41" s="111" t="n"/>
      <c r="MO41" s="111" t="n"/>
      <c r="MP41" s="111" t="n"/>
      <c r="MQ41" s="111" t="n"/>
      <c r="MR41" s="111" t="n"/>
      <c r="MS41" s="111" t="n"/>
      <c r="MT41" s="111" t="n"/>
      <c r="MU41" s="111" t="n"/>
      <c r="MV41" s="111" t="n"/>
      <c r="MW41" s="111" t="n"/>
      <c r="MX41" s="111" t="n"/>
      <c r="MY41" s="111" t="n"/>
      <c r="MZ41" s="111" t="n"/>
      <c r="NA41" s="111" t="n"/>
      <c r="NB41" s="111" t="n"/>
      <c r="NC41" s="111" t="n"/>
      <c r="ND41" s="111" t="n"/>
      <c r="NE41" s="111" t="n"/>
      <c r="NF41" s="111" t="n"/>
      <c r="NG41" s="111" t="n"/>
      <c r="NH41" s="111" t="n"/>
      <c r="NI41" s="111" t="n"/>
      <c r="NJ41" s="111" t="n"/>
      <c r="NK41" s="111" t="n"/>
      <c r="NL41" s="111" t="n"/>
      <c r="NM41" s="111" t="n"/>
      <c r="NN41" s="111" t="n"/>
      <c r="NO41" s="111" t="n"/>
      <c r="NP41" s="111" t="n"/>
      <c r="NQ41" s="111" t="n"/>
    </row>
    <row r="42" customFormat="1" s="17">
      <c r="A42" s="33">
        <f>IF(ISERROR(VALUE(SUBSTITUTE(OFFSET(A42,-1,0,1,1),".",""))),"0.1",IF(ISERROR(FIND("`",SUBSTITUTE(OFFSET(A42,-1,0,1,1),".","`",1))),OFFSET(A42,-1,0,1,1)&amp;".1",LEFT(OFFSET(A42,-1,0,1,1),FIND("`",SUBSTITUTE(OFFSET(A42,-1,0,1,1),".","`",1)))&amp;IF(ISERROR(FIND("`",SUBSTITUTE(OFFSET(A42,-1,0,1,1),".","`",2))),VALUE(RIGHT(OFFSET(A42,-1,0,1,1),LEN(OFFSET(A42,-1,0,1,1))-FIND("`",SUBSTITUTE(OFFSET(A42,-1,0,1,1),".","`",1))))+1,VALUE(MID(OFFSET(A42,-1,0,1,1),FIND("`",SUBSTITUTE(OFFSET(A42,-1,0,1,1),".","`",1))+1,(FIND("`",SUBSTITUTE(OFFSET(A42,-1,0,1,1),".","`",2))-FIND("`",SUBSTITUTE(OFFSET(A42,-1,0,1,1),".","`",1))-1)))+1)))</f>
        <v/>
      </c>
      <c r="B42" s="10" t="inlineStr">
        <is>
          <t>[ Level 2 Task ]</t>
        </is>
      </c>
      <c r="C42" s="11" t="n"/>
      <c r="D42" s="37" t="n"/>
      <c r="E42" s="37" t="n"/>
      <c r="F42" s="37" t="n"/>
      <c r="G42" s="274">
        <f>$G$6</f>
        <v/>
      </c>
      <c r="H42" s="275">
        <f>IF(K42=0,G42,WORKDAY(IF(WEEKDAY(G42,1)=7,G42+2,IF(WEEKDAY(G42,1)=1,G42+1,G42)),K42-1,holidays))</f>
        <v/>
      </c>
      <c r="I42" s="272" t="n"/>
      <c r="J42" s="272" t="n"/>
      <c r="K42" s="79" t="n">
        <v>1</v>
      </c>
      <c r="L42" s="80" t="n"/>
      <c r="M42" s="14">
        <f>IF(OR(G42=0,H42=0),0,H42-G42+1)</f>
        <v/>
      </c>
      <c r="N42" s="15">
        <f>MIN(M42,WORKDAY(G42,ROUNDDOWN(L42*K42,0),holidays)-G42)</f>
        <v/>
      </c>
      <c r="O42" s="14">
        <f>M42-N42</f>
        <v/>
      </c>
      <c r="P42" s="113" t="n"/>
      <c r="Q42" s="17" t="n"/>
      <c r="R42" s="111" t="n"/>
      <c r="S42" s="111" t="n"/>
      <c r="T42" s="111" t="n"/>
      <c r="U42" s="111" t="n"/>
      <c r="V42" s="111" t="n"/>
      <c r="W42" s="111" t="n"/>
      <c r="X42" s="111" t="n"/>
      <c r="Y42" s="111" t="n"/>
      <c r="Z42" s="111" t="n"/>
      <c r="AA42" s="111" t="n"/>
      <c r="AB42" s="111" t="n"/>
      <c r="AC42" s="111" t="n"/>
      <c r="AD42" s="111" t="n"/>
      <c r="AE42" s="111" t="n"/>
      <c r="AF42" s="111" t="n"/>
      <c r="AG42" s="111" t="n"/>
      <c r="AH42" s="111" t="n"/>
      <c r="AI42" s="111" t="n"/>
      <c r="AJ42" s="111" t="n"/>
      <c r="AK42" s="111" t="n"/>
      <c r="AL42" s="111" t="n"/>
      <c r="AM42" s="111" t="n"/>
      <c r="AN42" s="111" t="n"/>
      <c r="AO42" s="111" t="n"/>
      <c r="AP42" s="111" t="n"/>
      <c r="AQ42" s="111" t="n"/>
      <c r="AR42" s="111" t="n"/>
      <c r="AS42" s="111" t="n"/>
      <c r="AT42" s="111" t="n"/>
      <c r="AU42" s="111" t="n"/>
      <c r="AV42" s="111" t="n"/>
      <c r="AW42" s="111" t="n"/>
      <c r="AX42" s="111" t="n"/>
      <c r="AY42" s="111" t="n"/>
      <c r="AZ42" s="111"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1" t="n"/>
      <c r="CF42" s="111" t="n"/>
      <c r="CG42" s="111" t="n"/>
      <c r="CH42" s="111" t="n"/>
      <c r="CI42" s="111" t="n"/>
      <c r="CJ42" s="111" t="n"/>
      <c r="CK42" s="111" t="n"/>
      <c r="CL42" s="111" t="n"/>
      <c r="CM42" s="111" t="n"/>
      <c r="CN42" s="111" t="n"/>
      <c r="CO42" s="111" t="n"/>
      <c r="CP42" s="111" t="n"/>
      <c r="CQ42" s="111" t="n"/>
      <c r="CR42" s="111" t="n"/>
      <c r="CS42" s="111" t="n"/>
      <c r="CT42" s="111" t="n"/>
      <c r="CU42" s="111" t="n"/>
      <c r="CV42" s="111" t="n"/>
      <c r="CW42" s="111" t="n"/>
      <c r="CX42" s="111" t="n"/>
      <c r="CY42" s="111" t="n"/>
      <c r="CZ42" s="111" t="n"/>
      <c r="DA42" s="111" t="n"/>
      <c r="DB42" s="111" t="n"/>
      <c r="DC42" s="111" t="n"/>
      <c r="DD42" s="111" t="n"/>
      <c r="DE42" s="111" t="n"/>
      <c r="DF42" s="111" t="n"/>
      <c r="DG42" s="111" t="n"/>
      <c r="DH42" s="111" t="n"/>
      <c r="DI42" s="111" t="n"/>
      <c r="DJ42" s="111" t="n"/>
      <c r="DK42" s="111" t="n"/>
      <c r="DL42" s="111" t="n"/>
      <c r="DM42" s="111" t="n"/>
      <c r="DN42" s="111" t="n"/>
      <c r="DO42" s="111" t="n"/>
      <c r="DP42" s="111" t="n"/>
      <c r="DQ42" s="111" t="n"/>
      <c r="DR42" s="111" t="n"/>
      <c r="DS42" s="111" t="n"/>
      <c r="DT42" s="111" t="n"/>
      <c r="DU42" s="111" t="n"/>
      <c r="DV42" s="111" t="n"/>
      <c r="DW42" s="111" t="n"/>
      <c r="DX42" s="111" t="n"/>
      <c r="DY42" s="111" t="n"/>
      <c r="DZ42" s="111" t="n"/>
      <c r="EA42" s="111" t="n"/>
      <c r="EB42" s="111" t="n"/>
      <c r="EC42" s="111" t="n"/>
      <c r="ED42" s="111" t="n"/>
      <c r="EE42" s="111" t="n"/>
      <c r="EF42" s="111" t="n"/>
      <c r="EG42" s="111" t="n"/>
      <c r="EH42" s="111" t="n"/>
      <c r="EI42" s="111" t="n"/>
      <c r="EJ42" s="111" t="n"/>
      <c r="EK42" s="111" t="n"/>
      <c r="EL42" s="111" t="n"/>
      <c r="EM42" s="111" t="n"/>
      <c r="EN42" s="111" t="n"/>
      <c r="EO42" s="111" t="n"/>
      <c r="EP42" s="111" t="n"/>
      <c r="EQ42" s="111" t="n"/>
      <c r="ER42" s="111" t="n"/>
      <c r="ES42" s="111" t="n"/>
      <c r="ET42" s="111" t="n"/>
      <c r="EU42" s="111" t="n"/>
      <c r="EV42" s="111" t="n"/>
      <c r="EW42" s="111" t="n"/>
      <c r="EX42" s="111" t="n"/>
      <c r="EY42" s="111" t="n"/>
      <c r="EZ42" s="111" t="n"/>
      <c r="FA42" s="111" t="n"/>
      <c r="FB42" s="111" t="n"/>
      <c r="FC42" s="111" t="n"/>
      <c r="FD42" s="111" t="n"/>
      <c r="FE42" s="111" t="n"/>
      <c r="FF42" s="111" t="n"/>
      <c r="FG42" s="111" t="n"/>
      <c r="FH42" s="111" t="n"/>
      <c r="FI42" s="111" t="n"/>
      <c r="FJ42" s="111" t="n"/>
      <c r="FK42" s="111" t="n"/>
      <c r="FL42" s="111" t="n"/>
      <c r="FM42" s="111" t="n"/>
      <c r="FN42" s="111" t="n"/>
      <c r="FO42" s="111" t="n"/>
      <c r="FP42" s="111" t="n"/>
      <c r="FQ42" s="111" t="n"/>
      <c r="FR42" s="111" t="n"/>
      <c r="FS42" s="111" t="n"/>
      <c r="FT42" s="111" t="n"/>
      <c r="FU42" s="111" t="n"/>
      <c r="FV42" s="111" t="n"/>
      <c r="FW42" s="111" t="n"/>
      <c r="FX42" s="111" t="n"/>
      <c r="FY42" s="111" t="n"/>
      <c r="FZ42" s="111" t="n"/>
      <c r="GA42" s="111" t="n"/>
      <c r="GB42" s="111" t="n"/>
      <c r="GC42" s="111" t="n"/>
      <c r="GD42" s="111" t="n"/>
      <c r="GE42" s="111" t="n"/>
      <c r="GF42" s="111" t="n"/>
      <c r="GG42" s="111" t="n"/>
      <c r="GH42" s="111" t="n"/>
      <c r="GI42" s="111" t="n"/>
      <c r="GJ42" s="111" t="n"/>
      <c r="GK42" s="111" t="n"/>
      <c r="GL42" s="111" t="n"/>
      <c r="GM42" s="111" t="n"/>
      <c r="GN42" s="111" t="n"/>
      <c r="GO42" s="111" t="n"/>
      <c r="GP42" s="111" t="n"/>
      <c r="GQ42" s="111" t="n"/>
      <c r="GR42" s="111" t="n"/>
      <c r="GS42" s="111" t="n"/>
      <c r="GT42" s="111" t="n"/>
      <c r="GU42" s="111" t="n"/>
      <c r="GV42" s="111" t="n"/>
      <c r="GW42" s="111" t="n"/>
      <c r="GX42" s="111" t="n"/>
      <c r="GY42" s="111" t="n"/>
      <c r="GZ42" s="111" t="n"/>
      <c r="HA42" s="111" t="n"/>
      <c r="HB42" s="111" t="n"/>
      <c r="HC42" s="111" t="n"/>
      <c r="HD42" s="111" t="n"/>
      <c r="HE42" s="111" t="n"/>
      <c r="HF42" s="111" t="n"/>
      <c r="HG42" s="111" t="n"/>
      <c r="HH42" s="111" t="n"/>
      <c r="HI42" s="111" t="n"/>
      <c r="HJ42" s="111" t="n"/>
      <c r="HK42" s="111" t="n"/>
      <c r="HL42" s="111" t="n"/>
      <c r="HM42" s="111" t="n"/>
      <c r="HN42" s="111" t="n"/>
      <c r="HO42" s="111" t="n"/>
      <c r="HP42" s="111" t="n"/>
      <c r="HQ42" s="111" t="n"/>
      <c r="HR42" s="111" t="n"/>
      <c r="HS42" s="111" t="n"/>
      <c r="HT42" s="111" t="n"/>
      <c r="HU42" s="111" t="n"/>
      <c r="HV42" s="111" t="n"/>
      <c r="HW42" s="111" t="n"/>
      <c r="HX42" s="111" t="n"/>
      <c r="HY42" s="111" t="n"/>
      <c r="HZ42" s="111" t="n"/>
      <c r="IA42" s="111" t="n"/>
      <c r="IB42" s="111" t="n"/>
      <c r="IC42" s="111" t="n"/>
      <c r="ID42" s="111" t="n"/>
      <c r="IE42" s="111" t="n"/>
      <c r="IF42" s="111" t="n"/>
      <c r="IG42" s="111" t="n"/>
      <c r="IH42" s="111" t="n"/>
      <c r="II42" s="111" t="n"/>
      <c r="IJ42" s="111" t="n"/>
      <c r="IK42" s="111" t="n"/>
      <c r="IL42" s="111" t="n"/>
      <c r="IM42" s="111" t="n"/>
      <c r="IN42" s="111" t="n"/>
      <c r="IO42" s="111" t="n"/>
      <c r="IP42" s="111" t="n"/>
      <c r="IQ42" s="111" t="n"/>
      <c r="IR42" s="111" t="n"/>
      <c r="IS42" s="111" t="n"/>
      <c r="IT42" s="111" t="n"/>
      <c r="IU42" s="111" t="n"/>
      <c r="IV42" s="111" t="n"/>
      <c r="IW42" s="111" t="n"/>
      <c r="IX42" s="111" t="n"/>
      <c r="IY42" s="111" t="n"/>
      <c r="IZ42" s="111" t="n"/>
      <c r="JA42" s="111" t="n"/>
      <c r="JB42" s="111" t="n"/>
      <c r="JC42" s="111" t="n"/>
      <c r="JD42" s="111" t="n"/>
      <c r="JE42" s="111" t="n"/>
      <c r="JF42" s="111" t="n"/>
      <c r="JG42" s="111" t="n"/>
      <c r="JH42" s="111" t="n"/>
      <c r="JI42" s="111" t="n"/>
      <c r="JJ42" s="111" t="n"/>
      <c r="JK42" s="111" t="n"/>
      <c r="JL42" s="111" t="n"/>
      <c r="JM42" s="111" t="n"/>
      <c r="JN42" s="111" t="n"/>
      <c r="JO42" s="111" t="n"/>
      <c r="JP42" s="111" t="n"/>
      <c r="JQ42" s="111" t="n"/>
      <c r="JR42" s="111" t="n"/>
      <c r="JS42" s="111" t="n"/>
      <c r="JT42" s="111" t="n"/>
      <c r="JU42" s="111" t="n"/>
      <c r="JV42" s="111" t="n"/>
      <c r="JW42" s="111" t="n"/>
      <c r="JX42" s="111" t="n"/>
      <c r="JY42" s="111" t="n"/>
      <c r="JZ42" s="111" t="n"/>
      <c r="KA42" s="111" t="n"/>
      <c r="KB42" s="111" t="n"/>
      <c r="KC42" s="111" t="n"/>
      <c r="KD42" s="111" t="n"/>
      <c r="KE42" s="111" t="n"/>
      <c r="KF42" s="111" t="n"/>
      <c r="KG42" s="111" t="n"/>
      <c r="KH42" s="111" t="n"/>
      <c r="KI42" s="111" t="n"/>
      <c r="KJ42" s="111" t="n"/>
      <c r="KK42" s="111" t="n"/>
      <c r="KL42" s="111" t="n"/>
      <c r="KM42" s="111" t="n"/>
      <c r="KN42" s="111" t="n"/>
      <c r="KO42" s="111" t="n"/>
      <c r="KP42" s="111" t="n"/>
      <c r="KQ42" s="111" t="n"/>
      <c r="KR42" s="111" t="n"/>
      <c r="KS42" s="111" t="n"/>
      <c r="KT42" s="111" t="n"/>
      <c r="KU42" s="111" t="n"/>
      <c r="KV42" s="111" t="n"/>
      <c r="KW42" s="111" t="n"/>
      <c r="KX42" s="111" t="n"/>
      <c r="KY42" s="111" t="n"/>
      <c r="KZ42" s="111" t="n"/>
      <c r="LA42" s="111" t="n"/>
      <c r="LB42" s="111" t="n"/>
      <c r="LC42" s="111" t="n"/>
      <c r="LD42" s="111" t="n"/>
      <c r="LE42" s="111" t="n"/>
      <c r="LF42" s="111" t="n"/>
      <c r="LG42" s="111" t="n"/>
      <c r="LH42" s="111" t="n"/>
      <c r="LI42" s="111" t="n"/>
      <c r="LJ42" s="111" t="n"/>
      <c r="LK42" s="111" t="n"/>
      <c r="LL42" s="111" t="n"/>
      <c r="LM42" s="111" t="n"/>
      <c r="LN42" s="111" t="n"/>
      <c r="LO42" s="111" t="n"/>
      <c r="LP42" s="111" t="n"/>
      <c r="LQ42" s="111" t="n"/>
      <c r="LR42" s="111" t="n"/>
      <c r="LS42" s="111" t="n"/>
      <c r="LT42" s="111" t="n"/>
      <c r="LU42" s="111" t="n"/>
      <c r="LV42" s="111" t="n"/>
      <c r="LW42" s="111" t="n"/>
      <c r="LX42" s="111" t="n"/>
      <c r="LY42" s="111" t="n"/>
      <c r="LZ42" s="111" t="n"/>
      <c r="MA42" s="111" t="n"/>
      <c r="MB42" s="111" t="n"/>
      <c r="MC42" s="111" t="n"/>
      <c r="MD42" s="111" t="n"/>
      <c r="ME42" s="111" t="n"/>
      <c r="MF42" s="111" t="n"/>
      <c r="MG42" s="111" t="n"/>
      <c r="MH42" s="111" t="n"/>
      <c r="MI42" s="111" t="n"/>
      <c r="MJ42" s="111" t="n"/>
      <c r="MK42" s="111" t="n"/>
      <c r="ML42" s="111" t="n"/>
      <c r="MM42" s="111" t="n"/>
      <c r="MN42" s="111" t="n"/>
      <c r="MO42" s="111" t="n"/>
      <c r="MP42" s="111" t="n"/>
      <c r="MQ42" s="111" t="n"/>
      <c r="MR42" s="111" t="n"/>
      <c r="MS42" s="111" t="n"/>
      <c r="MT42" s="111" t="n"/>
      <c r="MU42" s="111" t="n"/>
      <c r="MV42" s="111" t="n"/>
      <c r="MW42" s="111" t="n"/>
      <c r="MX42" s="111" t="n"/>
      <c r="MY42" s="111" t="n"/>
      <c r="MZ42" s="111" t="n"/>
      <c r="NA42" s="111" t="n"/>
      <c r="NB42" s="111" t="n"/>
      <c r="NC42" s="111" t="n"/>
      <c r="ND42" s="111" t="n"/>
      <c r="NE42" s="111" t="n"/>
      <c r="NF42" s="111" t="n"/>
      <c r="NG42" s="111" t="n"/>
      <c r="NH42" s="111" t="n"/>
      <c r="NI42" s="111" t="n"/>
      <c r="NJ42" s="111" t="n"/>
      <c r="NK42" s="111" t="n"/>
      <c r="NL42" s="111" t="n"/>
      <c r="NM42" s="111" t="n"/>
      <c r="NN42" s="111" t="n"/>
      <c r="NO42" s="111" t="n"/>
      <c r="NP42" s="111" t="n"/>
      <c r="NQ42" s="111" t="n"/>
    </row>
    <row r="43" customFormat="1" s="17">
      <c r="A43" s="33">
        <f>IF(ISERROR(VALUE(SUBSTITUTE(OFFSET(A43,-1,0,1,1),".",""))),"0.1",IF(ISERROR(FIND("`",SUBSTITUTE(OFFSET(A43,-1,0,1,1),".","`",1))),OFFSET(A43,-1,0,1,1)&amp;".1",LEFT(OFFSET(A43,-1,0,1,1),FIND("`",SUBSTITUTE(OFFSET(A43,-1,0,1,1),".","`",1)))&amp;IF(ISERROR(FIND("`",SUBSTITUTE(OFFSET(A43,-1,0,1,1),".","`",2))),VALUE(RIGHT(OFFSET(A43,-1,0,1,1),LEN(OFFSET(A43,-1,0,1,1))-FIND("`",SUBSTITUTE(OFFSET(A43,-1,0,1,1),".","`",1))))+1,VALUE(MID(OFFSET(A43,-1,0,1,1),FIND("`",SUBSTITUTE(OFFSET(A43,-1,0,1,1),".","`",1))+1,(FIND("`",SUBSTITUTE(OFFSET(A43,-1,0,1,1),".","`",2))-FIND("`",SUBSTITUTE(OFFSET(A43,-1,0,1,1),".","`",1))-1)))+1)))</f>
        <v/>
      </c>
      <c r="B43" s="10" t="inlineStr">
        <is>
          <t>[ Level 2 Task ]</t>
        </is>
      </c>
      <c r="C43" s="11" t="n"/>
      <c r="D43" s="37" t="n"/>
      <c r="E43" s="37" t="n"/>
      <c r="F43" s="37" t="n"/>
      <c r="G43" s="274">
        <f>$G$6</f>
        <v/>
      </c>
      <c r="H43" s="275">
        <f>IF(K43=0,G43,WORKDAY(IF(WEEKDAY(G43,1)=7,G43+2,IF(WEEKDAY(G43,1)=1,G43+1,G43)),K43-1,holidays))</f>
        <v/>
      </c>
      <c r="I43" s="272" t="n"/>
      <c r="J43" s="272" t="n"/>
      <c r="K43" s="79" t="n">
        <v>1</v>
      </c>
      <c r="L43" s="80" t="n"/>
      <c r="M43" s="14">
        <f>IF(OR(G43=0,H43=0),0,H43-G43+1)</f>
        <v/>
      </c>
      <c r="N43" s="15">
        <f>MIN(M43,WORKDAY(G43,ROUNDDOWN(L43*K43,0),holidays)-G43)</f>
        <v/>
      </c>
      <c r="O43" s="14">
        <f>M43-N43</f>
        <v/>
      </c>
      <c r="P43" s="113" t="n"/>
      <c r="Q43" s="17" t="n"/>
      <c r="R43" s="111" t="n"/>
      <c r="S43" s="111" t="n"/>
      <c r="T43" s="111" t="n"/>
      <c r="U43" s="111" t="n"/>
      <c r="V43" s="111" t="n"/>
      <c r="W43" s="111" t="n"/>
      <c r="X43" s="111" t="n"/>
      <c r="Y43" s="111" t="n"/>
      <c r="Z43" s="111" t="n"/>
      <c r="AA43" s="111" t="n"/>
      <c r="AB43" s="111" t="n"/>
      <c r="AC43" s="111" t="n"/>
      <c r="AD43" s="111" t="n"/>
      <c r="AE43" s="111" t="n"/>
      <c r="AF43" s="111" t="n"/>
      <c r="AG43" s="111" t="n"/>
      <c r="AH43" s="111" t="n"/>
      <c r="AI43" s="111" t="n"/>
      <c r="AJ43" s="111" t="n"/>
      <c r="AK43" s="111" t="n"/>
      <c r="AL43" s="111" t="n"/>
      <c r="AM43" s="111" t="n"/>
      <c r="AN43" s="111" t="n"/>
      <c r="AO43" s="111" t="n"/>
      <c r="AP43" s="111" t="n"/>
      <c r="AQ43" s="111" t="n"/>
      <c r="AR43" s="111" t="n"/>
      <c r="AS43" s="111" t="n"/>
      <c r="AT43" s="111" t="n"/>
      <c r="AU43" s="111" t="n"/>
      <c r="AV43" s="111" t="n"/>
      <c r="AW43" s="111" t="n"/>
      <c r="AX43" s="111" t="n"/>
      <c r="AY43" s="111" t="n"/>
      <c r="AZ43" s="111"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1" t="n"/>
      <c r="CF43" s="111" t="n"/>
      <c r="CG43" s="111" t="n"/>
      <c r="CH43" s="111" t="n"/>
      <c r="CI43" s="111" t="n"/>
      <c r="CJ43" s="111" t="n"/>
      <c r="CK43" s="111" t="n"/>
      <c r="CL43" s="111" t="n"/>
      <c r="CM43" s="111" t="n"/>
      <c r="CN43" s="111" t="n"/>
      <c r="CO43" s="111" t="n"/>
      <c r="CP43" s="111" t="n"/>
      <c r="CQ43" s="111" t="n"/>
      <c r="CR43" s="111" t="n"/>
      <c r="CS43" s="111" t="n"/>
      <c r="CT43" s="111" t="n"/>
      <c r="CU43" s="111" t="n"/>
      <c r="CV43" s="111" t="n"/>
      <c r="CW43" s="111" t="n"/>
      <c r="CX43" s="111" t="n"/>
      <c r="CY43" s="111" t="n"/>
      <c r="CZ43" s="111" t="n"/>
      <c r="DA43" s="111" t="n"/>
      <c r="DB43" s="111" t="n"/>
      <c r="DC43" s="111" t="n"/>
      <c r="DD43" s="111" t="n"/>
      <c r="DE43" s="111" t="n"/>
      <c r="DF43" s="111" t="n"/>
      <c r="DG43" s="111" t="n"/>
      <c r="DH43" s="111" t="n"/>
      <c r="DI43" s="111" t="n"/>
      <c r="DJ43" s="111" t="n"/>
      <c r="DK43" s="111" t="n"/>
      <c r="DL43" s="111" t="n"/>
      <c r="DM43" s="111" t="n"/>
      <c r="DN43" s="111" t="n"/>
      <c r="DO43" s="111" t="n"/>
      <c r="DP43" s="111" t="n"/>
      <c r="DQ43" s="111" t="n"/>
      <c r="DR43" s="111" t="n"/>
      <c r="DS43" s="111" t="n"/>
      <c r="DT43" s="111" t="n"/>
      <c r="DU43" s="111" t="n"/>
      <c r="DV43" s="111" t="n"/>
      <c r="DW43" s="111" t="n"/>
      <c r="DX43" s="111" t="n"/>
      <c r="DY43" s="111" t="n"/>
      <c r="DZ43" s="111" t="n"/>
      <c r="EA43" s="111" t="n"/>
      <c r="EB43" s="111" t="n"/>
      <c r="EC43" s="111" t="n"/>
      <c r="ED43" s="111" t="n"/>
      <c r="EE43" s="111" t="n"/>
      <c r="EF43" s="111" t="n"/>
      <c r="EG43" s="111" t="n"/>
      <c r="EH43" s="111" t="n"/>
      <c r="EI43" s="111" t="n"/>
      <c r="EJ43" s="111" t="n"/>
      <c r="EK43" s="111" t="n"/>
      <c r="EL43" s="111" t="n"/>
      <c r="EM43" s="111" t="n"/>
      <c r="EN43" s="111" t="n"/>
      <c r="EO43" s="111" t="n"/>
      <c r="EP43" s="111" t="n"/>
      <c r="EQ43" s="111" t="n"/>
      <c r="ER43" s="111" t="n"/>
      <c r="ES43" s="111" t="n"/>
      <c r="ET43" s="111" t="n"/>
      <c r="EU43" s="111" t="n"/>
      <c r="EV43" s="111" t="n"/>
      <c r="EW43" s="111" t="n"/>
      <c r="EX43" s="111" t="n"/>
      <c r="EY43" s="111" t="n"/>
      <c r="EZ43" s="111" t="n"/>
      <c r="FA43" s="111" t="n"/>
      <c r="FB43" s="111" t="n"/>
      <c r="FC43" s="111" t="n"/>
      <c r="FD43" s="111" t="n"/>
      <c r="FE43" s="111" t="n"/>
      <c r="FF43" s="111" t="n"/>
      <c r="FG43" s="111" t="n"/>
      <c r="FH43" s="111" t="n"/>
      <c r="FI43" s="111" t="n"/>
      <c r="FJ43" s="111" t="n"/>
      <c r="FK43" s="111" t="n"/>
      <c r="FL43" s="111" t="n"/>
      <c r="FM43" s="111" t="n"/>
      <c r="FN43" s="111" t="n"/>
      <c r="FO43" s="111" t="n"/>
      <c r="FP43" s="111" t="n"/>
      <c r="FQ43" s="111" t="n"/>
      <c r="FR43" s="111" t="n"/>
      <c r="FS43" s="111" t="n"/>
      <c r="FT43" s="111" t="n"/>
      <c r="FU43" s="111" t="n"/>
      <c r="FV43" s="111" t="n"/>
      <c r="FW43" s="111" t="n"/>
      <c r="FX43" s="111" t="n"/>
      <c r="FY43" s="111" t="n"/>
      <c r="FZ43" s="111" t="n"/>
      <c r="GA43" s="111" t="n"/>
      <c r="GB43" s="111" t="n"/>
      <c r="GC43" s="111" t="n"/>
      <c r="GD43" s="111" t="n"/>
      <c r="GE43" s="111" t="n"/>
      <c r="GF43" s="111" t="n"/>
      <c r="GG43" s="111" t="n"/>
      <c r="GH43" s="111" t="n"/>
      <c r="GI43" s="111" t="n"/>
      <c r="GJ43" s="111" t="n"/>
      <c r="GK43" s="111" t="n"/>
      <c r="GL43" s="111" t="n"/>
      <c r="GM43" s="111" t="n"/>
      <c r="GN43" s="111" t="n"/>
      <c r="GO43" s="111" t="n"/>
      <c r="GP43" s="111" t="n"/>
      <c r="GQ43" s="111" t="n"/>
      <c r="GR43" s="111" t="n"/>
      <c r="GS43" s="111" t="n"/>
      <c r="GT43" s="111" t="n"/>
      <c r="GU43" s="111" t="n"/>
      <c r="GV43" s="111" t="n"/>
      <c r="GW43" s="111" t="n"/>
      <c r="GX43" s="111" t="n"/>
      <c r="GY43" s="111" t="n"/>
      <c r="GZ43" s="111" t="n"/>
      <c r="HA43" s="111" t="n"/>
      <c r="HB43" s="111" t="n"/>
      <c r="HC43" s="111" t="n"/>
      <c r="HD43" s="111" t="n"/>
      <c r="HE43" s="111" t="n"/>
      <c r="HF43" s="111" t="n"/>
      <c r="HG43" s="111" t="n"/>
      <c r="HH43" s="111" t="n"/>
      <c r="HI43" s="111" t="n"/>
      <c r="HJ43" s="111" t="n"/>
      <c r="HK43" s="111" t="n"/>
      <c r="HL43" s="111" t="n"/>
      <c r="HM43" s="111" t="n"/>
      <c r="HN43" s="111" t="n"/>
      <c r="HO43" s="111" t="n"/>
      <c r="HP43" s="111" t="n"/>
      <c r="HQ43" s="111" t="n"/>
      <c r="HR43" s="111" t="n"/>
      <c r="HS43" s="111" t="n"/>
      <c r="HT43" s="111" t="n"/>
      <c r="HU43" s="111" t="n"/>
      <c r="HV43" s="111" t="n"/>
      <c r="HW43" s="111" t="n"/>
      <c r="HX43" s="111" t="n"/>
      <c r="HY43" s="111" t="n"/>
      <c r="HZ43" s="111" t="n"/>
      <c r="IA43" s="111" t="n"/>
      <c r="IB43" s="111" t="n"/>
      <c r="IC43" s="111" t="n"/>
      <c r="ID43" s="111" t="n"/>
      <c r="IE43" s="111" t="n"/>
      <c r="IF43" s="111" t="n"/>
      <c r="IG43" s="111" t="n"/>
      <c r="IH43" s="111" t="n"/>
      <c r="II43" s="111" t="n"/>
      <c r="IJ43" s="111" t="n"/>
      <c r="IK43" s="111" t="n"/>
      <c r="IL43" s="111" t="n"/>
      <c r="IM43" s="111" t="n"/>
      <c r="IN43" s="111" t="n"/>
      <c r="IO43" s="111" t="n"/>
      <c r="IP43" s="111" t="n"/>
      <c r="IQ43" s="111" t="n"/>
      <c r="IR43" s="111" t="n"/>
      <c r="IS43" s="111" t="n"/>
      <c r="IT43" s="111" t="n"/>
      <c r="IU43" s="111" t="n"/>
      <c r="IV43" s="111" t="n"/>
      <c r="IW43" s="111" t="n"/>
      <c r="IX43" s="111" t="n"/>
      <c r="IY43" s="111" t="n"/>
      <c r="IZ43" s="111" t="n"/>
      <c r="JA43" s="111" t="n"/>
      <c r="JB43" s="111" t="n"/>
      <c r="JC43" s="111" t="n"/>
      <c r="JD43" s="111" t="n"/>
      <c r="JE43" s="111" t="n"/>
      <c r="JF43" s="111" t="n"/>
      <c r="JG43" s="111" t="n"/>
      <c r="JH43" s="111" t="n"/>
      <c r="JI43" s="111" t="n"/>
      <c r="JJ43" s="111" t="n"/>
      <c r="JK43" s="111" t="n"/>
      <c r="JL43" s="111" t="n"/>
      <c r="JM43" s="111" t="n"/>
      <c r="JN43" s="111" t="n"/>
      <c r="JO43" s="111" t="n"/>
      <c r="JP43" s="111" t="n"/>
      <c r="JQ43" s="111" t="n"/>
      <c r="JR43" s="111" t="n"/>
      <c r="JS43" s="111" t="n"/>
      <c r="JT43" s="111" t="n"/>
      <c r="JU43" s="111" t="n"/>
      <c r="JV43" s="111" t="n"/>
      <c r="JW43" s="111" t="n"/>
      <c r="JX43" s="111" t="n"/>
      <c r="JY43" s="111" t="n"/>
      <c r="JZ43" s="111" t="n"/>
      <c r="KA43" s="111" t="n"/>
      <c r="KB43" s="111" t="n"/>
      <c r="KC43" s="111" t="n"/>
      <c r="KD43" s="111" t="n"/>
      <c r="KE43" s="111" t="n"/>
      <c r="KF43" s="111" t="n"/>
      <c r="KG43" s="111" t="n"/>
      <c r="KH43" s="111" t="n"/>
      <c r="KI43" s="111" t="n"/>
      <c r="KJ43" s="111" t="n"/>
      <c r="KK43" s="111" t="n"/>
      <c r="KL43" s="111" t="n"/>
      <c r="KM43" s="111" t="n"/>
      <c r="KN43" s="111" t="n"/>
      <c r="KO43" s="111" t="n"/>
      <c r="KP43" s="111" t="n"/>
      <c r="KQ43" s="111" t="n"/>
      <c r="KR43" s="111" t="n"/>
      <c r="KS43" s="111" t="n"/>
      <c r="KT43" s="111" t="n"/>
      <c r="KU43" s="111" t="n"/>
      <c r="KV43" s="111" t="n"/>
      <c r="KW43" s="111" t="n"/>
      <c r="KX43" s="111" t="n"/>
      <c r="KY43" s="111" t="n"/>
      <c r="KZ43" s="111" t="n"/>
      <c r="LA43" s="111" t="n"/>
      <c r="LB43" s="111" t="n"/>
      <c r="LC43" s="111" t="n"/>
      <c r="LD43" s="111" t="n"/>
      <c r="LE43" s="111" t="n"/>
      <c r="LF43" s="111" t="n"/>
      <c r="LG43" s="111" t="n"/>
      <c r="LH43" s="111" t="n"/>
      <c r="LI43" s="111" t="n"/>
      <c r="LJ43" s="111" t="n"/>
      <c r="LK43" s="111" t="n"/>
      <c r="LL43" s="111" t="n"/>
      <c r="LM43" s="111" t="n"/>
      <c r="LN43" s="111" t="n"/>
      <c r="LO43" s="111" t="n"/>
      <c r="LP43" s="111" t="n"/>
      <c r="LQ43" s="111" t="n"/>
      <c r="LR43" s="111" t="n"/>
      <c r="LS43" s="111" t="n"/>
      <c r="LT43" s="111" t="n"/>
      <c r="LU43" s="111" t="n"/>
      <c r="LV43" s="111" t="n"/>
      <c r="LW43" s="111" t="n"/>
      <c r="LX43" s="111" t="n"/>
      <c r="LY43" s="111" t="n"/>
      <c r="LZ43" s="111" t="n"/>
      <c r="MA43" s="111" t="n"/>
      <c r="MB43" s="111" t="n"/>
      <c r="MC43" s="111" t="n"/>
      <c r="MD43" s="111" t="n"/>
      <c r="ME43" s="111" t="n"/>
      <c r="MF43" s="111" t="n"/>
      <c r="MG43" s="111" t="n"/>
      <c r="MH43" s="111" t="n"/>
      <c r="MI43" s="111" t="n"/>
      <c r="MJ43" s="111" t="n"/>
      <c r="MK43" s="111" t="n"/>
      <c r="ML43" s="111" t="n"/>
      <c r="MM43" s="111" t="n"/>
      <c r="MN43" s="111" t="n"/>
      <c r="MO43" s="111" t="n"/>
      <c r="MP43" s="111" t="n"/>
      <c r="MQ43" s="111" t="n"/>
      <c r="MR43" s="111" t="n"/>
      <c r="MS43" s="111" t="n"/>
      <c r="MT43" s="111" t="n"/>
      <c r="MU43" s="111" t="n"/>
      <c r="MV43" s="111" t="n"/>
      <c r="MW43" s="111" t="n"/>
      <c r="MX43" s="111" t="n"/>
      <c r="MY43" s="111" t="n"/>
      <c r="MZ43" s="111" t="n"/>
      <c r="NA43" s="111" t="n"/>
      <c r="NB43" s="111" t="n"/>
      <c r="NC43" s="111" t="n"/>
      <c r="ND43" s="111" t="n"/>
      <c r="NE43" s="111" t="n"/>
      <c r="NF43" s="111" t="n"/>
      <c r="NG43" s="111" t="n"/>
      <c r="NH43" s="111" t="n"/>
      <c r="NI43" s="111" t="n"/>
      <c r="NJ43" s="111" t="n"/>
      <c r="NK43" s="111" t="n"/>
      <c r="NL43" s="111" t="n"/>
      <c r="NM43" s="111" t="n"/>
      <c r="NN43" s="111" t="n"/>
      <c r="NO43" s="111" t="n"/>
      <c r="NP43" s="111" t="n"/>
      <c r="NQ43" s="111" t="n"/>
    </row>
    <row r="44" customFormat="1" s="17">
      <c r="A44" s="33">
        <f>IF(ISERROR(VALUE(SUBSTITUTE(OFFSET(A44,-1,0,1,1),".",""))),"0.1",IF(ISERROR(FIND("`",SUBSTITUTE(OFFSET(A44,-1,0,1,1),".","`",1))),OFFSET(A44,-1,0,1,1)&amp;".1",LEFT(OFFSET(A44,-1,0,1,1),FIND("`",SUBSTITUTE(OFFSET(A44,-1,0,1,1),".","`",1)))&amp;IF(ISERROR(FIND("`",SUBSTITUTE(OFFSET(A44,-1,0,1,1),".","`",2))),VALUE(RIGHT(OFFSET(A44,-1,0,1,1),LEN(OFFSET(A44,-1,0,1,1))-FIND("`",SUBSTITUTE(OFFSET(A44,-1,0,1,1),".","`",1))))+1,VALUE(MID(OFFSET(A44,-1,0,1,1),FIND("`",SUBSTITUTE(OFFSET(A44,-1,0,1,1),".","`",1))+1,(FIND("`",SUBSTITUTE(OFFSET(A44,-1,0,1,1),".","`",2))-FIND("`",SUBSTITUTE(OFFSET(A44,-1,0,1,1),".","`",1))-1)))+1)))</f>
        <v/>
      </c>
      <c r="B44" s="10" t="inlineStr">
        <is>
          <t>[ Level 2 Task ]</t>
        </is>
      </c>
      <c r="C44" s="11" t="n"/>
      <c r="D44" s="37" t="n"/>
      <c r="E44" s="37" t="n"/>
      <c r="F44" s="37" t="n"/>
      <c r="G44" s="274">
        <f>$G$6</f>
        <v/>
      </c>
      <c r="H44" s="275">
        <f>IF(K44=0,G44,WORKDAY(IF(WEEKDAY(G44,1)=7,G44+2,IF(WEEKDAY(G44,1)=1,G44+1,G44)),K44-1,holidays))</f>
        <v/>
      </c>
      <c r="I44" s="272" t="n"/>
      <c r="J44" s="272" t="n"/>
      <c r="K44" s="79" t="n">
        <v>1</v>
      </c>
      <c r="L44" s="80" t="n"/>
      <c r="M44" s="14">
        <f>IF(OR(G44=0,H44=0),0,H44-G44+1)</f>
        <v/>
      </c>
      <c r="N44" s="15">
        <f>MIN(M44,WORKDAY(G44,ROUNDDOWN(L44*K44,0),holidays)-G44)</f>
        <v/>
      </c>
      <c r="O44" s="14">
        <f>M44-N44</f>
        <v/>
      </c>
      <c r="P44" s="113" t="n"/>
      <c r="Q44" s="17"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1" t="n"/>
      <c r="CF44" s="111" t="n"/>
      <c r="CG44" s="111" t="n"/>
      <c r="CH44" s="111" t="n"/>
      <c r="CI44" s="111" t="n"/>
      <c r="CJ44" s="111" t="n"/>
      <c r="CK44" s="111" t="n"/>
      <c r="CL44" s="111" t="n"/>
      <c r="CM44" s="111" t="n"/>
      <c r="CN44" s="111" t="n"/>
      <c r="CO44" s="111" t="n"/>
      <c r="CP44" s="111" t="n"/>
      <c r="CQ44" s="111" t="n"/>
      <c r="CR44" s="111" t="n"/>
      <c r="CS44" s="111" t="n"/>
      <c r="CT44" s="111" t="n"/>
      <c r="CU44" s="111" t="n"/>
      <c r="CV44" s="111" t="n"/>
      <c r="CW44" s="111" t="n"/>
      <c r="CX44" s="111" t="n"/>
      <c r="CY44" s="111" t="n"/>
      <c r="CZ44" s="111" t="n"/>
      <c r="DA44" s="111" t="n"/>
      <c r="DB44" s="111" t="n"/>
      <c r="DC44" s="111" t="n"/>
      <c r="DD44" s="111" t="n"/>
      <c r="DE44" s="111" t="n"/>
      <c r="DF44" s="111" t="n"/>
      <c r="DG44" s="111" t="n"/>
      <c r="DH44" s="111" t="n"/>
      <c r="DI44" s="111" t="n"/>
      <c r="DJ44" s="111" t="n"/>
      <c r="DK44" s="111" t="n"/>
      <c r="DL44" s="111" t="n"/>
      <c r="DM44" s="111" t="n"/>
      <c r="DN44" s="111" t="n"/>
      <c r="DO44" s="111" t="n"/>
      <c r="DP44" s="111" t="n"/>
      <c r="DQ44" s="111" t="n"/>
      <c r="DR44" s="111" t="n"/>
      <c r="DS44" s="111" t="n"/>
      <c r="DT44" s="111" t="n"/>
      <c r="DU44" s="111" t="n"/>
      <c r="DV44" s="111" t="n"/>
      <c r="DW44" s="111" t="n"/>
      <c r="DX44" s="111" t="n"/>
      <c r="DY44" s="111" t="n"/>
      <c r="DZ44" s="111" t="n"/>
      <c r="EA44" s="111" t="n"/>
      <c r="EB44" s="111" t="n"/>
      <c r="EC44" s="111" t="n"/>
      <c r="ED44" s="111" t="n"/>
      <c r="EE44" s="111" t="n"/>
      <c r="EF44" s="111" t="n"/>
      <c r="EG44" s="111" t="n"/>
      <c r="EH44" s="111" t="n"/>
      <c r="EI44" s="111" t="n"/>
      <c r="EJ44" s="111" t="n"/>
      <c r="EK44" s="111" t="n"/>
      <c r="EL44" s="111" t="n"/>
      <c r="EM44" s="111" t="n"/>
      <c r="EN44" s="111" t="n"/>
      <c r="EO44" s="111" t="n"/>
      <c r="EP44" s="111" t="n"/>
      <c r="EQ44" s="111" t="n"/>
      <c r="ER44" s="111" t="n"/>
      <c r="ES44" s="111" t="n"/>
      <c r="ET44" s="111" t="n"/>
      <c r="EU44" s="111" t="n"/>
      <c r="EV44" s="111" t="n"/>
      <c r="EW44" s="111" t="n"/>
      <c r="EX44" s="111" t="n"/>
      <c r="EY44" s="111" t="n"/>
      <c r="EZ44" s="111" t="n"/>
      <c r="FA44" s="111" t="n"/>
      <c r="FB44" s="111" t="n"/>
      <c r="FC44" s="111" t="n"/>
      <c r="FD44" s="111" t="n"/>
      <c r="FE44" s="111" t="n"/>
      <c r="FF44" s="111" t="n"/>
      <c r="FG44" s="111" t="n"/>
      <c r="FH44" s="111" t="n"/>
      <c r="FI44" s="111" t="n"/>
      <c r="FJ44" s="111" t="n"/>
      <c r="FK44" s="111" t="n"/>
      <c r="FL44" s="111" t="n"/>
      <c r="FM44" s="111" t="n"/>
      <c r="FN44" s="111" t="n"/>
      <c r="FO44" s="111" t="n"/>
      <c r="FP44" s="111" t="n"/>
      <c r="FQ44" s="111" t="n"/>
      <c r="FR44" s="111" t="n"/>
      <c r="FS44" s="111" t="n"/>
      <c r="FT44" s="111" t="n"/>
      <c r="FU44" s="111" t="n"/>
      <c r="FV44" s="111" t="n"/>
      <c r="FW44" s="111" t="n"/>
      <c r="FX44" s="111" t="n"/>
      <c r="FY44" s="111" t="n"/>
      <c r="FZ44" s="111" t="n"/>
      <c r="GA44" s="111" t="n"/>
      <c r="GB44" s="111" t="n"/>
      <c r="GC44" s="111" t="n"/>
      <c r="GD44" s="111" t="n"/>
      <c r="GE44" s="111" t="n"/>
      <c r="GF44" s="111" t="n"/>
      <c r="GG44" s="111" t="n"/>
      <c r="GH44" s="111" t="n"/>
      <c r="GI44" s="111" t="n"/>
      <c r="GJ44" s="111" t="n"/>
      <c r="GK44" s="111" t="n"/>
      <c r="GL44" s="111" t="n"/>
      <c r="GM44" s="111" t="n"/>
      <c r="GN44" s="111" t="n"/>
      <c r="GO44" s="111" t="n"/>
      <c r="GP44" s="111" t="n"/>
      <c r="GQ44" s="111" t="n"/>
      <c r="GR44" s="111" t="n"/>
      <c r="GS44" s="111" t="n"/>
      <c r="GT44" s="111" t="n"/>
      <c r="GU44" s="111" t="n"/>
      <c r="GV44" s="111" t="n"/>
      <c r="GW44" s="111" t="n"/>
      <c r="GX44" s="111" t="n"/>
      <c r="GY44" s="111" t="n"/>
      <c r="GZ44" s="111" t="n"/>
      <c r="HA44" s="111" t="n"/>
      <c r="HB44" s="111" t="n"/>
      <c r="HC44" s="111" t="n"/>
      <c r="HD44" s="111" t="n"/>
      <c r="HE44" s="111" t="n"/>
      <c r="HF44" s="111" t="n"/>
      <c r="HG44" s="111" t="n"/>
      <c r="HH44" s="111" t="n"/>
      <c r="HI44" s="111" t="n"/>
      <c r="HJ44" s="111" t="n"/>
      <c r="HK44" s="111" t="n"/>
      <c r="HL44" s="111" t="n"/>
      <c r="HM44" s="111" t="n"/>
      <c r="HN44" s="111" t="n"/>
      <c r="HO44" s="111" t="n"/>
      <c r="HP44" s="111" t="n"/>
      <c r="HQ44" s="111" t="n"/>
      <c r="HR44" s="111" t="n"/>
      <c r="HS44" s="111" t="n"/>
      <c r="HT44" s="111" t="n"/>
      <c r="HU44" s="111" t="n"/>
      <c r="HV44" s="111" t="n"/>
      <c r="HW44" s="111" t="n"/>
      <c r="HX44" s="111" t="n"/>
      <c r="HY44" s="111" t="n"/>
      <c r="HZ44" s="111" t="n"/>
      <c r="IA44" s="111" t="n"/>
      <c r="IB44" s="111" t="n"/>
      <c r="IC44" s="111" t="n"/>
      <c r="ID44" s="111" t="n"/>
      <c r="IE44" s="111" t="n"/>
      <c r="IF44" s="111" t="n"/>
      <c r="IG44" s="111" t="n"/>
      <c r="IH44" s="111" t="n"/>
      <c r="II44" s="111" t="n"/>
      <c r="IJ44" s="111" t="n"/>
      <c r="IK44" s="111" t="n"/>
      <c r="IL44" s="111" t="n"/>
      <c r="IM44" s="111" t="n"/>
      <c r="IN44" s="111" t="n"/>
      <c r="IO44" s="111" t="n"/>
      <c r="IP44" s="111" t="n"/>
      <c r="IQ44" s="111" t="n"/>
      <c r="IR44" s="111" t="n"/>
      <c r="IS44" s="111" t="n"/>
      <c r="IT44" s="111" t="n"/>
      <c r="IU44" s="111" t="n"/>
      <c r="IV44" s="111" t="n"/>
      <c r="IW44" s="111" t="n"/>
      <c r="IX44" s="111" t="n"/>
      <c r="IY44" s="111" t="n"/>
      <c r="IZ44" s="111" t="n"/>
      <c r="JA44" s="111" t="n"/>
      <c r="JB44" s="111" t="n"/>
      <c r="JC44" s="111" t="n"/>
      <c r="JD44" s="111" t="n"/>
      <c r="JE44" s="111" t="n"/>
      <c r="JF44" s="111" t="n"/>
      <c r="JG44" s="111" t="n"/>
      <c r="JH44" s="111" t="n"/>
      <c r="JI44" s="111" t="n"/>
      <c r="JJ44" s="111" t="n"/>
      <c r="JK44" s="111" t="n"/>
      <c r="JL44" s="111" t="n"/>
      <c r="JM44" s="111" t="n"/>
      <c r="JN44" s="111" t="n"/>
      <c r="JO44" s="111" t="n"/>
      <c r="JP44" s="111" t="n"/>
      <c r="JQ44" s="111" t="n"/>
      <c r="JR44" s="111" t="n"/>
      <c r="JS44" s="111" t="n"/>
      <c r="JT44" s="111" t="n"/>
      <c r="JU44" s="111" t="n"/>
      <c r="JV44" s="111" t="n"/>
      <c r="JW44" s="111" t="n"/>
      <c r="JX44" s="111" t="n"/>
      <c r="JY44" s="111" t="n"/>
      <c r="JZ44" s="111" t="n"/>
      <c r="KA44" s="111" t="n"/>
      <c r="KB44" s="111" t="n"/>
      <c r="KC44" s="111" t="n"/>
      <c r="KD44" s="111" t="n"/>
      <c r="KE44" s="111" t="n"/>
      <c r="KF44" s="111" t="n"/>
      <c r="KG44" s="111" t="n"/>
      <c r="KH44" s="111" t="n"/>
      <c r="KI44" s="111" t="n"/>
      <c r="KJ44" s="111" t="n"/>
      <c r="KK44" s="111" t="n"/>
      <c r="KL44" s="111" t="n"/>
      <c r="KM44" s="111" t="n"/>
      <c r="KN44" s="111" t="n"/>
      <c r="KO44" s="111" t="n"/>
      <c r="KP44" s="111" t="n"/>
      <c r="KQ44" s="111" t="n"/>
      <c r="KR44" s="111" t="n"/>
      <c r="KS44" s="111" t="n"/>
      <c r="KT44" s="111" t="n"/>
      <c r="KU44" s="111" t="n"/>
      <c r="KV44" s="111" t="n"/>
      <c r="KW44" s="111" t="n"/>
      <c r="KX44" s="111" t="n"/>
      <c r="KY44" s="111" t="n"/>
      <c r="KZ44" s="111" t="n"/>
      <c r="LA44" s="111" t="n"/>
      <c r="LB44" s="111" t="n"/>
      <c r="LC44" s="111" t="n"/>
      <c r="LD44" s="111" t="n"/>
      <c r="LE44" s="111" t="n"/>
      <c r="LF44" s="111" t="n"/>
      <c r="LG44" s="111" t="n"/>
      <c r="LH44" s="111" t="n"/>
      <c r="LI44" s="111" t="n"/>
      <c r="LJ44" s="111" t="n"/>
      <c r="LK44" s="111" t="n"/>
      <c r="LL44" s="111" t="n"/>
      <c r="LM44" s="111" t="n"/>
      <c r="LN44" s="111" t="n"/>
      <c r="LO44" s="111" t="n"/>
      <c r="LP44" s="111" t="n"/>
      <c r="LQ44" s="111" t="n"/>
      <c r="LR44" s="111" t="n"/>
      <c r="LS44" s="111" t="n"/>
      <c r="LT44" s="111" t="n"/>
      <c r="LU44" s="111" t="n"/>
      <c r="LV44" s="111" t="n"/>
      <c r="LW44" s="111" t="n"/>
      <c r="LX44" s="111" t="n"/>
      <c r="LY44" s="111" t="n"/>
      <c r="LZ44" s="111" t="n"/>
      <c r="MA44" s="111" t="n"/>
      <c r="MB44" s="111" t="n"/>
      <c r="MC44" s="111" t="n"/>
      <c r="MD44" s="111" t="n"/>
      <c r="ME44" s="111" t="n"/>
      <c r="MF44" s="111" t="n"/>
      <c r="MG44" s="111" t="n"/>
      <c r="MH44" s="111" t="n"/>
      <c r="MI44" s="111" t="n"/>
      <c r="MJ44" s="111" t="n"/>
      <c r="MK44" s="111" t="n"/>
      <c r="ML44" s="111" t="n"/>
      <c r="MM44" s="111" t="n"/>
      <c r="MN44" s="111" t="n"/>
      <c r="MO44" s="111" t="n"/>
      <c r="MP44" s="111" t="n"/>
      <c r="MQ44" s="111" t="n"/>
      <c r="MR44" s="111" t="n"/>
      <c r="MS44" s="111" t="n"/>
      <c r="MT44" s="111" t="n"/>
      <c r="MU44" s="111" t="n"/>
      <c r="MV44" s="111" t="n"/>
      <c r="MW44" s="111" t="n"/>
      <c r="MX44" s="111" t="n"/>
      <c r="MY44" s="111" t="n"/>
      <c r="MZ44" s="111" t="n"/>
      <c r="NA44" s="111" t="n"/>
      <c r="NB44" s="111" t="n"/>
      <c r="NC44" s="111" t="n"/>
      <c r="ND44" s="111" t="n"/>
      <c r="NE44" s="111" t="n"/>
      <c r="NF44" s="111" t="n"/>
      <c r="NG44" s="111" t="n"/>
      <c r="NH44" s="111" t="n"/>
      <c r="NI44" s="111" t="n"/>
      <c r="NJ44" s="111" t="n"/>
      <c r="NK44" s="111" t="n"/>
      <c r="NL44" s="111" t="n"/>
      <c r="NM44" s="111" t="n"/>
      <c r="NN44" s="111" t="n"/>
      <c r="NO44" s="111" t="n"/>
      <c r="NP44" s="111" t="n"/>
      <c r="NQ44" s="111" t="n"/>
    </row>
    <row r="45" customFormat="1" s="17">
      <c r="A45" s="33">
        <f>IF(ISERROR(VALUE(SUBSTITUTE(OFFSET(A45,-1,0,1,1),".",""))),"0.1",IF(ISERROR(FIND("`",SUBSTITUTE(OFFSET(A45,-1,0,1,1),".","`",1))),OFFSET(A45,-1,0,1,1)&amp;".1",LEFT(OFFSET(A45,-1,0,1,1),FIND("`",SUBSTITUTE(OFFSET(A45,-1,0,1,1),".","`",1)))&amp;IF(ISERROR(FIND("`",SUBSTITUTE(OFFSET(A45,-1,0,1,1),".","`",2))),VALUE(RIGHT(OFFSET(A45,-1,0,1,1),LEN(OFFSET(A45,-1,0,1,1))-FIND("`",SUBSTITUTE(OFFSET(A45,-1,0,1,1),".","`",1))))+1,VALUE(MID(OFFSET(A45,-1,0,1,1),FIND("`",SUBSTITUTE(OFFSET(A45,-1,0,1,1),".","`",1))+1,(FIND("`",SUBSTITUTE(OFFSET(A45,-1,0,1,1),".","`",2))-FIND("`",SUBSTITUTE(OFFSET(A45,-1,0,1,1),".","`",1))-1)))+1)))</f>
        <v/>
      </c>
      <c r="B45" s="10" t="inlineStr">
        <is>
          <t>[ Level 2 Task ]</t>
        </is>
      </c>
      <c r="C45" s="11" t="n"/>
      <c r="D45" s="37" t="n"/>
      <c r="E45" s="37" t="n"/>
      <c r="F45" s="37" t="n"/>
      <c r="G45" s="274">
        <f>$G$6</f>
        <v/>
      </c>
      <c r="H45" s="275">
        <f>IF(K45=0,G45,WORKDAY(IF(WEEKDAY(G45,1)=7,G45+2,IF(WEEKDAY(G45,1)=1,G45+1,G45)),K45-1,holidays))</f>
        <v/>
      </c>
      <c r="I45" s="272" t="n"/>
      <c r="J45" s="272" t="n"/>
      <c r="K45" s="79" t="n">
        <v>1</v>
      </c>
      <c r="L45" s="80" t="n"/>
      <c r="M45" s="14">
        <f>IF(OR(G45=0,H45=0),0,H45-G45+1)</f>
        <v/>
      </c>
      <c r="N45" s="15">
        <f>MIN(M45,WORKDAY(G45,ROUNDDOWN(L45*K45,0),holidays)-G45)</f>
        <v/>
      </c>
      <c r="O45" s="14">
        <f>M45-N45</f>
        <v/>
      </c>
      <c r="P45" s="113" t="n"/>
      <c r="Q45" s="17" t="n"/>
      <c r="R45" s="111" t="n"/>
      <c r="S45" s="111" t="n"/>
      <c r="T45" s="111" t="n"/>
      <c r="U45" s="111" t="n"/>
      <c r="V45" s="111" t="n"/>
      <c r="W45" s="111" t="n"/>
      <c r="X45" s="111" t="n"/>
      <c r="Y45" s="111" t="n"/>
      <c r="Z45" s="111" t="n"/>
      <c r="AA45" s="111" t="n"/>
      <c r="AB45" s="111" t="n"/>
      <c r="AC45" s="111" t="n"/>
      <c r="AD45" s="111" t="n"/>
      <c r="AE45" s="111" t="n"/>
      <c r="AF45" s="111" t="n"/>
      <c r="AG45" s="111" t="n"/>
      <c r="AH45" s="111" t="n"/>
      <c r="AI45" s="111" t="n"/>
      <c r="AJ45" s="111" t="n"/>
      <c r="AK45" s="111" t="n"/>
      <c r="AL45" s="111" t="n"/>
      <c r="AM45" s="111" t="n"/>
      <c r="AN45" s="111" t="n"/>
      <c r="AO45" s="111" t="n"/>
      <c r="AP45" s="111" t="n"/>
      <c r="AQ45" s="111" t="n"/>
      <c r="AR45" s="111" t="n"/>
      <c r="AS45" s="111" t="n"/>
      <c r="AT45" s="111" t="n"/>
      <c r="AU45" s="111" t="n"/>
      <c r="AV45" s="111" t="n"/>
      <c r="AW45" s="111" t="n"/>
      <c r="AX45" s="111" t="n"/>
      <c r="AY45" s="111" t="n"/>
      <c r="AZ45" s="111"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1" t="n"/>
      <c r="CF45" s="111" t="n"/>
      <c r="CG45" s="111" t="n"/>
      <c r="CH45" s="111" t="n"/>
      <c r="CI45" s="111" t="n"/>
      <c r="CJ45" s="111" t="n"/>
      <c r="CK45" s="111" t="n"/>
      <c r="CL45" s="111" t="n"/>
      <c r="CM45" s="111" t="n"/>
      <c r="CN45" s="111" t="n"/>
      <c r="CO45" s="111" t="n"/>
      <c r="CP45" s="111" t="n"/>
      <c r="CQ45" s="111" t="n"/>
      <c r="CR45" s="111" t="n"/>
      <c r="CS45" s="111" t="n"/>
      <c r="CT45" s="111" t="n"/>
      <c r="CU45" s="111" t="n"/>
      <c r="CV45" s="111" t="n"/>
      <c r="CW45" s="111" t="n"/>
      <c r="CX45" s="111" t="n"/>
      <c r="CY45" s="111" t="n"/>
      <c r="CZ45" s="111" t="n"/>
      <c r="DA45" s="111" t="n"/>
      <c r="DB45" s="111" t="n"/>
      <c r="DC45" s="111" t="n"/>
      <c r="DD45" s="111" t="n"/>
      <c r="DE45" s="111" t="n"/>
      <c r="DF45" s="111" t="n"/>
      <c r="DG45" s="111" t="n"/>
      <c r="DH45" s="111" t="n"/>
      <c r="DI45" s="111" t="n"/>
      <c r="DJ45" s="111" t="n"/>
      <c r="DK45" s="111" t="n"/>
      <c r="DL45" s="111" t="n"/>
      <c r="DM45" s="111" t="n"/>
      <c r="DN45" s="111" t="n"/>
      <c r="DO45" s="111" t="n"/>
      <c r="DP45" s="111" t="n"/>
      <c r="DQ45" s="111" t="n"/>
      <c r="DR45" s="111" t="n"/>
      <c r="DS45" s="111" t="n"/>
      <c r="DT45" s="111" t="n"/>
      <c r="DU45" s="111" t="n"/>
      <c r="DV45" s="111" t="n"/>
      <c r="DW45" s="111" t="n"/>
      <c r="DX45" s="111" t="n"/>
      <c r="DY45" s="111" t="n"/>
      <c r="DZ45" s="111" t="n"/>
      <c r="EA45" s="111" t="n"/>
      <c r="EB45" s="111" t="n"/>
      <c r="EC45" s="111" t="n"/>
      <c r="ED45" s="111" t="n"/>
      <c r="EE45" s="111" t="n"/>
      <c r="EF45" s="111" t="n"/>
      <c r="EG45" s="111" t="n"/>
      <c r="EH45" s="111" t="n"/>
      <c r="EI45" s="111" t="n"/>
      <c r="EJ45" s="111" t="n"/>
      <c r="EK45" s="111" t="n"/>
      <c r="EL45" s="111" t="n"/>
      <c r="EM45" s="111" t="n"/>
      <c r="EN45" s="111" t="n"/>
      <c r="EO45" s="111" t="n"/>
      <c r="EP45" s="111" t="n"/>
      <c r="EQ45" s="111" t="n"/>
      <c r="ER45" s="111" t="n"/>
      <c r="ES45" s="111" t="n"/>
      <c r="ET45" s="111" t="n"/>
      <c r="EU45" s="111" t="n"/>
      <c r="EV45" s="111" t="n"/>
      <c r="EW45" s="111" t="n"/>
      <c r="EX45" s="111" t="n"/>
      <c r="EY45" s="111" t="n"/>
      <c r="EZ45" s="111" t="n"/>
      <c r="FA45" s="111" t="n"/>
      <c r="FB45" s="111" t="n"/>
      <c r="FC45" s="111" t="n"/>
      <c r="FD45" s="111" t="n"/>
      <c r="FE45" s="111" t="n"/>
      <c r="FF45" s="111" t="n"/>
      <c r="FG45" s="111" t="n"/>
      <c r="FH45" s="111" t="n"/>
      <c r="FI45" s="111" t="n"/>
      <c r="FJ45" s="111" t="n"/>
      <c r="FK45" s="111" t="n"/>
      <c r="FL45" s="111" t="n"/>
      <c r="FM45" s="111" t="n"/>
      <c r="FN45" s="111" t="n"/>
      <c r="FO45" s="111" t="n"/>
      <c r="FP45" s="111" t="n"/>
      <c r="FQ45" s="111" t="n"/>
      <c r="FR45" s="111" t="n"/>
      <c r="FS45" s="111" t="n"/>
      <c r="FT45" s="111" t="n"/>
      <c r="FU45" s="111" t="n"/>
      <c r="FV45" s="111" t="n"/>
      <c r="FW45" s="111" t="n"/>
      <c r="FX45" s="111" t="n"/>
      <c r="FY45" s="111" t="n"/>
      <c r="FZ45" s="111" t="n"/>
      <c r="GA45" s="111" t="n"/>
      <c r="GB45" s="111" t="n"/>
      <c r="GC45" s="111" t="n"/>
      <c r="GD45" s="111" t="n"/>
      <c r="GE45" s="111" t="n"/>
      <c r="GF45" s="111" t="n"/>
      <c r="GG45" s="111" t="n"/>
      <c r="GH45" s="111" t="n"/>
      <c r="GI45" s="111" t="n"/>
      <c r="GJ45" s="111" t="n"/>
      <c r="GK45" s="111" t="n"/>
      <c r="GL45" s="111" t="n"/>
      <c r="GM45" s="111" t="n"/>
      <c r="GN45" s="111" t="n"/>
      <c r="GO45" s="111" t="n"/>
      <c r="GP45" s="111" t="n"/>
      <c r="GQ45" s="111" t="n"/>
      <c r="GR45" s="111" t="n"/>
      <c r="GS45" s="111" t="n"/>
      <c r="GT45" s="111" t="n"/>
      <c r="GU45" s="111" t="n"/>
      <c r="GV45" s="111" t="n"/>
      <c r="GW45" s="111" t="n"/>
      <c r="GX45" s="111" t="n"/>
      <c r="GY45" s="111" t="n"/>
      <c r="GZ45" s="111" t="n"/>
      <c r="HA45" s="111" t="n"/>
      <c r="HB45" s="111" t="n"/>
      <c r="HC45" s="111" t="n"/>
      <c r="HD45" s="111" t="n"/>
      <c r="HE45" s="111" t="n"/>
      <c r="HF45" s="111" t="n"/>
      <c r="HG45" s="111" t="n"/>
      <c r="HH45" s="111" t="n"/>
      <c r="HI45" s="111" t="n"/>
      <c r="HJ45" s="111" t="n"/>
      <c r="HK45" s="111" t="n"/>
      <c r="HL45" s="111" t="n"/>
      <c r="HM45" s="111" t="n"/>
      <c r="HN45" s="111" t="n"/>
      <c r="HO45" s="111" t="n"/>
      <c r="HP45" s="111" t="n"/>
      <c r="HQ45" s="111" t="n"/>
      <c r="HR45" s="111" t="n"/>
      <c r="HS45" s="111" t="n"/>
      <c r="HT45" s="111" t="n"/>
      <c r="HU45" s="111" t="n"/>
      <c r="HV45" s="111" t="n"/>
      <c r="HW45" s="111" t="n"/>
      <c r="HX45" s="111" t="n"/>
      <c r="HY45" s="111" t="n"/>
      <c r="HZ45" s="111" t="n"/>
      <c r="IA45" s="111" t="n"/>
      <c r="IB45" s="111" t="n"/>
      <c r="IC45" s="111" t="n"/>
      <c r="ID45" s="111" t="n"/>
      <c r="IE45" s="111" t="n"/>
      <c r="IF45" s="111" t="n"/>
      <c r="IG45" s="111" t="n"/>
      <c r="IH45" s="111" t="n"/>
      <c r="II45" s="111" t="n"/>
      <c r="IJ45" s="111" t="n"/>
      <c r="IK45" s="111" t="n"/>
      <c r="IL45" s="111" t="n"/>
      <c r="IM45" s="111" t="n"/>
      <c r="IN45" s="111" t="n"/>
      <c r="IO45" s="111" t="n"/>
      <c r="IP45" s="111" t="n"/>
      <c r="IQ45" s="111" t="n"/>
      <c r="IR45" s="111" t="n"/>
      <c r="IS45" s="111" t="n"/>
      <c r="IT45" s="111" t="n"/>
      <c r="IU45" s="111" t="n"/>
      <c r="IV45" s="111" t="n"/>
      <c r="IW45" s="111" t="n"/>
      <c r="IX45" s="111" t="n"/>
      <c r="IY45" s="111" t="n"/>
      <c r="IZ45" s="111" t="n"/>
      <c r="JA45" s="111" t="n"/>
      <c r="JB45" s="111" t="n"/>
      <c r="JC45" s="111" t="n"/>
      <c r="JD45" s="111" t="n"/>
      <c r="JE45" s="111" t="n"/>
      <c r="JF45" s="111" t="n"/>
      <c r="JG45" s="111" t="n"/>
      <c r="JH45" s="111" t="n"/>
      <c r="JI45" s="111" t="n"/>
      <c r="JJ45" s="111" t="n"/>
      <c r="JK45" s="111" t="n"/>
      <c r="JL45" s="111" t="n"/>
      <c r="JM45" s="111" t="n"/>
      <c r="JN45" s="111" t="n"/>
      <c r="JO45" s="111" t="n"/>
      <c r="JP45" s="111" t="n"/>
      <c r="JQ45" s="111" t="n"/>
      <c r="JR45" s="111" t="n"/>
      <c r="JS45" s="111" t="n"/>
      <c r="JT45" s="111" t="n"/>
      <c r="JU45" s="111" t="n"/>
      <c r="JV45" s="111" t="n"/>
      <c r="JW45" s="111" t="n"/>
      <c r="JX45" s="111" t="n"/>
      <c r="JY45" s="111" t="n"/>
      <c r="JZ45" s="111" t="n"/>
      <c r="KA45" s="111" t="n"/>
      <c r="KB45" s="111" t="n"/>
      <c r="KC45" s="111" t="n"/>
      <c r="KD45" s="111" t="n"/>
      <c r="KE45" s="111" t="n"/>
      <c r="KF45" s="111" t="n"/>
      <c r="KG45" s="111" t="n"/>
      <c r="KH45" s="111" t="n"/>
      <c r="KI45" s="111" t="n"/>
      <c r="KJ45" s="111" t="n"/>
      <c r="KK45" s="111" t="n"/>
      <c r="KL45" s="111" t="n"/>
      <c r="KM45" s="111" t="n"/>
      <c r="KN45" s="111" t="n"/>
      <c r="KO45" s="111" t="n"/>
      <c r="KP45" s="111" t="n"/>
      <c r="KQ45" s="111" t="n"/>
      <c r="KR45" s="111" t="n"/>
      <c r="KS45" s="111" t="n"/>
      <c r="KT45" s="111" t="n"/>
      <c r="KU45" s="111" t="n"/>
      <c r="KV45" s="111" t="n"/>
      <c r="KW45" s="111" t="n"/>
      <c r="KX45" s="111" t="n"/>
      <c r="KY45" s="111" t="n"/>
      <c r="KZ45" s="111" t="n"/>
      <c r="LA45" s="111" t="n"/>
      <c r="LB45" s="111" t="n"/>
      <c r="LC45" s="111" t="n"/>
      <c r="LD45" s="111" t="n"/>
      <c r="LE45" s="111" t="n"/>
      <c r="LF45" s="111" t="n"/>
      <c r="LG45" s="111" t="n"/>
      <c r="LH45" s="111" t="n"/>
      <c r="LI45" s="111" t="n"/>
      <c r="LJ45" s="111" t="n"/>
      <c r="LK45" s="111" t="n"/>
      <c r="LL45" s="111" t="n"/>
      <c r="LM45" s="111" t="n"/>
      <c r="LN45" s="111" t="n"/>
      <c r="LO45" s="111" t="n"/>
      <c r="LP45" s="111" t="n"/>
      <c r="LQ45" s="111" t="n"/>
      <c r="LR45" s="111" t="n"/>
      <c r="LS45" s="111" t="n"/>
      <c r="LT45" s="111" t="n"/>
      <c r="LU45" s="111" t="n"/>
      <c r="LV45" s="111" t="n"/>
      <c r="LW45" s="111" t="n"/>
      <c r="LX45" s="111" t="n"/>
      <c r="LY45" s="111" t="n"/>
      <c r="LZ45" s="111" t="n"/>
      <c r="MA45" s="111" t="n"/>
      <c r="MB45" s="111" t="n"/>
      <c r="MC45" s="111" t="n"/>
      <c r="MD45" s="111" t="n"/>
      <c r="ME45" s="111" t="n"/>
      <c r="MF45" s="111" t="n"/>
      <c r="MG45" s="111" t="n"/>
      <c r="MH45" s="111" t="n"/>
      <c r="MI45" s="111" t="n"/>
      <c r="MJ45" s="111" t="n"/>
      <c r="MK45" s="111" t="n"/>
      <c r="ML45" s="111" t="n"/>
      <c r="MM45" s="111" t="n"/>
      <c r="MN45" s="111" t="n"/>
      <c r="MO45" s="111" t="n"/>
      <c r="MP45" s="111" t="n"/>
      <c r="MQ45" s="111" t="n"/>
      <c r="MR45" s="111" t="n"/>
      <c r="MS45" s="111" t="n"/>
      <c r="MT45" s="111" t="n"/>
      <c r="MU45" s="111" t="n"/>
      <c r="MV45" s="111" t="n"/>
      <c r="MW45" s="111" t="n"/>
      <c r="MX45" s="111" t="n"/>
      <c r="MY45" s="111" t="n"/>
      <c r="MZ45" s="111" t="n"/>
      <c r="NA45" s="111" t="n"/>
      <c r="NB45" s="111" t="n"/>
      <c r="NC45" s="111" t="n"/>
      <c r="ND45" s="111" t="n"/>
      <c r="NE45" s="111" t="n"/>
      <c r="NF45" s="111" t="n"/>
      <c r="NG45" s="111" t="n"/>
      <c r="NH45" s="111" t="n"/>
      <c r="NI45" s="111" t="n"/>
      <c r="NJ45" s="111" t="n"/>
      <c r="NK45" s="111" t="n"/>
      <c r="NL45" s="111" t="n"/>
      <c r="NM45" s="111" t="n"/>
      <c r="NN45" s="111" t="n"/>
      <c r="NO45" s="111" t="n"/>
      <c r="NP45" s="111" t="n"/>
      <c r="NQ45" s="111" t="n"/>
    </row>
    <row r="46" customFormat="1" s="17">
      <c r="A46" s="33">
        <f>IF(ISERROR(VALUE(SUBSTITUTE(OFFSET(A46,-1,0,1,1),".",""))),"0.1",IF(ISERROR(FIND("`",SUBSTITUTE(OFFSET(A46,-1,0,1,1),".","`",1))),OFFSET(A46,-1,0,1,1)&amp;".1",LEFT(OFFSET(A46,-1,0,1,1),FIND("`",SUBSTITUTE(OFFSET(A46,-1,0,1,1),".","`",1)))&amp;IF(ISERROR(FIND("`",SUBSTITUTE(OFFSET(A46,-1,0,1,1),".","`",2))),VALUE(RIGHT(OFFSET(A46,-1,0,1,1),LEN(OFFSET(A46,-1,0,1,1))-FIND("`",SUBSTITUTE(OFFSET(A46,-1,0,1,1),".","`",1))))+1,VALUE(MID(OFFSET(A46,-1,0,1,1),FIND("`",SUBSTITUTE(OFFSET(A46,-1,0,1,1),".","`",1))+1,(FIND("`",SUBSTITUTE(OFFSET(A46,-1,0,1,1),".","`",2))-FIND("`",SUBSTITUTE(OFFSET(A46,-1,0,1,1),".","`",1))-1)))+1)))</f>
        <v/>
      </c>
      <c r="B46" s="10" t="inlineStr">
        <is>
          <t>[ Level 2 Task ]</t>
        </is>
      </c>
      <c r="C46" s="11" t="n"/>
      <c r="D46" s="37" t="n"/>
      <c r="E46" s="37" t="n"/>
      <c r="F46" s="37" t="n"/>
      <c r="G46" s="274">
        <f>$G$6</f>
        <v/>
      </c>
      <c r="H46" s="275">
        <f>IF(K46=0,G46,WORKDAY(IF(WEEKDAY(G46,1)=7,G46+2,IF(WEEKDAY(G46,1)=1,G46+1,G46)),K46-1,holidays))</f>
        <v/>
      </c>
      <c r="I46" s="272" t="n"/>
      <c r="J46" s="272" t="n"/>
      <c r="K46" s="79" t="n">
        <v>1</v>
      </c>
      <c r="L46" s="80" t="n"/>
      <c r="M46" s="14">
        <f>IF(OR(G46=0,H46=0),0,H46-G46+1)</f>
        <v/>
      </c>
      <c r="N46" s="15">
        <f>MIN(M46,WORKDAY(G46,ROUNDDOWN(L46*K46,0),holidays)-G46)</f>
        <v/>
      </c>
      <c r="O46" s="14">
        <f>M46-N46</f>
        <v/>
      </c>
      <c r="P46" s="113" t="n"/>
      <c r="Q46" s="17" t="n"/>
      <c r="R46" s="111" t="n"/>
      <c r="S46" s="111" t="n"/>
      <c r="T46" s="111" t="n"/>
      <c r="U46" s="111" t="n"/>
      <c r="V46" s="111" t="n"/>
      <c r="W46" s="111" t="n"/>
      <c r="X46" s="111" t="n"/>
      <c r="Y46" s="111" t="n"/>
      <c r="Z46" s="111" t="n"/>
      <c r="AA46" s="111" t="n"/>
      <c r="AB46" s="111" t="n"/>
      <c r="AC46" s="111" t="n"/>
      <c r="AD46" s="111" t="n"/>
      <c r="AE46" s="111" t="n"/>
      <c r="AF46" s="111" t="n"/>
      <c r="AG46" s="111" t="n"/>
      <c r="AH46" s="111" t="n"/>
      <c r="AI46" s="111" t="n"/>
      <c r="AJ46" s="111" t="n"/>
      <c r="AK46" s="111" t="n"/>
      <c r="AL46" s="111" t="n"/>
      <c r="AM46" s="111" t="n"/>
      <c r="AN46" s="111" t="n"/>
      <c r="AO46" s="111" t="n"/>
      <c r="AP46" s="111" t="n"/>
      <c r="AQ46" s="111" t="n"/>
      <c r="AR46" s="111" t="n"/>
      <c r="AS46" s="111" t="n"/>
      <c r="AT46" s="111" t="n"/>
      <c r="AU46" s="111" t="n"/>
      <c r="AV46" s="111" t="n"/>
      <c r="AW46" s="111" t="n"/>
      <c r="AX46" s="111" t="n"/>
      <c r="AY46" s="111" t="n"/>
      <c r="AZ46" s="111"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1" t="n"/>
      <c r="CF46" s="111" t="n"/>
      <c r="CG46" s="111" t="n"/>
      <c r="CH46" s="111" t="n"/>
      <c r="CI46" s="111" t="n"/>
      <c r="CJ46" s="111" t="n"/>
      <c r="CK46" s="111" t="n"/>
      <c r="CL46" s="111" t="n"/>
      <c r="CM46" s="111" t="n"/>
      <c r="CN46" s="111" t="n"/>
      <c r="CO46" s="111" t="n"/>
      <c r="CP46" s="111" t="n"/>
      <c r="CQ46" s="111" t="n"/>
      <c r="CR46" s="111" t="n"/>
      <c r="CS46" s="111" t="n"/>
      <c r="CT46" s="111" t="n"/>
      <c r="CU46" s="111" t="n"/>
      <c r="CV46" s="111" t="n"/>
      <c r="CW46" s="111" t="n"/>
      <c r="CX46" s="111" t="n"/>
      <c r="CY46" s="111" t="n"/>
      <c r="CZ46" s="111" t="n"/>
      <c r="DA46" s="111" t="n"/>
      <c r="DB46" s="111" t="n"/>
      <c r="DC46" s="111" t="n"/>
      <c r="DD46" s="111" t="n"/>
      <c r="DE46" s="111" t="n"/>
      <c r="DF46" s="111" t="n"/>
      <c r="DG46" s="111" t="n"/>
      <c r="DH46" s="111" t="n"/>
      <c r="DI46" s="111" t="n"/>
      <c r="DJ46" s="111" t="n"/>
      <c r="DK46" s="111" t="n"/>
      <c r="DL46" s="111" t="n"/>
      <c r="DM46" s="111" t="n"/>
      <c r="DN46" s="111" t="n"/>
      <c r="DO46" s="111" t="n"/>
      <c r="DP46" s="111" t="n"/>
      <c r="DQ46" s="111" t="n"/>
      <c r="DR46" s="111" t="n"/>
      <c r="DS46" s="111" t="n"/>
      <c r="DT46" s="111" t="n"/>
      <c r="DU46" s="111" t="n"/>
      <c r="DV46" s="111" t="n"/>
      <c r="DW46" s="111" t="n"/>
      <c r="DX46" s="111" t="n"/>
      <c r="DY46" s="111" t="n"/>
      <c r="DZ46" s="111" t="n"/>
      <c r="EA46" s="111" t="n"/>
      <c r="EB46" s="111" t="n"/>
      <c r="EC46" s="111" t="n"/>
      <c r="ED46" s="111" t="n"/>
      <c r="EE46" s="111" t="n"/>
      <c r="EF46" s="111" t="n"/>
      <c r="EG46" s="111" t="n"/>
      <c r="EH46" s="111" t="n"/>
      <c r="EI46" s="111" t="n"/>
      <c r="EJ46" s="111" t="n"/>
      <c r="EK46" s="111" t="n"/>
      <c r="EL46" s="111" t="n"/>
      <c r="EM46" s="111" t="n"/>
      <c r="EN46" s="111" t="n"/>
      <c r="EO46" s="111" t="n"/>
      <c r="EP46" s="111" t="n"/>
      <c r="EQ46" s="111" t="n"/>
      <c r="ER46" s="111" t="n"/>
      <c r="ES46" s="111" t="n"/>
      <c r="ET46" s="111" t="n"/>
      <c r="EU46" s="111" t="n"/>
      <c r="EV46" s="111" t="n"/>
      <c r="EW46" s="111" t="n"/>
      <c r="EX46" s="111" t="n"/>
      <c r="EY46" s="111" t="n"/>
      <c r="EZ46" s="111" t="n"/>
      <c r="FA46" s="111" t="n"/>
      <c r="FB46" s="111" t="n"/>
      <c r="FC46" s="111" t="n"/>
      <c r="FD46" s="111" t="n"/>
      <c r="FE46" s="111" t="n"/>
      <c r="FF46" s="111" t="n"/>
      <c r="FG46" s="111" t="n"/>
      <c r="FH46" s="111" t="n"/>
      <c r="FI46" s="111" t="n"/>
      <c r="FJ46" s="111" t="n"/>
      <c r="FK46" s="111" t="n"/>
      <c r="FL46" s="111" t="n"/>
      <c r="FM46" s="111" t="n"/>
      <c r="FN46" s="111" t="n"/>
      <c r="FO46" s="111" t="n"/>
      <c r="FP46" s="111" t="n"/>
      <c r="FQ46" s="111" t="n"/>
      <c r="FR46" s="111" t="n"/>
      <c r="FS46" s="111" t="n"/>
      <c r="FT46" s="111" t="n"/>
      <c r="FU46" s="111" t="n"/>
      <c r="FV46" s="111" t="n"/>
      <c r="FW46" s="111" t="n"/>
      <c r="FX46" s="111" t="n"/>
      <c r="FY46" s="111" t="n"/>
      <c r="FZ46" s="111" t="n"/>
      <c r="GA46" s="111" t="n"/>
      <c r="GB46" s="111" t="n"/>
      <c r="GC46" s="111" t="n"/>
      <c r="GD46" s="111" t="n"/>
      <c r="GE46" s="111" t="n"/>
      <c r="GF46" s="111" t="n"/>
      <c r="GG46" s="111" t="n"/>
      <c r="GH46" s="111" t="n"/>
      <c r="GI46" s="111" t="n"/>
      <c r="GJ46" s="111" t="n"/>
      <c r="GK46" s="111" t="n"/>
      <c r="GL46" s="111" t="n"/>
      <c r="GM46" s="111" t="n"/>
      <c r="GN46" s="111" t="n"/>
      <c r="GO46" s="111" t="n"/>
      <c r="GP46" s="111" t="n"/>
      <c r="GQ46" s="111" t="n"/>
      <c r="GR46" s="111" t="n"/>
      <c r="GS46" s="111" t="n"/>
      <c r="GT46" s="111" t="n"/>
      <c r="GU46" s="111" t="n"/>
      <c r="GV46" s="111" t="n"/>
      <c r="GW46" s="111" t="n"/>
      <c r="GX46" s="111" t="n"/>
      <c r="GY46" s="111" t="n"/>
      <c r="GZ46" s="111" t="n"/>
      <c r="HA46" s="111" t="n"/>
      <c r="HB46" s="111" t="n"/>
      <c r="HC46" s="111" t="n"/>
      <c r="HD46" s="111" t="n"/>
      <c r="HE46" s="111" t="n"/>
      <c r="HF46" s="111" t="n"/>
      <c r="HG46" s="111" t="n"/>
      <c r="HH46" s="111" t="n"/>
      <c r="HI46" s="111" t="n"/>
      <c r="HJ46" s="111" t="n"/>
      <c r="HK46" s="111" t="n"/>
      <c r="HL46" s="111" t="n"/>
      <c r="HM46" s="111" t="n"/>
      <c r="HN46" s="111" t="n"/>
      <c r="HO46" s="111" t="n"/>
      <c r="HP46" s="111" t="n"/>
      <c r="HQ46" s="111" t="n"/>
      <c r="HR46" s="111" t="n"/>
      <c r="HS46" s="111" t="n"/>
      <c r="HT46" s="111" t="n"/>
      <c r="HU46" s="111" t="n"/>
      <c r="HV46" s="111" t="n"/>
      <c r="HW46" s="111" t="n"/>
      <c r="HX46" s="111" t="n"/>
      <c r="HY46" s="111" t="n"/>
      <c r="HZ46" s="111" t="n"/>
      <c r="IA46" s="111" t="n"/>
      <c r="IB46" s="111" t="n"/>
      <c r="IC46" s="111" t="n"/>
      <c r="ID46" s="111" t="n"/>
      <c r="IE46" s="111" t="n"/>
      <c r="IF46" s="111" t="n"/>
      <c r="IG46" s="111" t="n"/>
      <c r="IH46" s="111" t="n"/>
      <c r="II46" s="111" t="n"/>
      <c r="IJ46" s="111" t="n"/>
      <c r="IK46" s="111" t="n"/>
      <c r="IL46" s="111" t="n"/>
      <c r="IM46" s="111" t="n"/>
      <c r="IN46" s="111" t="n"/>
      <c r="IO46" s="111" t="n"/>
      <c r="IP46" s="111" t="n"/>
      <c r="IQ46" s="111" t="n"/>
      <c r="IR46" s="111" t="n"/>
      <c r="IS46" s="111" t="n"/>
      <c r="IT46" s="111" t="n"/>
      <c r="IU46" s="111" t="n"/>
      <c r="IV46" s="111" t="n"/>
      <c r="IW46" s="111" t="n"/>
      <c r="IX46" s="111" t="n"/>
      <c r="IY46" s="111" t="n"/>
      <c r="IZ46" s="111" t="n"/>
      <c r="JA46" s="111" t="n"/>
      <c r="JB46" s="111" t="n"/>
      <c r="JC46" s="111" t="n"/>
      <c r="JD46" s="111" t="n"/>
      <c r="JE46" s="111" t="n"/>
      <c r="JF46" s="111" t="n"/>
      <c r="JG46" s="111" t="n"/>
      <c r="JH46" s="111" t="n"/>
      <c r="JI46" s="111" t="n"/>
      <c r="JJ46" s="111" t="n"/>
      <c r="JK46" s="111" t="n"/>
      <c r="JL46" s="111" t="n"/>
      <c r="JM46" s="111" t="n"/>
      <c r="JN46" s="111" t="n"/>
      <c r="JO46" s="111" t="n"/>
      <c r="JP46" s="111" t="n"/>
      <c r="JQ46" s="111" t="n"/>
      <c r="JR46" s="111" t="n"/>
      <c r="JS46" s="111" t="n"/>
      <c r="JT46" s="111" t="n"/>
      <c r="JU46" s="111" t="n"/>
      <c r="JV46" s="111" t="n"/>
      <c r="JW46" s="111" t="n"/>
      <c r="JX46" s="111" t="n"/>
      <c r="JY46" s="111" t="n"/>
      <c r="JZ46" s="111" t="n"/>
      <c r="KA46" s="111" t="n"/>
      <c r="KB46" s="111" t="n"/>
      <c r="KC46" s="111" t="n"/>
      <c r="KD46" s="111" t="n"/>
      <c r="KE46" s="111" t="n"/>
      <c r="KF46" s="111" t="n"/>
      <c r="KG46" s="111" t="n"/>
      <c r="KH46" s="111" t="n"/>
      <c r="KI46" s="111" t="n"/>
      <c r="KJ46" s="111" t="n"/>
      <c r="KK46" s="111" t="n"/>
      <c r="KL46" s="111" t="n"/>
      <c r="KM46" s="111" t="n"/>
      <c r="KN46" s="111" t="n"/>
      <c r="KO46" s="111" t="n"/>
      <c r="KP46" s="111" t="n"/>
      <c r="KQ46" s="111" t="n"/>
      <c r="KR46" s="111" t="n"/>
      <c r="KS46" s="111" t="n"/>
      <c r="KT46" s="111" t="n"/>
      <c r="KU46" s="111" t="n"/>
      <c r="KV46" s="111" t="n"/>
      <c r="KW46" s="111" t="n"/>
      <c r="KX46" s="111" t="n"/>
      <c r="KY46" s="111" t="n"/>
      <c r="KZ46" s="111" t="n"/>
      <c r="LA46" s="111" t="n"/>
      <c r="LB46" s="111" t="n"/>
      <c r="LC46" s="111" t="n"/>
      <c r="LD46" s="111" t="n"/>
      <c r="LE46" s="111" t="n"/>
      <c r="LF46" s="111" t="n"/>
      <c r="LG46" s="111" t="n"/>
      <c r="LH46" s="111" t="n"/>
      <c r="LI46" s="111" t="n"/>
      <c r="LJ46" s="111" t="n"/>
      <c r="LK46" s="111" t="n"/>
      <c r="LL46" s="111" t="n"/>
      <c r="LM46" s="111" t="n"/>
      <c r="LN46" s="111" t="n"/>
      <c r="LO46" s="111" t="n"/>
      <c r="LP46" s="111" t="n"/>
      <c r="LQ46" s="111" t="n"/>
      <c r="LR46" s="111" t="n"/>
      <c r="LS46" s="111" t="n"/>
      <c r="LT46" s="111" t="n"/>
      <c r="LU46" s="111" t="n"/>
      <c r="LV46" s="111" t="n"/>
      <c r="LW46" s="111" t="n"/>
      <c r="LX46" s="111" t="n"/>
      <c r="LY46" s="111" t="n"/>
      <c r="LZ46" s="111" t="n"/>
      <c r="MA46" s="111" t="n"/>
      <c r="MB46" s="111" t="n"/>
      <c r="MC46" s="111" t="n"/>
      <c r="MD46" s="111" t="n"/>
      <c r="ME46" s="111" t="n"/>
      <c r="MF46" s="111" t="n"/>
      <c r="MG46" s="111" t="n"/>
      <c r="MH46" s="111" t="n"/>
      <c r="MI46" s="111" t="n"/>
      <c r="MJ46" s="111" t="n"/>
      <c r="MK46" s="111" t="n"/>
      <c r="ML46" s="111" t="n"/>
      <c r="MM46" s="111" t="n"/>
      <c r="MN46" s="111" t="n"/>
      <c r="MO46" s="111" t="n"/>
      <c r="MP46" s="111" t="n"/>
      <c r="MQ46" s="111" t="n"/>
      <c r="MR46" s="111" t="n"/>
      <c r="MS46" s="111" t="n"/>
      <c r="MT46" s="111" t="n"/>
      <c r="MU46" s="111" t="n"/>
      <c r="MV46" s="111" t="n"/>
      <c r="MW46" s="111" t="n"/>
      <c r="MX46" s="111" t="n"/>
      <c r="MY46" s="111" t="n"/>
      <c r="MZ46" s="111" t="n"/>
      <c r="NA46" s="111" t="n"/>
      <c r="NB46" s="111" t="n"/>
      <c r="NC46" s="111" t="n"/>
      <c r="ND46" s="111" t="n"/>
      <c r="NE46" s="111" t="n"/>
      <c r="NF46" s="111" t="n"/>
      <c r="NG46" s="111" t="n"/>
      <c r="NH46" s="111" t="n"/>
      <c r="NI46" s="111" t="n"/>
      <c r="NJ46" s="111" t="n"/>
      <c r="NK46" s="111" t="n"/>
      <c r="NL46" s="111" t="n"/>
      <c r="NM46" s="111" t="n"/>
      <c r="NN46" s="111" t="n"/>
      <c r="NO46" s="111" t="n"/>
      <c r="NP46" s="111" t="n"/>
      <c r="NQ46" s="111" t="n"/>
    </row>
    <row r="47" customFormat="1" s="17">
      <c r="A47" s="33">
        <f>IF(ISERROR(VALUE(SUBSTITUTE(OFFSET(A47,-1,0,1,1),".",""))),"0.1",IF(ISERROR(FIND("`",SUBSTITUTE(OFFSET(A47,-1,0,1,1),".","`",1))),OFFSET(A47,-1,0,1,1)&amp;".1",LEFT(OFFSET(A47,-1,0,1,1),FIND("`",SUBSTITUTE(OFFSET(A47,-1,0,1,1),".","`",1)))&amp;IF(ISERROR(FIND("`",SUBSTITUTE(OFFSET(A47,-1,0,1,1),".","`",2))),VALUE(RIGHT(OFFSET(A47,-1,0,1,1),LEN(OFFSET(A47,-1,0,1,1))-FIND("`",SUBSTITUTE(OFFSET(A47,-1,0,1,1),".","`",1))))+1,VALUE(MID(OFFSET(A47,-1,0,1,1),FIND("`",SUBSTITUTE(OFFSET(A47,-1,0,1,1),".","`",1))+1,(FIND("`",SUBSTITUTE(OFFSET(A47,-1,0,1,1),".","`",2))-FIND("`",SUBSTITUTE(OFFSET(A47,-1,0,1,1),".","`",1))-1)))+1)))</f>
        <v/>
      </c>
      <c r="B47" s="10" t="inlineStr">
        <is>
          <t>[ Level 2 Task ]</t>
        </is>
      </c>
      <c r="C47" s="11" t="n"/>
      <c r="D47" s="37" t="n"/>
      <c r="E47" s="37" t="n"/>
      <c r="F47" s="37" t="n"/>
      <c r="G47" s="274">
        <f>$G$6</f>
        <v/>
      </c>
      <c r="H47" s="275">
        <f>IF(K47=0,G47,WORKDAY(IF(WEEKDAY(G47,1)=7,G47+2,IF(WEEKDAY(G47,1)=1,G47+1,G47)),K47-1,holidays))</f>
        <v/>
      </c>
      <c r="I47" s="272" t="n"/>
      <c r="J47" s="272" t="n"/>
      <c r="K47" s="79" t="n">
        <v>1</v>
      </c>
      <c r="L47" s="80" t="n"/>
      <c r="M47" s="14">
        <f>IF(OR(G47=0,H47=0),0,H47-G47+1)</f>
        <v/>
      </c>
      <c r="N47" s="15">
        <f>MIN(M47,WORKDAY(G47,ROUNDDOWN(L47*K47,0),holidays)-G47)</f>
        <v/>
      </c>
      <c r="O47" s="14">
        <f>M47-N47</f>
        <v/>
      </c>
      <c r="P47" s="113" t="n"/>
      <c r="Q47" s="17" t="n"/>
      <c r="R47" s="111" t="n"/>
      <c r="S47" s="111" t="n"/>
      <c r="T47" s="111" t="n"/>
      <c r="U47" s="111" t="n"/>
      <c r="V47" s="111" t="n"/>
      <c r="W47" s="111" t="n"/>
      <c r="X47" s="111" t="n"/>
      <c r="Y47" s="111" t="n"/>
      <c r="Z47" s="111" t="n"/>
      <c r="AA47" s="111" t="n"/>
      <c r="AB47" s="111" t="n"/>
      <c r="AC47" s="111" t="n"/>
      <c r="AD47" s="111" t="n"/>
      <c r="AE47" s="111" t="n"/>
      <c r="AF47" s="111" t="n"/>
      <c r="AG47" s="111" t="n"/>
      <c r="AH47" s="111" t="n"/>
      <c r="AI47" s="111" t="n"/>
      <c r="AJ47" s="111" t="n"/>
      <c r="AK47" s="111" t="n"/>
      <c r="AL47" s="111" t="n"/>
      <c r="AM47" s="111" t="n"/>
      <c r="AN47" s="111" t="n"/>
      <c r="AO47" s="111" t="n"/>
      <c r="AP47" s="111" t="n"/>
      <c r="AQ47" s="111" t="n"/>
      <c r="AR47" s="111" t="n"/>
      <c r="AS47" s="111" t="n"/>
      <c r="AT47" s="111" t="n"/>
      <c r="AU47" s="111" t="n"/>
      <c r="AV47" s="111" t="n"/>
      <c r="AW47" s="111" t="n"/>
      <c r="AX47" s="111" t="n"/>
      <c r="AY47" s="111" t="n"/>
      <c r="AZ47" s="111"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1" t="n"/>
      <c r="CF47" s="111" t="n"/>
      <c r="CG47" s="111" t="n"/>
      <c r="CH47" s="111" t="n"/>
      <c r="CI47" s="111" t="n"/>
      <c r="CJ47" s="111" t="n"/>
      <c r="CK47" s="111" t="n"/>
      <c r="CL47" s="111" t="n"/>
      <c r="CM47" s="111" t="n"/>
      <c r="CN47" s="111" t="n"/>
      <c r="CO47" s="111" t="n"/>
      <c r="CP47" s="111" t="n"/>
      <c r="CQ47" s="111" t="n"/>
      <c r="CR47" s="111" t="n"/>
      <c r="CS47" s="111" t="n"/>
      <c r="CT47" s="111" t="n"/>
      <c r="CU47" s="111" t="n"/>
      <c r="CV47" s="111" t="n"/>
      <c r="CW47" s="111" t="n"/>
      <c r="CX47" s="111" t="n"/>
      <c r="CY47" s="111" t="n"/>
      <c r="CZ47" s="111" t="n"/>
      <c r="DA47" s="111" t="n"/>
      <c r="DB47" s="111" t="n"/>
      <c r="DC47" s="111" t="n"/>
      <c r="DD47" s="111" t="n"/>
      <c r="DE47" s="111" t="n"/>
      <c r="DF47" s="111" t="n"/>
      <c r="DG47" s="111" t="n"/>
      <c r="DH47" s="111" t="n"/>
      <c r="DI47" s="111" t="n"/>
      <c r="DJ47" s="111" t="n"/>
      <c r="DK47" s="111" t="n"/>
      <c r="DL47" s="111" t="n"/>
      <c r="DM47" s="111" t="n"/>
      <c r="DN47" s="111" t="n"/>
      <c r="DO47" s="111" t="n"/>
      <c r="DP47" s="111" t="n"/>
      <c r="DQ47" s="111" t="n"/>
      <c r="DR47" s="111" t="n"/>
      <c r="DS47" s="111" t="n"/>
      <c r="DT47" s="111" t="n"/>
      <c r="DU47" s="111" t="n"/>
      <c r="DV47" s="111" t="n"/>
      <c r="DW47" s="111" t="n"/>
      <c r="DX47" s="111" t="n"/>
      <c r="DY47" s="111" t="n"/>
      <c r="DZ47" s="111" t="n"/>
      <c r="EA47" s="111" t="n"/>
      <c r="EB47" s="111" t="n"/>
      <c r="EC47" s="111" t="n"/>
      <c r="ED47" s="111" t="n"/>
      <c r="EE47" s="111" t="n"/>
      <c r="EF47" s="111" t="n"/>
      <c r="EG47" s="111" t="n"/>
      <c r="EH47" s="111" t="n"/>
      <c r="EI47" s="111" t="n"/>
      <c r="EJ47" s="111" t="n"/>
      <c r="EK47" s="111" t="n"/>
      <c r="EL47" s="111" t="n"/>
      <c r="EM47" s="111" t="n"/>
      <c r="EN47" s="111" t="n"/>
      <c r="EO47" s="111" t="n"/>
      <c r="EP47" s="111" t="n"/>
      <c r="EQ47" s="111" t="n"/>
      <c r="ER47" s="111" t="n"/>
      <c r="ES47" s="111" t="n"/>
      <c r="ET47" s="111" t="n"/>
      <c r="EU47" s="111" t="n"/>
      <c r="EV47" s="111" t="n"/>
      <c r="EW47" s="111" t="n"/>
      <c r="EX47" s="111" t="n"/>
      <c r="EY47" s="111" t="n"/>
      <c r="EZ47" s="111" t="n"/>
      <c r="FA47" s="111" t="n"/>
      <c r="FB47" s="111" t="n"/>
      <c r="FC47" s="111" t="n"/>
      <c r="FD47" s="111" t="n"/>
      <c r="FE47" s="111" t="n"/>
      <c r="FF47" s="111" t="n"/>
      <c r="FG47" s="111" t="n"/>
      <c r="FH47" s="111" t="n"/>
      <c r="FI47" s="111" t="n"/>
      <c r="FJ47" s="111" t="n"/>
      <c r="FK47" s="111" t="n"/>
      <c r="FL47" s="111" t="n"/>
      <c r="FM47" s="111" t="n"/>
      <c r="FN47" s="111" t="n"/>
      <c r="FO47" s="111" t="n"/>
      <c r="FP47" s="111" t="n"/>
      <c r="FQ47" s="111" t="n"/>
      <c r="FR47" s="111" t="n"/>
      <c r="FS47" s="111" t="n"/>
      <c r="FT47" s="111" t="n"/>
      <c r="FU47" s="111" t="n"/>
      <c r="FV47" s="111" t="n"/>
      <c r="FW47" s="111" t="n"/>
      <c r="FX47" s="111" t="n"/>
      <c r="FY47" s="111" t="n"/>
      <c r="FZ47" s="111" t="n"/>
      <c r="GA47" s="111" t="n"/>
      <c r="GB47" s="111" t="n"/>
      <c r="GC47" s="111" t="n"/>
      <c r="GD47" s="111" t="n"/>
      <c r="GE47" s="111" t="n"/>
      <c r="GF47" s="111" t="n"/>
      <c r="GG47" s="111" t="n"/>
      <c r="GH47" s="111" t="n"/>
      <c r="GI47" s="111" t="n"/>
      <c r="GJ47" s="111" t="n"/>
      <c r="GK47" s="111" t="n"/>
      <c r="GL47" s="111" t="n"/>
      <c r="GM47" s="111" t="n"/>
      <c r="GN47" s="111" t="n"/>
      <c r="GO47" s="111" t="n"/>
      <c r="GP47" s="111" t="n"/>
      <c r="GQ47" s="111" t="n"/>
      <c r="GR47" s="111" t="n"/>
      <c r="GS47" s="111" t="n"/>
      <c r="GT47" s="111" t="n"/>
      <c r="GU47" s="111" t="n"/>
      <c r="GV47" s="111" t="n"/>
      <c r="GW47" s="111" t="n"/>
      <c r="GX47" s="111" t="n"/>
      <c r="GY47" s="111" t="n"/>
      <c r="GZ47" s="111" t="n"/>
      <c r="HA47" s="111" t="n"/>
      <c r="HB47" s="111" t="n"/>
      <c r="HC47" s="111" t="n"/>
      <c r="HD47" s="111" t="n"/>
      <c r="HE47" s="111" t="n"/>
      <c r="HF47" s="111" t="n"/>
      <c r="HG47" s="111" t="n"/>
      <c r="HH47" s="111" t="n"/>
      <c r="HI47" s="111" t="n"/>
      <c r="HJ47" s="111" t="n"/>
      <c r="HK47" s="111" t="n"/>
      <c r="HL47" s="111" t="n"/>
      <c r="HM47" s="111" t="n"/>
      <c r="HN47" s="111" t="n"/>
      <c r="HO47" s="111" t="n"/>
      <c r="HP47" s="111" t="n"/>
      <c r="HQ47" s="111" t="n"/>
      <c r="HR47" s="111" t="n"/>
      <c r="HS47" s="111" t="n"/>
      <c r="HT47" s="111" t="n"/>
      <c r="HU47" s="111" t="n"/>
      <c r="HV47" s="111" t="n"/>
      <c r="HW47" s="111" t="n"/>
      <c r="HX47" s="111" t="n"/>
      <c r="HY47" s="111" t="n"/>
      <c r="HZ47" s="111" t="n"/>
      <c r="IA47" s="111" t="n"/>
      <c r="IB47" s="111" t="n"/>
      <c r="IC47" s="111" t="n"/>
      <c r="ID47" s="111" t="n"/>
      <c r="IE47" s="111" t="n"/>
      <c r="IF47" s="111" t="n"/>
      <c r="IG47" s="111" t="n"/>
      <c r="IH47" s="111" t="n"/>
      <c r="II47" s="111" t="n"/>
      <c r="IJ47" s="111" t="n"/>
      <c r="IK47" s="111" t="n"/>
      <c r="IL47" s="111" t="n"/>
      <c r="IM47" s="111" t="n"/>
      <c r="IN47" s="111" t="n"/>
      <c r="IO47" s="111" t="n"/>
      <c r="IP47" s="111" t="n"/>
      <c r="IQ47" s="111" t="n"/>
      <c r="IR47" s="111" t="n"/>
      <c r="IS47" s="111" t="n"/>
      <c r="IT47" s="111" t="n"/>
      <c r="IU47" s="111" t="n"/>
      <c r="IV47" s="111" t="n"/>
      <c r="IW47" s="111" t="n"/>
      <c r="IX47" s="111" t="n"/>
      <c r="IY47" s="111" t="n"/>
      <c r="IZ47" s="111" t="n"/>
      <c r="JA47" s="111" t="n"/>
      <c r="JB47" s="111" t="n"/>
      <c r="JC47" s="111" t="n"/>
      <c r="JD47" s="111" t="n"/>
      <c r="JE47" s="111" t="n"/>
      <c r="JF47" s="111" t="n"/>
      <c r="JG47" s="111" t="n"/>
      <c r="JH47" s="111" t="n"/>
      <c r="JI47" s="111" t="n"/>
      <c r="JJ47" s="111" t="n"/>
      <c r="JK47" s="111" t="n"/>
      <c r="JL47" s="111" t="n"/>
      <c r="JM47" s="111" t="n"/>
      <c r="JN47" s="111" t="n"/>
      <c r="JO47" s="111" t="n"/>
      <c r="JP47" s="111" t="n"/>
      <c r="JQ47" s="111" t="n"/>
      <c r="JR47" s="111" t="n"/>
      <c r="JS47" s="111" t="n"/>
      <c r="JT47" s="111" t="n"/>
      <c r="JU47" s="111" t="n"/>
      <c r="JV47" s="111" t="n"/>
      <c r="JW47" s="111" t="n"/>
      <c r="JX47" s="111" t="n"/>
      <c r="JY47" s="111" t="n"/>
      <c r="JZ47" s="111" t="n"/>
      <c r="KA47" s="111" t="n"/>
      <c r="KB47" s="111" t="n"/>
      <c r="KC47" s="111" t="n"/>
      <c r="KD47" s="111" t="n"/>
      <c r="KE47" s="111" t="n"/>
      <c r="KF47" s="111" t="n"/>
      <c r="KG47" s="111" t="n"/>
      <c r="KH47" s="111" t="n"/>
      <c r="KI47" s="111" t="n"/>
      <c r="KJ47" s="111" t="n"/>
      <c r="KK47" s="111" t="n"/>
      <c r="KL47" s="111" t="n"/>
      <c r="KM47" s="111" t="n"/>
      <c r="KN47" s="111" t="n"/>
      <c r="KO47" s="111" t="n"/>
      <c r="KP47" s="111" t="n"/>
      <c r="KQ47" s="111" t="n"/>
      <c r="KR47" s="111" t="n"/>
      <c r="KS47" s="111" t="n"/>
      <c r="KT47" s="111" t="n"/>
      <c r="KU47" s="111" t="n"/>
      <c r="KV47" s="111" t="n"/>
      <c r="KW47" s="111" t="n"/>
      <c r="KX47" s="111" t="n"/>
      <c r="KY47" s="111" t="n"/>
      <c r="KZ47" s="111" t="n"/>
      <c r="LA47" s="111" t="n"/>
      <c r="LB47" s="111" t="n"/>
      <c r="LC47" s="111" t="n"/>
      <c r="LD47" s="111" t="n"/>
      <c r="LE47" s="111" t="n"/>
      <c r="LF47" s="111" t="n"/>
      <c r="LG47" s="111" t="n"/>
      <c r="LH47" s="111" t="n"/>
      <c r="LI47" s="111" t="n"/>
      <c r="LJ47" s="111" t="n"/>
      <c r="LK47" s="111" t="n"/>
      <c r="LL47" s="111" t="n"/>
      <c r="LM47" s="111" t="n"/>
      <c r="LN47" s="111" t="n"/>
      <c r="LO47" s="111" t="n"/>
      <c r="LP47" s="111" t="n"/>
      <c r="LQ47" s="111" t="n"/>
      <c r="LR47" s="111" t="n"/>
      <c r="LS47" s="111" t="n"/>
      <c r="LT47" s="111" t="n"/>
      <c r="LU47" s="111" t="n"/>
      <c r="LV47" s="111" t="n"/>
      <c r="LW47" s="111" t="n"/>
      <c r="LX47" s="111" t="n"/>
      <c r="LY47" s="111" t="n"/>
      <c r="LZ47" s="111" t="n"/>
      <c r="MA47" s="111" t="n"/>
      <c r="MB47" s="111" t="n"/>
      <c r="MC47" s="111" t="n"/>
      <c r="MD47" s="111" t="n"/>
      <c r="ME47" s="111" t="n"/>
      <c r="MF47" s="111" t="n"/>
      <c r="MG47" s="111" t="n"/>
      <c r="MH47" s="111" t="n"/>
      <c r="MI47" s="111" t="n"/>
      <c r="MJ47" s="111" t="n"/>
      <c r="MK47" s="111" t="n"/>
      <c r="ML47" s="111" t="n"/>
      <c r="MM47" s="111" t="n"/>
      <c r="MN47" s="111" t="n"/>
      <c r="MO47" s="111" t="n"/>
      <c r="MP47" s="111" t="n"/>
      <c r="MQ47" s="111" t="n"/>
      <c r="MR47" s="111" t="n"/>
      <c r="MS47" s="111" t="n"/>
      <c r="MT47" s="111" t="n"/>
      <c r="MU47" s="111" t="n"/>
      <c r="MV47" s="111" t="n"/>
      <c r="MW47" s="111" t="n"/>
      <c r="MX47" s="111" t="n"/>
      <c r="MY47" s="111" t="n"/>
      <c r="MZ47" s="111" t="n"/>
      <c r="NA47" s="111" t="n"/>
      <c r="NB47" s="111" t="n"/>
      <c r="NC47" s="111" t="n"/>
      <c r="ND47" s="111" t="n"/>
      <c r="NE47" s="111" t="n"/>
      <c r="NF47" s="111" t="n"/>
      <c r="NG47" s="111" t="n"/>
      <c r="NH47" s="111" t="n"/>
      <c r="NI47" s="111" t="n"/>
      <c r="NJ47" s="111" t="n"/>
      <c r="NK47" s="111" t="n"/>
      <c r="NL47" s="111" t="n"/>
      <c r="NM47" s="111" t="n"/>
      <c r="NN47" s="111" t="n"/>
      <c r="NO47" s="111" t="n"/>
      <c r="NP47" s="111" t="n"/>
      <c r="NQ47" s="111" t="n"/>
    </row>
    <row r="48" ht="12.75" customFormat="1" customHeight="1" s="17">
      <c r="A48" s="33">
        <f>IF(ISERROR(VALUE(SUBSTITUTE(OFFSET(A48,-1,0,1,1),".",""))),"0.1",IF(ISERROR(FIND("`",SUBSTITUTE(OFFSET(A48,-1,0,1,1),".","`",1))),OFFSET(A48,-1,0,1,1)&amp;".1",LEFT(OFFSET(A48,-1,0,1,1),FIND("`",SUBSTITUTE(OFFSET(A48,-1,0,1,1),".","`",1)))&amp;IF(ISERROR(FIND("`",SUBSTITUTE(OFFSET(A48,-1,0,1,1),".","`",2))),VALUE(RIGHT(OFFSET(A48,-1,0,1,1),LEN(OFFSET(A48,-1,0,1,1))-FIND("`",SUBSTITUTE(OFFSET(A48,-1,0,1,1),".","`",1))))+1,VALUE(MID(OFFSET(A48,-1,0,1,1),FIND("`",SUBSTITUTE(OFFSET(A48,-1,0,1,1),".","`",1))+1,(FIND("`",SUBSTITUTE(OFFSET(A48,-1,0,1,1),".","`",2))-FIND("`",SUBSTITUTE(OFFSET(A48,-1,0,1,1),".","`",1))-1)))+1)))</f>
        <v/>
      </c>
      <c r="B48" s="32" t="inlineStr">
        <is>
          <t>[Insert Rows above this one, then Hide or Delete this row]</t>
        </is>
      </c>
      <c r="C48" s="32" t="n"/>
      <c r="D48" s="37" t="n"/>
      <c r="E48" s="37" t="n"/>
      <c r="F48" s="37" t="n"/>
      <c r="G48" s="32" t="n"/>
      <c r="H48" s="32" t="n"/>
      <c r="I48" s="272" t="n"/>
      <c r="J48" s="272" t="n"/>
      <c r="K48" s="21" t="n"/>
      <c r="L48" s="22" t="n"/>
      <c r="M48" s="15" t="n"/>
      <c r="N48" s="15" t="n"/>
      <c r="O48" s="14" t="n"/>
      <c r="P48" s="14"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n"/>
      <c r="GU48" s="111" t="n"/>
      <c r="GV48" s="111" t="n"/>
      <c r="GW48" s="111" t="n"/>
      <c r="GX48" s="111" t="n"/>
      <c r="GY48" s="111" t="n"/>
      <c r="GZ48" s="111" t="n"/>
      <c r="HA48" s="111" t="n"/>
      <c r="HB48" s="111" t="n"/>
      <c r="HC48" s="111" t="n"/>
      <c r="HD48" s="111" t="n"/>
      <c r="HE48" s="111" t="n"/>
      <c r="HF48" s="111" t="n"/>
      <c r="HG48" s="111" t="n"/>
      <c r="HH48" s="111" t="n"/>
      <c r="HI48" s="111" t="n"/>
      <c r="HJ48" s="111" t="n"/>
      <c r="HK48" s="111" t="n"/>
      <c r="HL48" s="111" t="n"/>
      <c r="HM48" s="111" t="n"/>
      <c r="HN48" s="111" t="n"/>
      <c r="HO48" s="111" t="n"/>
      <c r="HP48" s="111" t="n"/>
      <c r="HQ48" s="111" t="n"/>
      <c r="HR48" s="111" t="n"/>
      <c r="HS48" s="111" t="n"/>
      <c r="HT48" s="111" t="n"/>
      <c r="HU48" s="111" t="n"/>
      <c r="HV48" s="111" t="n"/>
      <c r="HW48" s="111" t="n"/>
      <c r="HX48" s="111" t="n"/>
      <c r="HY48" s="111" t="n"/>
      <c r="HZ48" s="111" t="n"/>
      <c r="IA48" s="111" t="n"/>
      <c r="IB48" s="111" t="n"/>
      <c r="IC48" s="111" t="n"/>
      <c r="ID48" s="111" t="n"/>
      <c r="IE48" s="111" t="n"/>
      <c r="IF48" s="111" t="n"/>
      <c r="IG48" s="111" t="n"/>
      <c r="IH48" s="111" t="n"/>
      <c r="II48" s="111" t="n"/>
      <c r="IJ48" s="111" t="n"/>
      <c r="IK48" s="111" t="n"/>
      <c r="IL48" s="111" t="n"/>
      <c r="IM48" s="111" t="n"/>
      <c r="IN48" s="111" t="n"/>
      <c r="IO48" s="111" t="n"/>
      <c r="IP48" s="111" t="n"/>
      <c r="IQ48" s="111" t="n"/>
      <c r="IR48" s="111" t="n"/>
      <c r="IS48" s="111" t="n"/>
      <c r="IT48" s="111" t="n"/>
      <c r="IU48" s="111" t="n"/>
      <c r="IV48" s="111" t="n"/>
      <c r="IW48" s="111" t="n"/>
      <c r="IX48" s="111" t="n"/>
      <c r="IY48" s="111" t="n"/>
      <c r="IZ48" s="111" t="n"/>
      <c r="JA48" s="111" t="n"/>
      <c r="JB48" s="111" t="n"/>
      <c r="JC48" s="111" t="n"/>
      <c r="JD48" s="111" t="n"/>
      <c r="JE48" s="111" t="n"/>
      <c r="JF48" s="111" t="n"/>
      <c r="JG48" s="111" t="n"/>
      <c r="JH48" s="111" t="n"/>
      <c r="JI48" s="111" t="n"/>
      <c r="JJ48" s="111" t="n"/>
      <c r="JK48" s="111" t="n"/>
      <c r="JL48" s="111" t="n"/>
      <c r="JM48" s="111" t="n"/>
      <c r="JN48" s="111" t="n"/>
      <c r="JO48" s="111" t="n"/>
      <c r="JP48" s="111" t="n"/>
      <c r="JQ48" s="111" t="n"/>
      <c r="JR48" s="111" t="n"/>
      <c r="JS48" s="111" t="n"/>
      <c r="JT48" s="111" t="n"/>
      <c r="JU48" s="111" t="n"/>
      <c r="JV48" s="111" t="n"/>
      <c r="JW48" s="111" t="n"/>
      <c r="JX48" s="111" t="n"/>
      <c r="JY48" s="111" t="n"/>
      <c r="JZ48" s="111" t="n"/>
      <c r="KA48" s="111" t="n"/>
      <c r="KB48" s="111" t="n"/>
      <c r="KC48" s="111" t="n"/>
      <c r="KD48" s="111" t="n"/>
      <c r="KE48" s="111" t="n"/>
      <c r="KF48" s="111" t="n"/>
      <c r="KG48" s="111" t="n"/>
      <c r="KH48" s="111" t="n"/>
      <c r="KI48" s="111" t="n"/>
      <c r="KJ48" s="111" t="n"/>
      <c r="KK48" s="111" t="n"/>
      <c r="KL48" s="111" t="n"/>
      <c r="KM48" s="111" t="n"/>
      <c r="KN48" s="111" t="n"/>
      <c r="KO48" s="111" t="n"/>
      <c r="KP48" s="111" t="n"/>
      <c r="KQ48" s="111" t="n"/>
      <c r="KR48" s="111" t="n"/>
      <c r="KS48" s="111" t="n"/>
      <c r="KT48" s="111" t="n"/>
      <c r="KU48" s="111" t="n"/>
      <c r="KV48" s="111" t="n"/>
      <c r="KW48" s="111" t="n"/>
      <c r="KX48" s="111" t="n"/>
      <c r="KY48" s="111" t="n"/>
      <c r="KZ48" s="111" t="n"/>
      <c r="LA48" s="111" t="n"/>
      <c r="LB48" s="111" t="n"/>
      <c r="LC48" s="111" t="n"/>
      <c r="LD48" s="111" t="n"/>
      <c r="LE48" s="111" t="n"/>
      <c r="LF48" s="111" t="n"/>
      <c r="LG48" s="111" t="n"/>
      <c r="LH48" s="111" t="n"/>
      <c r="LI48" s="111" t="n"/>
      <c r="LJ48" s="111" t="n"/>
      <c r="LK48" s="111" t="n"/>
      <c r="LL48" s="111" t="n"/>
      <c r="LM48" s="111" t="n"/>
      <c r="LN48" s="111" t="n"/>
      <c r="LO48" s="111" t="n"/>
      <c r="LP48" s="111" t="n"/>
      <c r="LQ48" s="111" t="n"/>
      <c r="LR48" s="111" t="n"/>
      <c r="LS48" s="111" t="n"/>
      <c r="LT48" s="111" t="n"/>
      <c r="LU48" s="111" t="n"/>
      <c r="LV48" s="111" t="n"/>
      <c r="LW48" s="111" t="n"/>
      <c r="LX48" s="111" t="n"/>
      <c r="LY48" s="111" t="n"/>
      <c r="LZ48" s="111" t="n"/>
      <c r="MA48" s="111" t="n"/>
      <c r="MB48" s="111" t="n"/>
      <c r="MC48" s="111" t="n"/>
      <c r="MD48" s="111" t="n"/>
      <c r="ME48" s="111" t="n"/>
      <c r="MF48" s="111" t="n"/>
      <c r="MG48" s="111" t="n"/>
      <c r="MH48" s="111" t="n"/>
      <c r="MI48" s="111" t="n"/>
      <c r="MJ48" s="111" t="n"/>
      <c r="MK48" s="111" t="n"/>
      <c r="ML48" s="111" t="n"/>
      <c r="MM48" s="111" t="n"/>
      <c r="MN48" s="111" t="n"/>
      <c r="MO48" s="111" t="n"/>
      <c r="MP48" s="111" t="n"/>
      <c r="MQ48" s="111" t="n"/>
      <c r="MR48" s="111" t="n"/>
      <c r="MS48" s="111" t="n"/>
      <c r="MT48" s="111" t="n"/>
      <c r="MU48" s="111" t="n"/>
      <c r="MV48" s="111" t="n"/>
      <c r="MW48" s="111" t="n"/>
      <c r="MX48" s="111" t="n"/>
      <c r="MY48" s="111" t="n"/>
      <c r="MZ48" s="111" t="n"/>
      <c r="NA48" s="111" t="n"/>
      <c r="NB48" s="111" t="n"/>
      <c r="NC48" s="111" t="n"/>
      <c r="ND48" s="111" t="n"/>
      <c r="NE48" s="111" t="n"/>
      <c r="NF48" s="111" t="n"/>
      <c r="NG48" s="111" t="n"/>
      <c r="NH48" s="111" t="n"/>
      <c r="NI48" s="111" t="n"/>
      <c r="NJ48" s="111" t="n"/>
      <c r="NK48" s="111" t="n"/>
      <c r="NL48" s="111" t="n"/>
      <c r="NM48" s="111" t="n"/>
      <c r="NN48" s="111" t="n"/>
      <c r="NO48" s="111" t="n"/>
      <c r="NP48" s="111" t="n"/>
      <c r="NQ48" s="111" t="n"/>
    </row>
    <row r="49" customFormat="1" s="76">
      <c r="A49" s="70">
        <f>IF(ISERROR(VALUE(SUBSTITUTE(OFFSET(A49,-1,0,1,1),".",""))),"1",IF(ISERROR(FIND("`",SUBSTITUTE(OFFSET(A49,-1,0,1,1),".","`",1))),TEXT(VALUE(OFFSET(A49,-1,0,1,1))+1,"#"),TEXT(VALUE(LEFT(OFFSET(A49,-1,0,1,1),FIND("`",SUBSTITUTE(OFFSET(A49,-1,0,1,1),".","`",1))-1))+1,"#")))</f>
        <v/>
      </c>
      <c r="B49" s="71" t="inlineStr">
        <is>
          <t>[ Task Category ]</t>
        </is>
      </c>
      <c r="C49" s="72" t="inlineStr">
        <is>
          <t>[ name ]</t>
        </is>
      </c>
      <c r="D49" s="73" t="n"/>
      <c r="E49" s="73" t="n"/>
      <c r="F49" s="73" t="n"/>
      <c r="G49" s="273">
        <f>MIN(G50:G60)</f>
        <v/>
      </c>
      <c r="H49" s="276">
        <f>MAX(H50:H60)</f>
        <v/>
      </c>
      <c r="I49" s="272" t="n"/>
      <c r="J49" s="272" t="n"/>
      <c r="K49" s="74">
        <f>NETWORKDAYS(G49,H49,holidays)</f>
        <v/>
      </c>
      <c r="L49" s="83">
        <f>SUMPRODUCT(K50:K60,L50:L60)/SUM(K50:K60)</f>
        <v/>
      </c>
      <c r="M49" s="74">
        <f>IF(OR(G49=0,H49=0),0,H49-G49+1)</f>
        <v/>
      </c>
      <c r="N49" s="75">
        <f>MIN(M49,WORKDAY(G49,ROUNDDOWN(L49*K49,0),holidays)-G49)</f>
        <v/>
      </c>
      <c r="O49" s="74">
        <f>M49-N49</f>
        <v/>
      </c>
      <c r="P49" s="113" t="n"/>
      <c r="Q49" s="17"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n"/>
      <c r="GS49" s="111" t="n"/>
      <c r="GT49" s="111" t="n"/>
      <c r="GU49" s="111" t="n"/>
      <c r="GV49" s="111" t="n"/>
      <c r="GW49" s="111" t="n"/>
      <c r="GX49" s="111" t="n"/>
      <c r="GY49" s="111" t="n"/>
      <c r="GZ49" s="111" t="n"/>
      <c r="HA49" s="111" t="n"/>
      <c r="HB49" s="111" t="n"/>
      <c r="HC49" s="111" t="n"/>
      <c r="HD49" s="111" t="n"/>
      <c r="HE49" s="111" t="n"/>
      <c r="HF49" s="111" t="n"/>
      <c r="HG49" s="111" t="n"/>
      <c r="HH49" s="111" t="n"/>
      <c r="HI49" s="111" t="n"/>
      <c r="HJ49" s="111" t="n"/>
      <c r="HK49" s="111" t="n"/>
      <c r="HL49" s="111" t="n"/>
      <c r="HM49" s="111" t="n"/>
      <c r="HN49" s="111" t="n"/>
      <c r="HO49" s="111" t="n"/>
      <c r="HP49" s="111" t="n"/>
      <c r="HQ49" s="111" t="n"/>
      <c r="HR49" s="111" t="n"/>
      <c r="HS49" s="111" t="n"/>
      <c r="HT49" s="111" t="n"/>
      <c r="HU49" s="111" t="n"/>
      <c r="HV49" s="111" t="n"/>
      <c r="HW49" s="111" t="n"/>
      <c r="HX49" s="111" t="n"/>
      <c r="HY49" s="111" t="n"/>
      <c r="HZ49" s="111" t="n"/>
      <c r="IA49" s="111" t="n"/>
      <c r="IB49" s="111" t="n"/>
      <c r="IC49" s="111" t="n"/>
      <c r="ID49" s="111" t="n"/>
      <c r="IE49" s="111" t="n"/>
      <c r="IF49" s="111" t="n"/>
      <c r="IG49" s="111" t="n"/>
      <c r="IH49" s="111" t="n"/>
      <c r="II49" s="111" t="n"/>
      <c r="IJ49" s="111" t="n"/>
      <c r="IK49" s="111" t="n"/>
      <c r="IL49" s="111" t="n"/>
      <c r="IM49" s="111" t="n"/>
      <c r="IN49" s="111" t="n"/>
      <c r="IO49" s="111" t="n"/>
      <c r="IP49" s="111" t="n"/>
      <c r="IQ49" s="111" t="n"/>
      <c r="IR49" s="111" t="n"/>
      <c r="IS49" s="111" t="n"/>
      <c r="IT49" s="111" t="n"/>
      <c r="IU49" s="111" t="n"/>
      <c r="IV49" s="111" t="n"/>
      <c r="IW49" s="111" t="n"/>
      <c r="IX49" s="111" t="n"/>
      <c r="IY49" s="111" t="n"/>
      <c r="IZ49" s="111" t="n"/>
      <c r="JA49" s="111" t="n"/>
      <c r="JB49" s="111" t="n"/>
      <c r="JC49" s="111" t="n"/>
      <c r="JD49" s="111" t="n"/>
      <c r="JE49" s="111" t="n"/>
      <c r="JF49" s="111" t="n"/>
      <c r="JG49" s="111" t="n"/>
      <c r="JH49" s="111" t="n"/>
      <c r="JI49" s="111" t="n"/>
      <c r="JJ49" s="111" t="n"/>
      <c r="JK49" s="111" t="n"/>
      <c r="JL49" s="111" t="n"/>
      <c r="JM49" s="111" t="n"/>
      <c r="JN49" s="111" t="n"/>
      <c r="JO49" s="111" t="n"/>
      <c r="JP49" s="111" t="n"/>
      <c r="JQ49" s="111" t="n"/>
      <c r="JR49" s="111" t="n"/>
      <c r="JS49" s="111" t="n"/>
      <c r="JT49" s="111" t="n"/>
      <c r="JU49" s="111" t="n"/>
      <c r="JV49" s="111" t="n"/>
      <c r="JW49" s="111" t="n"/>
      <c r="JX49" s="111" t="n"/>
      <c r="JY49" s="111" t="n"/>
      <c r="JZ49" s="111" t="n"/>
      <c r="KA49" s="111" t="n"/>
      <c r="KB49" s="111" t="n"/>
      <c r="KC49" s="111" t="n"/>
      <c r="KD49" s="111" t="n"/>
      <c r="KE49" s="111" t="n"/>
      <c r="KF49" s="111" t="n"/>
      <c r="KG49" s="111" t="n"/>
      <c r="KH49" s="111" t="n"/>
      <c r="KI49" s="111" t="n"/>
      <c r="KJ49" s="111" t="n"/>
      <c r="KK49" s="111" t="n"/>
      <c r="KL49" s="111" t="n"/>
      <c r="KM49" s="111" t="n"/>
      <c r="KN49" s="111" t="n"/>
      <c r="KO49" s="111" t="n"/>
      <c r="KP49" s="111" t="n"/>
      <c r="KQ49" s="111" t="n"/>
      <c r="KR49" s="111" t="n"/>
      <c r="KS49" s="111" t="n"/>
      <c r="KT49" s="111" t="n"/>
      <c r="KU49" s="111" t="n"/>
      <c r="KV49" s="111" t="n"/>
      <c r="KW49" s="111" t="n"/>
      <c r="KX49" s="111" t="n"/>
      <c r="KY49" s="111" t="n"/>
      <c r="KZ49" s="111" t="n"/>
      <c r="LA49" s="111" t="n"/>
      <c r="LB49" s="111" t="n"/>
      <c r="LC49" s="111" t="n"/>
      <c r="LD49" s="111" t="n"/>
      <c r="LE49" s="111" t="n"/>
      <c r="LF49" s="111" t="n"/>
      <c r="LG49" s="111" t="n"/>
      <c r="LH49" s="111" t="n"/>
      <c r="LI49" s="111" t="n"/>
      <c r="LJ49" s="111" t="n"/>
      <c r="LK49" s="111" t="n"/>
      <c r="LL49" s="111" t="n"/>
      <c r="LM49" s="111" t="n"/>
      <c r="LN49" s="111" t="n"/>
      <c r="LO49" s="111" t="n"/>
      <c r="LP49" s="111" t="n"/>
      <c r="LQ49" s="111" t="n"/>
      <c r="LR49" s="111" t="n"/>
      <c r="LS49" s="111" t="n"/>
      <c r="LT49" s="111" t="n"/>
      <c r="LU49" s="111" t="n"/>
      <c r="LV49" s="111" t="n"/>
      <c r="LW49" s="111" t="n"/>
      <c r="LX49" s="111" t="n"/>
      <c r="LY49" s="111" t="n"/>
      <c r="LZ49" s="111" t="n"/>
      <c r="MA49" s="111" t="n"/>
      <c r="MB49" s="111" t="n"/>
      <c r="MC49" s="111" t="n"/>
      <c r="MD49" s="111" t="n"/>
      <c r="ME49" s="111" t="n"/>
      <c r="MF49" s="111" t="n"/>
      <c r="MG49" s="111" t="n"/>
      <c r="MH49" s="111" t="n"/>
      <c r="MI49" s="111" t="n"/>
      <c r="MJ49" s="111" t="n"/>
      <c r="MK49" s="111" t="n"/>
      <c r="ML49" s="111" t="n"/>
      <c r="MM49" s="111" t="n"/>
      <c r="MN49" s="111" t="n"/>
      <c r="MO49" s="111" t="n"/>
      <c r="MP49" s="111" t="n"/>
      <c r="MQ49" s="111" t="n"/>
      <c r="MR49" s="111" t="n"/>
      <c r="MS49" s="111" t="n"/>
      <c r="MT49" s="111" t="n"/>
      <c r="MU49" s="111" t="n"/>
      <c r="MV49" s="111" t="n"/>
      <c r="MW49" s="111" t="n"/>
      <c r="MX49" s="111" t="n"/>
      <c r="MY49" s="111" t="n"/>
      <c r="MZ49" s="111" t="n"/>
      <c r="NA49" s="111" t="n"/>
      <c r="NB49" s="111" t="n"/>
      <c r="NC49" s="111" t="n"/>
      <c r="ND49" s="111" t="n"/>
      <c r="NE49" s="111" t="n"/>
      <c r="NF49" s="111" t="n"/>
      <c r="NG49" s="111" t="n"/>
      <c r="NH49" s="111" t="n"/>
      <c r="NI49" s="111" t="n"/>
      <c r="NJ49" s="111" t="n"/>
      <c r="NK49" s="111" t="n"/>
      <c r="NL49" s="111" t="n"/>
      <c r="NM49" s="111" t="n"/>
      <c r="NN49" s="111" t="n"/>
      <c r="NO49" s="111" t="n"/>
      <c r="NP49" s="111" t="n"/>
      <c r="NQ49" s="111" t="n"/>
    </row>
    <row r="50" customFormat="1" s="17">
      <c r="A50" s="33">
        <f>IF(ISERROR(VALUE(SUBSTITUTE(OFFSET(A50,-1,0,1,1),".",""))),"0.1",IF(ISERROR(FIND("`",SUBSTITUTE(OFFSET(A50,-1,0,1,1),".","`",1))),OFFSET(A50,-1,0,1,1)&amp;".1",LEFT(OFFSET(A50,-1,0,1,1),FIND("`",SUBSTITUTE(OFFSET(A50,-1,0,1,1),".","`",1)))&amp;IF(ISERROR(FIND("`",SUBSTITUTE(OFFSET(A50,-1,0,1,1),".","`",2))),VALUE(RIGHT(OFFSET(A50,-1,0,1,1),LEN(OFFSET(A50,-1,0,1,1))-FIND("`",SUBSTITUTE(OFFSET(A50,-1,0,1,1),".","`",1))))+1,VALUE(MID(OFFSET(A50,-1,0,1,1),FIND("`",SUBSTITUTE(OFFSET(A50,-1,0,1,1),".","`",1))+1,(FIND("`",SUBSTITUTE(OFFSET(A50,-1,0,1,1),".","`",2))-FIND("`",SUBSTITUTE(OFFSET(A50,-1,0,1,1),".","`",1))-1)))+1)))</f>
        <v/>
      </c>
      <c r="B50" s="10" t="inlineStr">
        <is>
          <t>[ Level 2 Task ]</t>
        </is>
      </c>
      <c r="C50" s="11" t="n"/>
      <c r="D50" s="37" t="n"/>
      <c r="E50" s="37" t="n"/>
      <c r="F50" s="37" t="n"/>
      <c r="G50" s="274">
        <f>$G$6</f>
        <v/>
      </c>
      <c r="H50" s="275">
        <f>IF(K50=0,G50,WORKDAY(IF(WEEKDAY(G50,1)=7,G50+2,IF(WEEKDAY(G50,1)=1,G50+1,G50)),K50-1,holidays))</f>
        <v/>
      </c>
      <c r="I50" s="272" t="n"/>
      <c r="J50" s="272" t="n"/>
      <c r="K50" s="79" t="n">
        <v>1</v>
      </c>
      <c r="L50" s="13" t="n"/>
      <c r="M50" s="14">
        <f>IF(OR(G50=0,H50=0),0,H50-G50+1)</f>
        <v/>
      </c>
      <c r="N50" s="15">
        <f>MIN(M50,WORKDAY(G50,ROUNDDOWN(L50*K50,0),holidays)-G50)</f>
        <v/>
      </c>
      <c r="O50" s="14">
        <f>M50-N50</f>
        <v/>
      </c>
      <c r="P50" s="113" t="n"/>
      <c r="Q50" s="17"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n"/>
      <c r="GU50" s="111" t="n"/>
      <c r="GV50" s="111" t="n"/>
      <c r="GW50" s="111" t="n"/>
      <c r="GX50" s="111" t="n"/>
      <c r="GY50" s="111" t="n"/>
      <c r="GZ50" s="111" t="n"/>
      <c r="HA50" s="111" t="n"/>
      <c r="HB50" s="111" t="n"/>
      <c r="HC50" s="111" t="n"/>
      <c r="HD50" s="111" t="n"/>
      <c r="HE50" s="111" t="n"/>
      <c r="HF50" s="111" t="n"/>
      <c r="HG50" s="111" t="n"/>
      <c r="HH50" s="111" t="n"/>
      <c r="HI50" s="111" t="n"/>
      <c r="HJ50" s="111" t="n"/>
      <c r="HK50" s="111" t="n"/>
      <c r="HL50" s="111" t="n"/>
      <c r="HM50" s="111" t="n"/>
      <c r="HN50" s="111" t="n"/>
      <c r="HO50" s="111" t="n"/>
      <c r="HP50" s="111" t="n"/>
      <c r="HQ50" s="111" t="n"/>
      <c r="HR50" s="111" t="n"/>
      <c r="HS50" s="111" t="n"/>
      <c r="HT50" s="111" t="n"/>
      <c r="HU50" s="111" t="n"/>
      <c r="HV50" s="111" t="n"/>
      <c r="HW50" s="111" t="n"/>
      <c r="HX50" s="111" t="n"/>
      <c r="HY50" s="111" t="n"/>
      <c r="HZ50" s="111" t="n"/>
      <c r="IA50" s="111" t="n"/>
      <c r="IB50" s="111" t="n"/>
      <c r="IC50" s="111" t="n"/>
      <c r="ID50" s="111" t="n"/>
      <c r="IE50" s="111" t="n"/>
      <c r="IF50" s="111" t="n"/>
      <c r="IG50" s="111" t="n"/>
      <c r="IH50" s="111" t="n"/>
      <c r="II50" s="111" t="n"/>
      <c r="IJ50" s="111" t="n"/>
      <c r="IK50" s="111" t="n"/>
      <c r="IL50" s="111" t="n"/>
      <c r="IM50" s="111" t="n"/>
      <c r="IN50" s="111" t="n"/>
      <c r="IO50" s="111" t="n"/>
      <c r="IP50" s="111" t="n"/>
      <c r="IQ50" s="111" t="n"/>
      <c r="IR50" s="111" t="n"/>
      <c r="IS50" s="111" t="n"/>
      <c r="IT50" s="111" t="n"/>
      <c r="IU50" s="111" t="n"/>
      <c r="IV50" s="111" t="n"/>
      <c r="IW50" s="111" t="n"/>
      <c r="IX50" s="111" t="n"/>
      <c r="IY50" s="111" t="n"/>
      <c r="IZ50" s="111" t="n"/>
      <c r="JA50" s="111" t="n"/>
      <c r="JB50" s="111" t="n"/>
      <c r="JC50" s="111" t="n"/>
      <c r="JD50" s="111" t="n"/>
      <c r="JE50" s="111" t="n"/>
      <c r="JF50" s="111" t="n"/>
      <c r="JG50" s="111" t="n"/>
      <c r="JH50" s="111" t="n"/>
      <c r="JI50" s="111" t="n"/>
      <c r="JJ50" s="111" t="n"/>
      <c r="JK50" s="111" t="n"/>
      <c r="JL50" s="111" t="n"/>
      <c r="JM50" s="111" t="n"/>
      <c r="JN50" s="111" t="n"/>
      <c r="JO50" s="111" t="n"/>
      <c r="JP50" s="111" t="n"/>
      <c r="JQ50" s="111" t="n"/>
      <c r="JR50" s="111" t="n"/>
      <c r="JS50" s="111" t="n"/>
      <c r="JT50" s="111" t="n"/>
      <c r="JU50" s="111" t="n"/>
      <c r="JV50" s="111" t="n"/>
      <c r="JW50" s="111" t="n"/>
      <c r="JX50" s="111" t="n"/>
      <c r="JY50" s="111" t="n"/>
      <c r="JZ50" s="111" t="n"/>
      <c r="KA50" s="111" t="n"/>
      <c r="KB50" s="111" t="n"/>
      <c r="KC50" s="111" t="n"/>
      <c r="KD50" s="111" t="n"/>
      <c r="KE50" s="111" t="n"/>
      <c r="KF50" s="111" t="n"/>
      <c r="KG50" s="111" t="n"/>
      <c r="KH50" s="111" t="n"/>
      <c r="KI50" s="111" t="n"/>
      <c r="KJ50" s="111" t="n"/>
      <c r="KK50" s="111" t="n"/>
      <c r="KL50" s="111" t="n"/>
      <c r="KM50" s="111" t="n"/>
      <c r="KN50" s="111" t="n"/>
      <c r="KO50" s="111" t="n"/>
      <c r="KP50" s="111" t="n"/>
      <c r="KQ50" s="111" t="n"/>
      <c r="KR50" s="111" t="n"/>
      <c r="KS50" s="111" t="n"/>
      <c r="KT50" s="111" t="n"/>
      <c r="KU50" s="111" t="n"/>
      <c r="KV50" s="111" t="n"/>
      <c r="KW50" s="111" t="n"/>
      <c r="KX50" s="111" t="n"/>
      <c r="KY50" s="111" t="n"/>
      <c r="KZ50" s="111" t="n"/>
      <c r="LA50" s="111" t="n"/>
      <c r="LB50" s="111" t="n"/>
      <c r="LC50" s="111" t="n"/>
      <c r="LD50" s="111" t="n"/>
      <c r="LE50" s="111" t="n"/>
      <c r="LF50" s="111" t="n"/>
      <c r="LG50" s="111" t="n"/>
      <c r="LH50" s="111" t="n"/>
      <c r="LI50" s="111" t="n"/>
      <c r="LJ50" s="111" t="n"/>
      <c r="LK50" s="111" t="n"/>
      <c r="LL50" s="111" t="n"/>
      <c r="LM50" s="111" t="n"/>
      <c r="LN50" s="111" t="n"/>
      <c r="LO50" s="111" t="n"/>
      <c r="LP50" s="111" t="n"/>
      <c r="LQ50" s="111" t="n"/>
      <c r="LR50" s="111" t="n"/>
      <c r="LS50" s="111" t="n"/>
      <c r="LT50" s="111" t="n"/>
      <c r="LU50" s="111" t="n"/>
      <c r="LV50" s="111" t="n"/>
      <c r="LW50" s="111" t="n"/>
      <c r="LX50" s="111" t="n"/>
      <c r="LY50" s="111" t="n"/>
      <c r="LZ50" s="111" t="n"/>
      <c r="MA50" s="111" t="n"/>
      <c r="MB50" s="111" t="n"/>
      <c r="MC50" s="111" t="n"/>
      <c r="MD50" s="111" t="n"/>
      <c r="ME50" s="111" t="n"/>
      <c r="MF50" s="111" t="n"/>
      <c r="MG50" s="111" t="n"/>
      <c r="MH50" s="111" t="n"/>
      <c r="MI50" s="111" t="n"/>
      <c r="MJ50" s="111" t="n"/>
      <c r="MK50" s="111" t="n"/>
      <c r="ML50" s="111" t="n"/>
      <c r="MM50" s="111" t="n"/>
      <c r="MN50" s="111" t="n"/>
      <c r="MO50" s="111" t="n"/>
      <c r="MP50" s="111" t="n"/>
      <c r="MQ50" s="111" t="n"/>
      <c r="MR50" s="111" t="n"/>
      <c r="MS50" s="111" t="n"/>
      <c r="MT50" s="111" t="n"/>
      <c r="MU50" s="111" t="n"/>
      <c r="MV50" s="111" t="n"/>
      <c r="MW50" s="111" t="n"/>
      <c r="MX50" s="111" t="n"/>
      <c r="MY50" s="111" t="n"/>
      <c r="MZ50" s="111" t="n"/>
      <c r="NA50" s="111" t="n"/>
      <c r="NB50" s="111" t="n"/>
      <c r="NC50" s="111" t="n"/>
      <c r="ND50" s="111" t="n"/>
      <c r="NE50" s="111" t="n"/>
      <c r="NF50" s="111" t="n"/>
      <c r="NG50" s="111" t="n"/>
      <c r="NH50" s="111" t="n"/>
      <c r="NI50" s="111" t="n"/>
      <c r="NJ50" s="111" t="n"/>
      <c r="NK50" s="111" t="n"/>
      <c r="NL50" s="111" t="n"/>
      <c r="NM50" s="111" t="n"/>
      <c r="NN50" s="111" t="n"/>
      <c r="NO50" s="111" t="n"/>
      <c r="NP50" s="111" t="n"/>
      <c r="NQ50" s="111" t="n"/>
    </row>
    <row r="51" customFormat="1" s="17">
      <c r="A51" s="33">
        <f>IF(ISERROR(VALUE(SUBSTITUTE(OFFSET(A51,-1,0,1,1),".",""))),"0.1",IF(ISERROR(FIND("`",SUBSTITUTE(OFFSET(A51,-1,0,1,1),".","`",1))),OFFSET(A51,-1,0,1,1)&amp;".1",LEFT(OFFSET(A51,-1,0,1,1),FIND("`",SUBSTITUTE(OFFSET(A51,-1,0,1,1),".","`",1)))&amp;IF(ISERROR(FIND("`",SUBSTITUTE(OFFSET(A51,-1,0,1,1),".","`",2))),VALUE(RIGHT(OFFSET(A51,-1,0,1,1),LEN(OFFSET(A51,-1,0,1,1))-FIND("`",SUBSTITUTE(OFFSET(A51,-1,0,1,1),".","`",1))))+1,VALUE(MID(OFFSET(A51,-1,0,1,1),FIND("`",SUBSTITUTE(OFFSET(A51,-1,0,1,1),".","`",1))+1,(FIND("`",SUBSTITUTE(OFFSET(A51,-1,0,1,1),".","`",2))-FIND("`",SUBSTITUTE(OFFSET(A51,-1,0,1,1),".","`",1))-1)))+1)))</f>
        <v/>
      </c>
      <c r="B51" s="10" t="inlineStr">
        <is>
          <t>[ Level 2 Task ]</t>
        </is>
      </c>
      <c r="C51" s="11" t="n"/>
      <c r="D51" s="37" t="n"/>
      <c r="E51" s="37" t="n"/>
      <c r="F51" s="37" t="n"/>
      <c r="G51" s="274">
        <f>$G$6</f>
        <v/>
      </c>
      <c r="H51" s="275">
        <f>IF(K51=0,G51,WORKDAY(IF(WEEKDAY(G51,1)=7,G51+2,IF(WEEKDAY(G51,1)=1,G51+1,G51)),K51-1,holidays))</f>
        <v/>
      </c>
      <c r="I51" s="272" t="n"/>
      <c r="J51" s="272" t="n"/>
      <c r="K51" s="79" t="n">
        <v>1</v>
      </c>
      <c r="L51" s="13" t="n"/>
      <c r="M51" s="14">
        <f>IF(OR(G51=0,H51=0),0,H51-G51+1)</f>
        <v/>
      </c>
      <c r="N51" s="15">
        <f>MIN(M51,WORKDAY(G51,ROUNDDOWN(L51*K51,0),holidays)-G51)</f>
        <v/>
      </c>
      <c r="O51" s="14">
        <f>M51-N51</f>
        <v/>
      </c>
      <c r="P51" s="113" t="n"/>
      <c r="Q51" s="17"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1" t="n"/>
      <c r="BD51" s="111" t="n"/>
      <c r="BE51" s="111" t="n"/>
      <c r="BF51" s="111" t="n"/>
      <c r="BG51" s="111" t="n"/>
      <c r="BH51" s="111" t="n"/>
      <c r="BI51" s="111" t="n"/>
      <c r="BJ51" s="111" t="n"/>
      <c r="BK51" s="111" t="n"/>
      <c r="BL51" s="111" t="n"/>
      <c r="BM51" s="111" t="n"/>
      <c r="BN51" s="111" t="n"/>
      <c r="BO51" s="111" t="n"/>
      <c r="BP51" s="111" t="n"/>
      <c r="BQ51" s="111" t="n"/>
      <c r="BR51" s="111" t="n"/>
      <c r="BS51" s="111" t="n"/>
      <c r="BT51" s="111" t="n"/>
      <c r="BU51" s="111" t="n"/>
      <c r="BV51" s="111" t="n"/>
      <c r="BW51" s="111" t="n"/>
      <c r="BX51" s="111" t="n"/>
      <c r="BY51" s="111" t="n"/>
      <c r="BZ51" s="111" t="n"/>
      <c r="CA51" s="111" t="n"/>
      <c r="CB51" s="111" t="n"/>
      <c r="CC51" s="111" t="n"/>
      <c r="CD51" s="111" t="n"/>
      <c r="CE51" s="111" t="n"/>
      <c r="CF51" s="111"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1" t="n"/>
      <c r="DS51" s="111" t="n"/>
      <c r="DT51" s="111" t="n"/>
      <c r="DU51" s="111" t="n"/>
      <c r="DV51" s="111" t="n"/>
      <c r="DW51" s="111" t="n"/>
      <c r="DX51" s="111" t="n"/>
      <c r="DY51" s="111" t="n"/>
      <c r="DZ51" s="111" t="n"/>
      <c r="EA51" s="111" t="n"/>
      <c r="EB51" s="111" t="n"/>
      <c r="EC51" s="111" t="n"/>
      <c r="ED51" s="111" t="n"/>
      <c r="EE51" s="111" t="n"/>
      <c r="EF51" s="111" t="n"/>
      <c r="EG51" s="111" t="n"/>
      <c r="EH51" s="111" t="n"/>
      <c r="EI51" s="111" t="n"/>
      <c r="EJ51" s="111" t="n"/>
      <c r="EK51" s="111" t="n"/>
      <c r="EL51" s="111" t="n"/>
      <c r="EM51" s="111" t="n"/>
      <c r="EN51" s="111" t="n"/>
      <c r="EO51" s="111" t="n"/>
      <c r="EP51" s="111" t="n"/>
      <c r="EQ51" s="111" t="n"/>
      <c r="ER51" s="111" t="n"/>
      <c r="ES51" s="111" t="n"/>
      <c r="ET51" s="111" t="n"/>
      <c r="EU51" s="111" t="n"/>
      <c r="EV51" s="111" t="n"/>
      <c r="EW51" s="111" t="n"/>
      <c r="EX51" s="111" t="n"/>
      <c r="EY51" s="111" t="n"/>
      <c r="EZ51" s="111" t="n"/>
      <c r="FA51" s="111" t="n"/>
      <c r="FB51" s="111"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1" t="n"/>
      <c r="GH51" s="111" t="n"/>
      <c r="GI51" s="111" t="n"/>
      <c r="GJ51" s="111" t="n"/>
      <c r="GK51" s="111" t="n"/>
      <c r="GL51" s="111" t="n"/>
      <c r="GM51" s="111" t="n"/>
      <c r="GN51" s="111" t="n"/>
      <c r="GO51" s="111" t="n"/>
      <c r="GP51" s="111" t="n"/>
      <c r="GQ51" s="111" t="n"/>
      <c r="GR51" s="111" t="n"/>
      <c r="GS51" s="111" t="n"/>
      <c r="GT51" s="111" t="n"/>
      <c r="GU51" s="111" t="n"/>
      <c r="GV51" s="111" t="n"/>
      <c r="GW51" s="111" t="n"/>
      <c r="GX51" s="111" t="n"/>
      <c r="GY51" s="111" t="n"/>
      <c r="GZ51" s="111" t="n"/>
      <c r="HA51" s="111" t="n"/>
      <c r="HB51" s="111" t="n"/>
      <c r="HC51" s="111" t="n"/>
      <c r="HD51" s="111" t="n"/>
      <c r="HE51" s="111" t="n"/>
      <c r="HF51" s="111" t="n"/>
      <c r="HG51" s="111" t="n"/>
      <c r="HH51" s="111" t="n"/>
      <c r="HI51" s="111" t="n"/>
      <c r="HJ51" s="111" t="n"/>
      <c r="HK51" s="111" t="n"/>
      <c r="HL51" s="111" t="n"/>
      <c r="HM51" s="111" t="n"/>
      <c r="HN51" s="111" t="n"/>
      <c r="HO51" s="111" t="n"/>
      <c r="HP51" s="111" t="n"/>
      <c r="HQ51" s="111" t="n"/>
      <c r="HR51" s="111" t="n"/>
      <c r="HS51" s="111" t="n"/>
      <c r="HT51" s="111" t="n"/>
      <c r="HU51" s="111" t="n"/>
      <c r="HV51" s="111" t="n"/>
      <c r="HW51" s="111" t="n"/>
      <c r="HX51" s="111" t="n"/>
      <c r="HY51" s="111" t="n"/>
      <c r="HZ51" s="111" t="n"/>
      <c r="IA51" s="111" t="n"/>
      <c r="IB51" s="111" t="n"/>
      <c r="IC51" s="111" t="n"/>
      <c r="ID51" s="111" t="n"/>
      <c r="IE51" s="111" t="n"/>
      <c r="IF51" s="111" t="n"/>
      <c r="IG51" s="111" t="n"/>
      <c r="IH51" s="111" t="n"/>
      <c r="II51" s="111" t="n"/>
      <c r="IJ51" s="111" t="n"/>
      <c r="IK51" s="111" t="n"/>
      <c r="IL51" s="111" t="n"/>
      <c r="IM51" s="111" t="n"/>
      <c r="IN51" s="111" t="n"/>
      <c r="IO51" s="111" t="n"/>
      <c r="IP51" s="111" t="n"/>
      <c r="IQ51" s="111" t="n"/>
      <c r="IR51" s="111" t="n"/>
      <c r="IS51" s="111" t="n"/>
      <c r="IT51" s="111" t="n"/>
      <c r="IU51" s="111" t="n"/>
      <c r="IV51" s="111" t="n"/>
      <c r="IW51" s="111" t="n"/>
      <c r="IX51" s="111" t="n"/>
      <c r="IY51" s="111" t="n"/>
      <c r="IZ51" s="111" t="n"/>
      <c r="JA51" s="111" t="n"/>
      <c r="JB51" s="111" t="n"/>
      <c r="JC51" s="111" t="n"/>
      <c r="JD51" s="111" t="n"/>
      <c r="JE51" s="111" t="n"/>
      <c r="JF51" s="111" t="n"/>
      <c r="JG51" s="111" t="n"/>
      <c r="JH51" s="111" t="n"/>
      <c r="JI51" s="111" t="n"/>
      <c r="JJ51" s="111" t="n"/>
      <c r="JK51" s="111" t="n"/>
      <c r="JL51" s="111" t="n"/>
      <c r="JM51" s="111" t="n"/>
      <c r="JN51" s="111" t="n"/>
      <c r="JO51" s="111" t="n"/>
      <c r="JP51" s="111" t="n"/>
      <c r="JQ51" s="111" t="n"/>
      <c r="JR51" s="111" t="n"/>
      <c r="JS51" s="111" t="n"/>
      <c r="JT51" s="111" t="n"/>
      <c r="JU51" s="111" t="n"/>
      <c r="JV51" s="111" t="n"/>
      <c r="JW51" s="111" t="n"/>
      <c r="JX51" s="111" t="n"/>
      <c r="JY51" s="111" t="n"/>
      <c r="JZ51" s="111" t="n"/>
      <c r="KA51" s="111" t="n"/>
      <c r="KB51" s="111" t="n"/>
      <c r="KC51" s="111" t="n"/>
      <c r="KD51" s="111" t="n"/>
      <c r="KE51" s="111" t="n"/>
      <c r="KF51" s="111" t="n"/>
      <c r="KG51" s="111" t="n"/>
      <c r="KH51" s="111" t="n"/>
      <c r="KI51" s="111" t="n"/>
      <c r="KJ51" s="111" t="n"/>
      <c r="KK51" s="111" t="n"/>
      <c r="KL51" s="111" t="n"/>
      <c r="KM51" s="111" t="n"/>
      <c r="KN51" s="111" t="n"/>
      <c r="KO51" s="111" t="n"/>
      <c r="KP51" s="111" t="n"/>
      <c r="KQ51" s="111" t="n"/>
      <c r="KR51" s="111" t="n"/>
      <c r="KS51" s="111" t="n"/>
      <c r="KT51" s="111" t="n"/>
      <c r="KU51" s="111" t="n"/>
      <c r="KV51" s="111" t="n"/>
      <c r="KW51" s="111" t="n"/>
      <c r="KX51" s="111" t="n"/>
      <c r="KY51" s="111" t="n"/>
      <c r="KZ51" s="111" t="n"/>
      <c r="LA51" s="111" t="n"/>
      <c r="LB51" s="111" t="n"/>
      <c r="LC51" s="111" t="n"/>
      <c r="LD51" s="111" t="n"/>
      <c r="LE51" s="111" t="n"/>
      <c r="LF51" s="111" t="n"/>
      <c r="LG51" s="111" t="n"/>
      <c r="LH51" s="111" t="n"/>
      <c r="LI51" s="111" t="n"/>
      <c r="LJ51" s="111" t="n"/>
      <c r="LK51" s="111" t="n"/>
      <c r="LL51" s="111" t="n"/>
      <c r="LM51" s="111" t="n"/>
      <c r="LN51" s="111" t="n"/>
      <c r="LO51" s="111" t="n"/>
      <c r="LP51" s="111" t="n"/>
      <c r="LQ51" s="111" t="n"/>
      <c r="LR51" s="111" t="n"/>
      <c r="LS51" s="111" t="n"/>
      <c r="LT51" s="111" t="n"/>
      <c r="LU51" s="111" t="n"/>
      <c r="LV51" s="111" t="n"/>
      <c r="LW51" s="111" t="n"/>
      <c r="LX51" s="111" t="n"/>
      <c r="LY51" s="111" t="n"/>
      <c r="LZ51" s="111" t="n"/>
      <c r="MA51" s="111" t="n"/>
      <c r="MB51" s="111" t="n"/>
      <c r="MC51" s="111" t="n"/>
      <c r="MD51" s="111" t="n"/>
      <c r="ME51" s="111" t="n"/>
      <c r="MF51" s="111" t="n"/>
      <c r="MG51" s="111" t="n"/>
      <c r="MH51" s="111" t="n"/>
      <c r="MI51" s="111" t="n"/>
      <c r="MJ51" s="111" t="n"/>
      <c r="MK51" s="111" t="n"/>
      <c r="ML51" s="111" t="n"/>
      <c r="MM51" s="111" t="n"/>
      <c r="MN51" s="111" t="n"/>
      <c r="MO51" s="111" t="n"/>
      <c r="MP51" s="111" t="n"/>
      <c r="MQ51" s="111" t="n"/>
      <c r="MR51" s="111" t="n"/>
      <c r="MS51" s="111" t="n"/>
      <c r="MT51" s="111" t="n"/>
      <c r="MU51" s="111" t="n"/>
      <c r="MV51" s="111" t="n"/>
      <c r="MW51" s="111" t="n"/>
      <c r="MX51" s="111" t="n"/>
      <c r="MY51" s="111" t="n"/>
      <c r="MZ51" s="111" t="n"/>
      <c r="NA51" s="111" t="n"/>
      <c r="NB51" s="111" t="n"/>
      <c r="NC51" s="111" t="n"/>
      <c r="ND51" s="111" t="n"/>
      <c r="NE51" s="111" t="n"/>
      <c r="NF51" s="111" t="n"/>
      <c r="NG51" s="111" t="n"/>
      <c r="NH51" s="111" t="n"/>
      <c r="NI51" s="111" t="n"/>
      <c r="NJ51" s="111" t="n"/>
      <c r="NK51" s="111" t="n"/>
      <c r="NL51" s="111" t="n"/>
      <c r="NM51" s="111" t="n"/>
      <c r="NN51" s="111" t="n"/>
      <c r="NO51" s="111" t="n"/>
      <c r="NP51" s="111" t="n"/>
      <c r="NQ51" s="111" t="n"/>
    </row>
    <row r="52" customFormat="1" s="17">
      <c r="A52" s="33">
        <f>IF(ISERROR(VALUE(SUBSTITUTE(OFFSET(A52,-1,0,1,1),".",""))),"0.1",IF(ISERROR(FIND("`",SUBSTITUTE(OFFSET(A52,-1,0,1,1),".","`",1))),OFFSET(A52,-1,0,1,1)&amp;".1",LEFT(OFFSET(A52,-1,0,1,1),FIND("`",SUBSTITUTE(OFFSET(A52,-1,0,1,1),".","`",1)))&amp;IF(ISERROR(FIND("`",SUBSTITUTE(OFFSET(A52,-1,0,1,1),".","`",2))),VALUE(RIGHT(OFFSET(A52,-1,0,1,1),LEN(OFFSET(A52,-1,0,1,1))-FIND("`",SUBSTITUTE(OFFSET(A52,-1,0,1,1),".","`",1))))+1,VALUE(MID(OFFSET(A52,-1,0,1,1),FIND("`",SUBSTITUTE(OFFSET(A52,-1,0,1,1),".","`",1))+1,(FIND("`",SUBSTITUTE(OFFSET(A52,-1,0,1,1),".","`",2))-FIND("`",SUBSTITUTE(OFFSET(A52,-1,0,1,1),".","`",1))-1)))+1)))</f>
        <v/>
      </c>
      <c r="B52" s="10" t="inlineStr">
        <is>
          <t>[ Level 2 Task ]</t>
        </is>
      </c>
      <c r="C52" s="11" t="n"/>
      <c r="D52" s="37" t="n"/>
      <c r="E52" s="37" t="n"/>
      <c r="F52" s="37" t="n"/>
      <c r="G52" s="274">
        <f>$G$6</f>
        <v/>
      </c>
      <c r="H52" s="275">
        <f>IF(K52=0,G52,WORKDAY(IF(WEEKDAY(G52,1)=7,G52+2,IF(WEEKDAY(G52,1)=1,G52+1,G52)),K52-1,holidays))</f>
        <v/>
      </c>
      <c r="I52" s="272" t="n"/>
      <c r="J52" s="272" t="n"/>
      <c r="K52" s="79" t="n">
        <v>1</v>
      </c>
      <c r="L52" s="13" t="n"/>
      <c r="M52" s="14">
        <f>IF(OR(G52=0,H52=0),0,H52-G52+1)</f>
        <v/>
      </c>
      <c r="N52" s="15">
        <f>MIN(M52,WORKDAY(G52,ROUNDDOWN(L52*K52,0),holidays)-G52)</f>
        <v/>
      </c>
      <c r="O52" s="14">
        <f>M52-N52</f>
        <v/>
      </c>
      <c r="P52" s="113" t="n"/>
      <c r="Q52" s="17" t="n"/>
      <c r="R52" s="111" t="n"/>
      <c r="S52" s="111" t="n"/>
      <c r="T52" s="111" t="n"/>
      <c r="U52" s="111" t="n"/>
      <c r="V52" s="111" t="n"/>
      <c r="W52" s="111"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1" t="n"/>
      <c r="AY52" s="111" t="n"/>
      <c r="AZ52" s="111" t="n"/>
      <c r="BA52" s="111" t="n"/>
      <c r="BB52" s="111" t="n"/>
      <c r="BC52" s="111" t="n"/>
      <c r="BD52" s="111" t="n"/>
      <c r="BE52" s="111" t="n"/>
      <c r="BF52" s="111" t="n"/>
      <c r="BG52" s="111" t="n"/>
      <c r="BH52" s="111" t="n"/>
      <c r="BI52" s="111" t="n"/>
      <c r="BJ52" s="111" t="n"/>
      <c r="BK52" s="111" t="n"/>
      <c r="BL52" s="111" t="n"/>
      <c r="BM52" s="111" t="n"/>
      <c r="BN52" s="111" t="n"/>
      <c r="BO52" s="111" t="n"/>
      <c r="BP52" s="111" t="n"/>
      <c r="BQ52" s="111" t="n"/>
      <c r="BR52" s="111" t="n"/>
      <c r="BS52" s="111" t="n"/>
      <c r="BT52" s="111" t="n"/>
      <c r="BU52" s="111" t="n"/>
      <c r="BV52" s="111" t="n"/>
      <c r="BW52" s="111" t="n"/>
      <c r="BX52" s="111" t="n"/>
      <c r="BY52" s="111" t="n"/>
      <c r="BZ52" s="111" t="n"/>
      <c r="CA52" s="111" t="n"/>
      <c r="CB52" s="111" t="n"/>
      <c r="CC52" s="111" t="n"/>
      <c r="CD52" s="111" t="n"/>
      <c r="CE52" s="111" t="n"/>
      <c r="CF52" s="111"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1" t="n"/>
      <c r="DS52" s="111" t="n"/>
      <c r="DT52" s="111" t="n"/>
      <c r="DU52" s="111" t="n"/>
      <c r="DV52" s="111" t="n"/>
      <c r="DW52" s="111" t="n"/>
      <c r="DX52" s="111" t="n"/>
      <c r="DY52" s="111" t="n"/>
      <c r="DZ52" s="111" t="n"/>
      <c r="EA52" s="111" t="n"/>
      <c r="EB52" s="111" t="n"/>
      <c r="EC52" s="111" t="n"/>
      <c r="ED52" s="111" t="n"/>
      <c r="EE52" s="111" t="n"/>
      <c r="EF52" s="111" t="n"/>
      <c r="EG52" s="111" t="n"/>
      <c r="EH52" s="111" t="n"/>
      <c r="EI52" s="111" t="n"/>
      <c r="EJ52" s="111" t="n"/>
      <c r="EK52" s="111" t="n"/>
      <c r="EL52" s="111" t="n"/>
      <c r="EM52" s="111" t="n"/>
      <c r="EN52" s="111" t="n"/>
      <c r="EO52" s="111" t="n"/>
      <c r="EP52" s="111" t="n"/>
      <c r="EQ52" s="111" t="n"/>
      <c r="ER52" s="111" t="n"/>
      <c r="ES52" s="111" t="n"/>
      <c r="ET52" s="111" t="n"/>
      <c r="EU52" s="111" t="n"/>
      <c r="EV52" s="111" t="n"/>
      <c r="EW52" s="111" t="n"/>
      <c r="EX52" s="111" t="n"/>
      <c r="EY52" s="111" t="n"/>
      <c r="EZ52" s="111" t="n"/>
      <c r="FA52" s="111" t="n"/>
      <c r="FB52" s="111"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1" t="n"/>
      <c r="GH52" s="111" t="n"/>
      <c r="GI52" s="111" t="n"/>
      <c r="GJ52" s="111" t="n"/>
      <c r="GK52" s="111" t="n"/>
      <c r="GL52" s="111" t="n"/>
      <c r="GM52" s="111" t="n"/>
      <c r="GN52" s="111" t="n"/>
      <c r="GO52" s="111" t="n"/>
      <c r="GP52" s="111" t="n"/>
      <c r="GQ52" s="111" t="n"/>
      <c r="GR52" s="111" t="n"/>
      <c r="GS52" s="111" t="n"/>
      <c r="GT52" s="111" t="n"/>
      <c r="GU52" s="111" t="n"/>
      <c r="GV52" s="111" t="n"/>
      <c r="GW52" s="111" t="n"/>
      <c r="GX52" s="111" t="n"/>
      <c r="GY52" s="111" t="n"/>
      <c r="GZ52" s="111" t="n"/>
      <c r="HA52" s="111" t="n"/>
      <c r="HB52" s="111" t="n"/>
      <c r="HC52" s="111" t="n"/>
      <c r="HD52" s="111" t="n"/>
      <c r="HE52" s="111" t="n"/>
      <c r="HF52" s="111" t="n"/>
      <c r="HG52" s="111" t="n"/>
      <c r="HH52" s="111" t="n"/>
      <c r="HI52" s="111" t="n"/>
      <c r="HJ52" s="111" t="n"/>
      <c r="HK52" s="111" t="n"/>
      <c r="HL52" s="111" t="n"/>
      <c r="HM52" s="111" t="n"/>
      <c r="HN52" s="111" t="n"/>
      <c r="HO52" s="111" t="n"/>
      <c r="HP52" s="111" t="n"/>
      <c r="HQ52" s="111" t="n"/>
      <c r="HR52" s="111" t="n"/>
      <c r="HS52" s="111" t="n"/>
      <c r="HT52" s="111" t="n"/>
      <c r="HU52" s="111" t="n"/>
      <c r="HV52" s="111" t="n"/>
      <c r="HW52" s="111" t="n"/>
      <c r="HX52" s="111" t="n"/>
      <c r="HY52" s="111" t="n"/>
      <c r="HZ52" s="111" t="n"/>
      <c r="IA52" s="111" t="n"/>
      <c r="IB52" s="111" t="n"/>
      <c r="IC52" s="111" t="n"/>
      <c r="ID52" s="111" t="n"/>
      <c r="IE52" s="111" t="n"/>
      <c r="IF52" s="111" t="n"/>
      <c r="IG52" s="111" t="n"/>
      <c r="IH52" s="111" t="n"/>
      <c r="II52" s="111" t="n"/>
      <c r="IJ52" s="111" t="n"/>
      <c r="IK52" s="111" t="n"/>
      <c r="IL52" s="111" t="n"/>
      <c r="IM52" s="111" t="n"/>
      <c r="IN52" s="111" t="n"/>
      <c r="IO52" s="111" t="n"/>
      <c r="IP52" s="111" t="n"/>
      <c r="IQ52" s="111" t="n"/>
      <c r="IR52" s="111" t="n"/>
      <c r="IS52" s="111" t="n"/>
      <c r="IT52" s="111" t="n"/>
      <c r="IU52" s="111" t="n"/>
      <c r="IV52" s="111" t="n"/>
      <c r="IW52" s="111" t="n"/>
      <c r="IX52" s="111" t="n"/>
      <c r="IY52" s="111" t="n"/>
      <c r="IZ52" s="111" t="n"/>
      <c r="JA52" s="111" t="n"/>
      <c r="JB52" s="111" t="n"/>
      <c r="JC52" s="111" t="n"/>
      <c r="JD52" s="111" t="n"/>
      <c r="JE52" s="111" t="n"/>
      <c r="JF52" s="111" t="n"/>
      <c r="JG52" s="111" t="n"/>
      <c r="JH52" s="111" t="n"/>
      <c r="JI52" s="111" t="n"/>
      <c r="JJ52" s="111" t="n"/>
      <c r="JK52" s="111" t="n"/>
      <c r="JL52" s="111" t="n"/>
      <c r="JM52" s="111" t="n"/>
      <c r="JN52" s="111" t="n"/>
      <c r="JO52" s="111" t="n"/>
      <c r="JP52" s="111" t="n"/>
      <c r="JQ52" s="111" t="n"/>
      <c r="JR52" s="111" t="n"/>
      <c r="JS52" s="111" t="n"/>
      <c r="JT52" s="111" t="n"/>
      <c r="JU52" s="111" t="n"/>
      <c r="JV52" s="111" t="n"/>
      <c r="JW52" s="111" t="n"/>
      <c r="JX52" s="111" t="n"/>
      <c r="JY52" s="111" t="n"/>
      <c r="JZ52" s="111" t="n"/>
      <c r="KA52" s="111" t="n"/>
      <c r="KB52" s="111" t="n"/>
      <c r="KC52" s="111" t="n"/>
      <c r="KD52" s="111" t="n"/>
      <c r="KE52" s="111" t="n"/>
      <c r="KF52" s="111" t="n"/>
      <c r="KG52" s="111" t="n"/>
      <c r="KH52" s="111" t="n"/>
      <c r="KI52" s="111" t="n"/>
      <c r="KJ52" s="111" t="n"/>
      <c r="KK52" s="111" t="n"/>
      <c r="KL52" s="111" t="n"/>
      <c r="KM52" s="111" t="n"/>
      <c r="KN52" s="111" t="n"/>
      <c r="KO52" s="111" t="n"/>
      <c r="KP52" s="111" t="n"/>
      <c r="KQ52" s="111" t="n"/>
      <c r="KR52" s="111" t="n"/>
      <c r="KS52" s="111" t="n"/>
      <c r="KT52" s="111" t="n"/>
      <c r="KU52" s="111" t="n"/>
      <c r="KV52" s="111" t="n"/>
      <c r="KW52" s="111" t="n"/>
      <c r="KX52" s="111" t="n"/>
      <c r="KY52" s="111" t="n"/>
      <c r="KZ52" s="111" t="n"/>
      <c r="LA52" s="111" t="n"/>
      <c r="LB52" s="111" t="n"/>
      <c r="LC52" s="111" t="n"/>
      <c r="LD52" s="111" t="n"/>
      <c r="LE52" s="111" t="n"/>
      <c r="LF52" s="111" t="n"/>
      <c r="LG52" s="111" t="n"/>
      <c r="LH52" s="111" t="n"/>
      <c r="LI52" s="111" t="n"/>
      <c r="LJ52" s="111" t="n"/>
      <c r="LK52" s="111" t="n"/>
      <c r="LL52" s="111" t="n"/>
      <c r="LM52" s="111" t="n"/>
      <c r="LN52" s="111" t="n"/>
      <c r="LO52" s="111" t="n"/>
      <c r="LP52" s="111" t="n"/>
      <c r="LQ52" s="111" t="n"/>
      <c r="LR52" s="111" t="n"/>
      <c r="LS52" s="111" t="n"/>
      <c r="LT52" s="111" t="n"/>
      <c r="LU52" s="111" t="n"/>
      <c r="LV52" s="111" t="n"/>
      <c r="LW52" s="111" t="n"/>
      <c r="LX52" s="111" t="n"/>
      <c r="LY52" s="111" t="n"/>
      <c r="LZ52" s="111" t="n"/>
      <c r="MA52" s="111" t="n"/>
      <c r="MB52" s="111" t="n"/>
      <c r="MC52" s="111" t="n"/>
      <c r="MD52" s="111" t="n"/>
      <c r="ME52" s="111" t="n"/>
      <c r="MF52" s="111" t="n"/>
      <c r="MG52" s="111" t="n"/>
      <c r="MH52" s="111" t="n"/>
      <c r="MI52" s="111" t="n"/>
      <c r="MJ52" s="111" t="n"/>
      <c r="MK52" s="111" t="n"/>
      <c r="ML52" s="111" t="n"/>
      <c r="MM52" s="111" t="n"/>
      <c r="MN52" s="111" t="n"/>
      <c r="MO52" s="111" t="n"/>
      <c r="MP52" s="111" t="n"/>
      <c r="MQ52" s="111" t="n"/>
      <c r="MR52" s="111" t="n"/>
      <c r="MS52" s="111" t="n"/>
      <c r="MT52" s="111" t="n"/>
      <c r="MU52" s="111" t="n"/>
      <c r="MV52" s="111" t="n"/>
      <c r="MW52" s="111" t="n"/>
      <c r="MX52" s="111" t="n"/>
      <c r="MY52" s="111" t="n"/>
      <c r="MZ52" s="111" t="n"/>
      <c r="NA52" s="111" t="n"/>
      <c r="NB52" s="111" t="n"/>
      <c r="NC52" s="111" t="n"/>
      <c r="ND52" s="111" t="n"/>
      <c r="NE52" s="111" t="n"/>
      <c r="NF52" s="111" t="n"/>
      <c r="NG52" s="111" t="n"/>
      <c r="NH52" s="111" t="n"/>
      <c r="NI52" s="111" t="n"/>
      <c r="NJ52" s="111" t="n"/>
      <c r="NK52" s="111" t="n"/>
      <c r="NL52" s="111" t="n"/>
      <c r="NM52" s="111" t="n"/>
      <c r="NN52" s="111" t="n"/>
      <c r="NO52" s="111" t="n"/>
      <c r="NP52" s="111" t="n"/>
      <c r="NQ52" s="111" t="n"/>
    </row>
    <row r="53" customFormat="1" s="17">
      <c r="A53" s="33">
        <f>IF(ISERROR(VALUE(SUBSTITUTE(OFFSET(A53,-1,0,1,1),".",""))),"0.1",IF(ISERROR(FIND("`",SUBSTITUTE(OFFSET(A53,-1,0,1,1),".","`",1))),OFFSET(A53,-1,0,1,1)&amp;".1",LEFT(OFFSET(A53,-1,0,1,1),FIND("`",SUBSTITUTE(OFFSET(A53,-1,0,1,1),".","`",1)))&amp;IF(ISERROR(FIND("`",SUBSTITUTE(OFFSET(A53,-1,0,1,1),".","`",2))),VALUE(RIGHT(OFFSET(A53,-1,0,1,1),LEN(OFFSET(A53,-1,0,1,1))-FIND("`",SUBSTITUTE(OFFSET(A53,-1,0,1,1),".","`",1))))+1,VALUE(MID(OFFSET(A53,-1,0,1,1),FIND("`",SUBSTITUTE(OFFSET(A53,-1,0,1,1),".","`",1))+1,(FIND("`",SUBSTITUTE(OFFSET(A53,-1,0,1,1),".","`",2))-FIND("`",SUBSTITUTE(OFFSET(A53,-1,0,1,1),".","`",1))-1)))+1)))</f>
        <v/>
      </c>
      <c r="B53" s="10" t="inlineStr">
        <is>
          <t>[ Level 2 Task ]</t>
        </is>
      </c>
      <c r="C53" s="11" t="n"/>
      <c r="D53" s="37" t="n"/>
      <c r="E53" s="37" t="n"/>
      <c r="F53" s="37" t="n"/>
      <c r="G53" s="274">
        <f>$G$6</f>
        <v/>
      </c>
      <c r="H53" s="275">
        <f>IF(K53=0,G53,WORKDAY(IF(WEEKDAY(G53,1)=7,G53+2,IF(WEEKDAY(G53,1)=1,G53+1,G53)),K53-1,holidays))</f>
        <v/>
      </c>
      <c r="I53" s="272" t="n"/>
      <c r="J53" s="272" t="n"/>
      <c r="K53" s="79" t="n">
        <v>1</v>
      </c>
      <c r="L53" s="13" t="n"/>
      <c r="M53" s="14">
        <f>IF(OR(G53=0,H53=0),0,H53-G53+1)</f>
        <v/>
      </c>
      <c r="N53" s="15">
        <f>MIN(M53,WORKDAY(G53,ROUNDDOWN(L53*K53,0),holidays)-G53)</f>
        <v/>
      </c>
      <c r="O53" s="14">
        <f>M53-N53</f>
        <v/>
      </c>
      <c r="P53" s="113" t="n"/>
      <c r="Q53" s="17" t="n"/>
      <c r="R53" s="111" t="n"/>
      <c r="S53" s="111" t="n"/>
      <c r="T53" s="111" t="n"/>
      <c r="U53" s="111" t="n"/>
      <c r="V53" s="111" t="n"/>
      <c r="W53" s="111"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1" t="n"/>
      <c r="BD53" s="111" t="n"/>
      <c r="BE53" s="111" t="n"/>
      <c r="BF53" s="111" t="n"/>
      <c r="BG53" s="111" t="n"/>
      <c r="BH53" s="111" t="n"/>
      <c r="BI53" s="111" t="n"/>
      <c r="BJ53" s="111" t="n"/>
      <c r="BK53" s="111" t="n"/>
      <c r="BL53" s="111" t="n"/>
      <c r="BM53" s="111" t="n"/>
      <c r="BN53" s="111" t="n"/>
      <c r="BO53" s="111" t="n"/>
      <c r="BP53" s="111" t="n"/>
      <c r="BQ53" s="111" t="n"/>
      <c r="BR53" s="111" t="n"/>
      <c r="BS53" s="111" t="n"/>
      <c r="BT53" s="111" t="n"/>
      <c r="BU53" s="111" t="n"/>
      <c r="BV53" s="111" t="n"/>
      <c r="BW53" s="111" t="n"/>
      <c r="BX53" s="111" t="n"/>
      <c r="BY53" s="111" t="n"/>
      <c r="BZ53" s="111" t="n"/>
      <c r="CA53" s="111" t="n"/>
      <c r="CB53" s="111" t="n"/>
      <c r="CC53" s="111" t="n"/>
      <c r="CD53" s="111" t="n"/>
      <c r="CE53" s="111" t="n"/>
      <c r="CF53" s="111"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1" t="n"/>
      <c r="DS53" s="111" t="n"/>
      <c r="DT53" s="111" t="n"/>
      <c r="DU53" s="111" t="n"/>
      <c r="DV53" s="111" t="n"/>
      <c r="DW53" s="111" t="n"/>
      <c r="DX53" s="111" t="n"/>
      <c r="DY53" s="111" t="n"/>
      <c r="DZ53" s="111" t="n"/>
      <c r="EA53" s="111" t="n"/>
      <c r="EB53" s="111" t="n"/>
      <c r="EC53" s="111" t="n"/>
      <c r="ED53" s="111" t="n"/>
      <c r="EE53" s="111" t="n"/>
      <c r="EF53" s="111" t="n"/>
      <c r="EG53" s="111" t="n"/>
      <c r="EH53" s="111" t="n"/>
      <c r="EI53" s="111" t="n"/>
      <c r="EJ53" s="111" t="n"/>
      <c r="EK53" s="111" t="n"/>
      <c r="EL53" s="111" t="n"/>
      <c r="EM53" s="111" t="n"/>
      <c r="EN53" s="111" t="n"/>
      <c r="EO53" s="111" t="n"/>
      <c r="EP53" s="111" t="n"/>
      <c r="EQ53" s="111" t="n"/>
      <c r="ER53" s="111" t="n"/>
      <c r="ES53" s="111" t="n"/>
      <c r="ET53" s="111" t="n"/>
      <c r="EU53" s="111" t="n"/>
      <c r="EV53" s="111" t="n"/>
      <c r="EW53" s="111" t="n"/>
      <c r="EX53" s="111" t="n"/>
      <c r="EY53" s="111" t="n"/>
      <c r="EZ53" s="111" t="n"/>
      <c r="FA53" s="111" t="n"/>
      <c r="FB53" s="111"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1" t="n"/>
      <c r="GH53" s="111" t="n"/>
      <c r="GI53" s="111" t="n"/>
      <c r="GJ53" s="111" t="n"/>
      <c r="GK53" s="111" t="n"/>
      <c r="GL53" s="111" t="n"/>
      <c r="GM53" s="111" t="n"/>
      <c r="GN53" s="111" t="n"/>
      <c r="GO53" s="111" t="n"/>
      <c r="GP53" s="111" t="n"/>
      <c r="GQ53" s="111" t="n"/>
      <c r="GR53" s="111" t="n"/>
      <c r="GS53" s="111" t="n"/>
      <c r="GT53" s="111" t="n"/>
      <c r="GU53" s="111" t="n"/>
      <c r="GV53" s="111" t="n"/>
      <c r="GW53" s="111" t="n"/>
      <c r="GX53" s="111" t="n"/>
      <c r="GY53" s="111" t="n"/>
      <c r="GZ53" s="111" t="n"/>
      <c r="HA53" s="111" t="n"/>
      <c r="HB53" s="111" t="n"/>
      <c r="HC53" s="111" t="n"/>
      <c r="HD53" s="111" t="n"/>
      <c r="HE53" s="111" t="n"/>
      <c r="HF53" s="111" t="n"/>
      <c r="HG53" s="111" t="n"/>
      <c r="HH53" s="111" t="n"/>
      <c r="HI53" s="111" t="n"/>
      <c r="HJ53" s="111" t="n"/>
      <c r="HK53" s="111" t="n"/>
      <c r="HL53" s="111" t="n"/>
      <c r="HM53" s="111" t="n"/>
      <c r="HN53" s="111" t="n"/>
      <c r="HO53" s="111" t="n"/>
      <c r="HP53" s="111" t="n"/>
      <c r="HQ53" s="111" t="n"/>
      <c r="HR53" s="111" t="n"/>
      <c r="HS53" s="111" t="n"/>
      <c r="HT53" s="111" t="n"/>
      <c r="HU53" s="111" t="n"/>
      <c r="HV53" s="111" t="n"/>
      <c r="HW53" s="111" t="n"/>
      <c r="HX53" s="111" t="n"/>
      <c r="HY53" s="111" t="n"/>
      <c r="HZ53" s="111" t="n"/>
      <c r="IA53" s="111" t="n"/>
      <c r="IB53" s="111" t="n"/>
      <c r="IC53" s="111" t="n"/>
      <c r="ID53" s="111" t="n"/>
      <c r="IE53" s="111" t="n"/>
      <c r="IF53" s="111" t="n"/>
      <c r="IG53" s="111" t="n"/>
      <c r="IH53" s="111" t="n"/>
      <c r="II53" s="111" t="n"/>
      <c r="IJ53" s="111" t="n"/>
      <c r="IK53" s="111" t="n"/>
      <c r="IL53" s="111" t="n"/>
      <c r="IM53" s="111" t="n"/>
      <c r="IN53" s="111" t="n"/>
      <c r="IO53" s="111" t="n"/>
      <c r="IP53" s="111" t="n"/>
      <c r="IQ53" s="111" t="n"/>
      <c r="IR53" s="111" t="n"/>
      <c r="IS53" s="111" t="n"/>
      <c r="IT53" s="111" t="n"/>
      <c r="IU53" s="111" t="n"/>
      <c r="IV53" s="111" t="n"/>
      <c r="IW53" s="111" t="n"/>
      <c r="IX53" s="111" t="n"/>
      <c r="IY53" s="111" t="n"/>
      <c r="IZ53" s="111" t="n"/>
      <c r="JA53" s="111" t="n"/>
      <c r="JB53" s="111" t="n"/>
      <c r="JC53" s="111" t="n"/>
      <c r="JD53" s="111" t="n"/>
      <c r="JE53" s="111" t="n"/>
      <c r="JF53" s="111" t="n"/>
      <c r="JG53" s="111" t="n"/>
      <c r="JH53" s="111" t="n"/>
      <c r="JI53" s="111" t="n"/>
      <c r="JJ53" s="111" t="n"/>
      <c r="JK53" s="111" t="n"/>
      <c r="JL53" s="111" t="n"/>
      <c r="JM53" s="111" t="n"/>
      <c r="JN53" s="111" t="n"/>
      <c r="JO53" s="111" t="n"/>
      <c r="JP53" s="111" t="n"/>
      <c r="JQ53" s="111" t="n"/>
      <c r="JR53" s="111" t="n"/>
      <c r="JS53" s="111" t="n"/>
      <c r="JT53" s="111" t="n"/>
      <c r="JU53" s="111" t="n"/>
      <c r="JV53" s="111" t="n"/>
      <c r="JW53" s="111" t="n"/>
      <c r="JX53" s="111" t="n"/>
      <c r="JY53" s="111" t="n"/>
      <c r="JZ53" s="111" t="n"/>
      <c r="KA53" s="111" t="n"/>
      <c r="KB53" s="111" t="n"/>
      <c r="KC53" s="111" t="n"/>
      <c r="KD53" s="111" t="n"/>
      <c r="KE53" s="111" t="n"/>
      <c r="KF53" s="111" t="n"/>
      <c r="KG53" s="111" t="n"/>
      <c r="KH53" s="111" t="n"/>
      <c r="KI53" s="111" t="n"/>
      <c r="KJ53" s="111" t="n"/>
      <c r="KK53" s="111" t="n"/>
      <c r="KL53" s="111" t="n"/>
      <c r="KM53" s="111" t="n"/>
      <c r="KN53" s="111" t="n"/>
      <c r="KO53" s="111" t="n"/>
      <c r="KP53" s="111" t="n"/>
      <c r="KQ53" s="111" t="n"/>
      <c r="KR53" s="111" t="n"/>
      <c r="KS53" s="111" t="n"/>
      <c r="KT53" s="111" t="n"/>
      <c r="KU53" s="111" t="n"/>
      <c r="KV53" s="111" t="n"/>
      <c r="KW53" s="111" t="n"/>
      <c r="KX53" s="111" t="n"/>
      <c r="KY53" s="111" t="n"/>
      <c r="KZ53" s="111" t="n"/>
      <c r="LA53" s="111" t="n"/>
      <c r="LB53" s="111" t="n"/>
      <c r="LC53" s="111" t="n"/>
      <c r="LD53" s="111" t="n"/>
      <c r="LE53" s="111" t="n"/>
      <c r="LF53" s="111" t="n"/>
      <c r="LG53" s="111" t="n"/>
      <c r="LH53" s="111" t="n"/>
      <c r="LI53" s="111" t="n"/>
      <c r="LJ53" s="111" t="n"/>
      <c r="LK53" s="111" t="n"/>
      <c r="LL53" s="111" t="n"/>
      <c r="LM53" s="111" t="n"/>
      <c r="LN53" s="111" t="n"/>
      <c r="LO53" s="111" t="n"/>
      <c r="LP53" s="111" t="n"/>
      <c r="LQ53" s="111" t="n"/>
      <c r="LR53" s="111" t="n"/>
      <c r="LS53" s="111" t="n"/>
      <c r="LT53" s="111" t="n"/>
      <c r="LU53" s="111" t="n"/>
      <c r="LV53" s="111" t="n"/>
      <c r="LW53" s="111" t="n"/>
      <c r="LX53" s="111" t="n"/>
      <c r="LY53" s="111" t="n"/>
      <c r="LZ53" s="111" t="n"/>
      <c r="MA53" s="111" t="n"/>
      <c r="MB53" s="111" t="n"/>
      <c r="MC53" s="111" t="n"/>
      <c r="MD53" s="111" t="n"/>
      <c r="ME53" s="111" t="n"/>
      <c r="MF53" s="111" t="n"/>
      <c r="MG53" s="111" t="n"/>
      <c r="MH53" s="111" t="n"/>
      <c r="MI53" s="111" t="n"/>
      <c r="MJ53" s="111" t="n"/>
      <c r="MK53" s="111" t="n"/>
      <c r="ML53" s="111" t="n"/>
      <c r="MM53" s="111" t="n"/>
      <c r="MN53" s="111" t="n"/>
      <c r="MO53" s="111" t="n"/>
      <c r="MP53" s="111" t="n"/>
      <c r="MQ53" s="111" t="n"/>
      <c r="MR53" s="111" t="n"/>
      <c r="MS53" s="111" t="n"/>
      <c r="MT53" s="111" t="n"/>
      <c r="MU53" s="111" t="n"/>
      <c r="MV53" s="111" t="n"/>
      <c r="MW53" s="111" t="n"/>
      <c r="MX53" s="111" t="n"/>
      <c r="MY53" s="111" t="n"/>
      <c r="MZ53" s="111" t="n"/>
      <c r="NA53" s="111" t="n"/>
      <c r="NB53" s="111" t="n"/>
      <c r="NC53" s="111" t="n"/>
      <c r="ND53" s="111" t="n"/>
      <c r="NE53" s="111" t="n"/>
      <c r="NF53" s="111" t="n"/>
      <c r="NG53" s="111" t="n"/>
      <c r="NH53" s="111" t="n"/>
      <c r="NI53" s="111" t="n"/>
      <c r="NJ53" s="111" t="n"/>
      <c r="NK53" s="111" t="n"/>
      <c r="NL53" s="111" t="n"/>
      <c r="NM53" s="111" t="n"/>
      <c r="NN53" s="111" t="n"/>
      <c r="NO53" s="111" t="n"/>
      <c r="NP53" s="111" t="n"/>
      <c r="NQ53" s="111" t="n"/>
    </row>
    <row r="54" customFormat="1" s="17">
      <c r="A54" s="33">
        <f>IF(ISERROR(VALUE(SUBSTITUTE(OFFSET(A54,-1,0,1,1),".",""))),"0.1",IF(ISERROR(FIND("`",SUBSTITUTE(OFFSET(A54,-1,0,1,1),".","`",1))),OFFSET(A54,-1,0,1,1)&amp;".1",LEFT(OFFSET(A54,-1,0,1,1),FIND("`",SUBSTITUTE(OFFSET(A54,-1,0,1,1),".","`",1)))&amp;IF(ISERROR(FIND("`",SUBSTITUTE(OFFSET(A54,-1,0,1,1),".","`",2))),VALUE(RIGHT(OFFSET(A54,-1,0,1,1),LEN(OFFSET(A54,-1,0,1,1))-FIND("`",SUBSTITUTE(OFFSET(A54,-1,0,1,1),".","`",1))))+1,VALUE(MID(OFFSET(A54,-1,0,1,1),FIND("`",SUBSTITUTE(OFFSET(A54,-1,0,1,1),".","`",1))+1,(FIND("`",SUBSTITUTE(OFFSET(A54,-1,0,1,1),".","`",2))-FIND("`",SUBSTITUTE(OFFSET(A54,-1,0,1,1),".","`",1))-1)))+1)))</f>
        <v/>
      </c>
      <c r="B54" s="10" t="inlineStr">
        <is>
          <t>[ Level 2 Task ]</t>
        </is>
      </c>
      <c r="C54" s="11" t="n"/>
      <c r="D54" s="37" t="n"/>
      <c r="E54" s="37" t="n"/>
      <c r="F54" s="37" t="n"/>
      <c r="G54" s="274">
        <f>$G$6</f>
        <v/>
      </c>
      <c r="H54" s="275">
        <f>IF(K54=0,G54,WORKDAY(IF(WEEKDAY(G54,1)=7,G54+2,IF(WEEKDAY(G54,1)=1,G54+1,G54)),K54-1,holidays))</f>
        <v/>
      </c>
      <c r="I54" s="272" t="n"/>
      <c r="J54" s="272" t="n"/>
      <c r="K54" s="79" t="n">
        <v>1</v>
      </c>
      <c r="L54" s="13" t="n"/>
      <c r="M54" s="14">
        <f>IF(OR(G54=0,H54=0),0,H54-G54+1)</f>
        <v/>
      </c>
      <c r="N54" s="15">
        <f>MIN(M54,WORKDAY(G54,ROUNDDOWN(L54*K54,0),holidays)-G54)</f>
        <v/>
      </c>
      <c r="O54" s="14">
        <f>M54-N54</f>
        <v/>
      </c>
      <c r="P54" s="113" t="n"/>
      <c r="Q54" s="17" t="n"/>
      <c r="R54" s="111" t="n"/>
      <c r="S54" s="111" t="n"/>
      <c r="T54" s="111" t="n"/>
      <c r="U54" s="111" t="n"/>
      <c r="V54" s="111" t="n"/>
      <c r="W54" s="111"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1" t="n"/>
      <c r="AY54" s="111" t="n"/>
      <c r="AZ54" s="111" t="n"/>
      <c r="BA54" s="111" t="n"/>
      <c r="BB54" s="111" t="n"/>
      <c r="BC54" s="111" t="n"/>
      <c r="BD54" s="111" t="n"/>
      <c r="BE54" s="111" t="n"/>
      <c r="BF54" s="111" t="n"/>
      <c r="BG54" s="111" t="n"/>
      <c r="BH54" s="111" t="n"/>
      <c r="BI54" s="111" t="n"/>
      <c r="BJ54" s="111" t="n"/>
      <c r="BK54" s="111" t="n"/>
      <c r="BL54" s="111" t="n"/>
      <c r="BM54" s="111" t="n"/>
      <c r="BN54" s="111" t="n"/>
      <c r="BO54" s="111" t="n"/>
      <c r="BP54" s="111" t="n"/>
      <c r="BQ54" s="111" t="n"/>
      <c r="BR54" s="111" t="n"/>
      <c r="BS54" s="111" t="n"/>
      <c r="BT54" s="111" t="n"/>
      <c r="BU54" s="111" t="n"/>
      <c r="BV54" s="111" t="n"/>
      <c r="BW54" s="111" t="n"/>
      <c r="BX54" s="111" t="n"/>
      <c r="BY54" s="111" t="n"/>
      <c r="BZ54" s="111" t="n"/>
      <c r="CA54" s="111" t="n"/>
      <c r="CB54" s="111" t="n"/>
      <c r="CC54" s="111" t="n"/>
      <c r="CD54" s="111" t="n"/>
      <c r="CE54" s="111" t="n"/>
      <c r="CF54" s="111"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1" t="n"/>
      <c r="DS54" s="111" t="n"/>
      <c r="DT54" s="111" t="n"/>
      <c r="DU54" s="111" t="n"/>
      <c r="DV54" s="111" t="n"/>
      <c r="DW54" s="111" t="n"/>
      <c r="DX54" s="111" t="n"/>
      <c r="DY54" s="111" t="n"/>
      <c r="DZ54" s="111" t="n"/>
      <c r="EA54" s="111" t="n"/>
      <c r="EB54" s="111" t="n"/>
      <c r="EC54" s="111" t="n"/>
      <c r="ED54" s="111" t="n"/>
      <c r="EE54" s="111" t="n"/>
      <c r="EF54" s="111" t="n"/>
      <c r="EG54" s="111" t="n"/>
      <c r="EH54" s="111" t="n"/>
      <c r="EI54" s="111" t="n"/>
      <c r="EJ54" s="111" t="n"/>
      <c r="EK54" s="111" t="n"/>
      <c r="EL54" s="111" t="n"/>
      <c r="EM54" s="111" t="n"/>
      <c r="EN54" s="111" t="n"/>
      <c r="EO54" s="111" t="n"/>
      <c r="EP54" s="111" t="n"/>
      <c r="EQ54" s="111" t="n"/>
      <c r="ER54" s="111" t="n"/>
      <c r="ES54" s="111" t="n"/>
      <c r="ET54" s="111" t="n"/>
      <c r="EU54" s="111" t="n"/>
      <c r="EV54" s="111" t="n"/>
      <c r="EW54" s="111" t="n"/>
      <c r="EX54" s="111" t="n"/>
      <c r="EY54" s="111" t="n"/>
      <c r="EZ54" s="111" t="n"/>
      <c r="FA54" s="111" t="n"/>
      <c r="FB54" s="111"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1" t="n"/>
      <c r="GH54" s="111" t="n"/>
      <c r="GI54" s="111" t="n"/>
      <c r="GJ54" s="111" t="n"/>
      <c r="GK54" s="111" t="n"/>
      <c r="GL54" s="111" t="n"/>
      <c r="GM54" s="111" t="n"/>
      <c r="GN54" s="111" t="n"/>
      <c r="GO54" s="111" t="n"/>
      <c r="GP54" s="111" t="n"/>
      <c r="GQ54" s="111" t="n"/>
      <c r="GR54" s="111" t="n"/>
      <c r="GS54" s="111" t="n"/>
      <c r="GT54" s="111" t="n"/>
      <c r="GU54" s="111" t="n"/>
      <c r="GV54" s="111" t="n"/>
      <c r="GW54" s="111" t="n"/>
      <c r="GX54" s="111" t="n"/>
      <c r="GY54" s="111" t="n"/>
      <c r="GZ54" s="111" t="n"/>
      <c r="HA54" s="111" t="n"/>
      <c r="HB54" s="111" t="n"/>
      <c r="HC54" s="111" t="n"/>
      <c r="HD54" s="111" t="n"/>
      <c r="HE54" s="111" t="n"/>
      <c r="HF54" s="111" t="n"/>
      <c r="HG54" s="111" t="n"/>
      <c r="HH54" s="111" t="n"/>
      <c r="HI54" s="111" t="n"/>
      <c r="HJ54" s="111" t="n"/>
      <c r="HK54" s="111" t="n"/>
      <c r="HL54" s="111" t="n"/>
      <c r="HM54" s="111" t="n"/>
      <c r="HN54" s="111" t="n"/>
      <c r="HO54" s="111" t="n"/>
      <c r="HP54" s="111" t="n"/>
      <c r="HQ54" s="111" t="n"/>
      <c r="HR54" s="111" t="n"/>
      <c r="HS54" s="111" t="n"/>
      <c r="HT54" s="111" t="n"/>
      <c r="HU54" s="111" t="n"/>
      <c r="HV54" s="111" t="n"/>
      <c r="HW54" s="111" t="n"/>
      <c r="HX54" s="111" t="n"/>
      <c r="HY54" s="111" t="n"/>
      <c r="HZ54" s="111" t="n"/>
      <c r="IA54" s="111" t="n"/>
      <c r="IB54" s="111" t="n"/>
      <c r="IC54" s="111" t="n"/>
      <c r="ID54" s="111" t="n"/>
      <c r="IE54" s="111" t="n"/>
      <c r="IF54" s="111" t="n"/>
      <c r="IG54" s="111" t="n"/>
      <c r="IH54" s="111" t="n"/>
      <c r="II54" s="111" t="n"/>
      <c r="IJ54" s="111" t="n"/>
      <c r="IK54" s="111" t="n"/>
      <c r="IL54" s="111" t="n"/>
      <c r="IM54" s="111" t="n"/>
      <c r="IN54" s="111" t="n"/>
      <c r="IO54" s="111" t="n"/>
      <c r="IP54" s="111" t="n"/>
      <c r="IQ54" s="111" t="n"/>
      <c r="IR54" s="111" t="n"/>
      <c r="IS54" s="111" t="n"/>
      <c r="IT54" s="111" t="n"/>
      <c r="IU54" s="111" t="n"/>
      <c r="IV54" s="111" t="n"/>
      <c r="IW54" s="111" t="n"/>
      <c r="IX54" s="111" t="n"/>
      <c r="IY54" s="111" t="n"/>
      <c r="IZ54" s="111" t="n"/>
      <c r="JA54" s="111" t="n"/>
      <c r="JB54" s="111" t="n"/>
      <c r="JC54" s="111" t="n"/>
      <c r="JD54" s="111" t="n"/>
      <c r="JE54" s="111" t="n"/>
      <c r="JF54" s="111" t="n"/>
      <c r="JG54" s="111" t="n"/>
      <c r="JH54" s="111" t="n"/>
      <c r="JI54" s="111" t="n"/>
      <c r="JJ54" s="111" t="n"/>
      <c r="JK54" s="111" t="n"/>
      <c r="JL54" s="111" t="n"/>
      <c r="JM54" s="111" t="n"/>
      <c r="JN54" s="111" t="n"/>
      <c r="JO54" s="111" t="n"/>
      <c r="JP54" s="111" t="n"/>
      <c r="JQ54" s="111" t="n"/>
      <c r="JR54" s="111" t="n"/>
      <c r="JS54" s="111" t="n"/>
      <c r="JT54" s="111" t="n"/>
      <c r="JU54" s="111" t="n"/>
      <c r="JV54" s="111" t="n"/>
      <c r="JW54" s="111" t="n"/>
      <c r="JX54" s="111" t="n"/>
      <c r="JY54" s="111" t="n"/>
      <c r="JZ54" s="111" t="n"/>
      <c r="KA54" s="111" t="n"/>
      <c r="KB54" s="111" t="n"/>
      <c r="KC54" s="111" t="n"/>
      <c r="KD54" s="111" t="n"/>
      <c r="KE54" s="111" t="n"/>
      <c r="KF54" s="111" t="n"/>
      <c r="KG54" s="111" t="n"/>
      <c r="KH54" s="111" t="n"/>
      <c r="KI54" s="111" t="n"/>
      <c r="KJ54" s="111" t="n"/>
      <c r="KK54" s="111" t="n"/>
      <c r="KL54" s="111" t="n"/>
      <c r="KM54" s="111" t="n"/>
      <c r="KN54" s="111" t="n"/>
      <c r="KO54" s="111" t="n"/>
      <c r="KP54" s="111" t="n"/>
      <c r="KQ54" s="111" t="n"/>
      <c r="KR54" s="111" t="n"/>
      <c r="KS54" s="111" t="n"/>
      <c r="KT54" s="111" t="n"/>
      <c r="KU54" s="111" t="n"/>
      <c r="KV54" s="111" t="n"/>
      <c r="KW54" s="111" t="n"/>
      <c r="KX54" s="111" t="n"/>
      <c r="KY54" s="111" t="n"/>
      <c r="KZ54" s="111" t="n"/>
      <c r="LA54" s="111" t="n"/>
      <c r="LB54" s="111" t="n"/>
      <c r="LC54" s="111" t="n"/>
      <c r="LD54" s="111" t="n"/>
      <c r="LE54" s="111" t="n"/>
      <c r="LF54" s="111" t="n"/>
      <c r="LG54" s="111" t="n"/>
      <c r="LH54" s="111" t="n"/>
      <c r="LI54" s="111" t="n"/>
      <c r="LJ54" s="111" t="n"/>
      <c r="LK54" s="111" t="n"/>
      <c r="LL54" s="111" t="n"/>
      <c r="LM54" s="111" t="n"/>
      <c r="LN54" s="111" t="n"/>
      <c r="LO54" s="111" t="n"/>
      <c r="LP54" s="111" t="n"/>
      <c r="LQ54" s="111" t="n"/>
      <c r="LR54" s="111" t="n"/>
      <c r="LS54" s="111" t="n"/>
      <c r="LT54" s="111" t="n"/>
      <c r="LU54" s="111" t="n"/>
      <c r="LV54" s="111" t="n"/>
      <c r="LW54" s="111" t="n"/>
      <c r="LX54" s="111" t="n"/>
      <c r="LY54" s="111" t="n"/>
      <c r="LZ54" s="111" t="n"/>
      <c r="MA54" s="111" t="n"/>
      <c r="MB54" s="111" t="n"/>
      <c r="MC54" s="111" t="n"/>
      <c r="MD54" s="111" t="n"/>
      <c r="ME54" s="111" t="n"/>
      <c r="MF54" s="111" t="n"/>
      <c r="MG54" s="111" t="n"/>
      <c r="MH54" s="111" t="n"/>
      <c r="MI54" s="111" t="n"/>
      <c r="MJ54" s="111" t="n"/>
      <c r="MK54" s="111" t="n"/>
      <c r="ML54" s="111" t="n"/>
      <c r="MM54" s="111" t="n"/>
      <c r="MN54" s="111" t="n"/>
      <c r="MO54" s="111" t="n"/>
      <c r="MP54" s="111" t="n"/>
      <c r="MQ54" s="111" t="n"/>
      <c r="MR54" s="111" t="n"/>
      <c r="MS54" s="111" t="n"/>
      <c r="MT54" s="111" t="n"/>
      <c r="MU54" s="111" t="n"/>
      <c r="MV54" s="111" t="n"/>
      <c r="MW54" s="111" t="n"/>
      <c r="MX54" s="111" t="n"/>
      <c r="MY54" s="111" t="n"/>
      <c r="MZ54" s="111" t="n"/>
      <c r="NA54" s="111" t="n"/>
      <c r="NB54" s="111" t="n"/>
      <c r="NC54" s="111" t="n"/>
      <c r="ND54" s="111" t="n"/>
      <c r="NE54" s="111" t="n"/>
      <c r="NF54" s="111" t="n"/>
      <c r="NG54" s="111" t="n"/>
      <c r="NH54" s="111" t="n"/>
      <c r="NI54" s="111" t="n"/>
      <c r="NJ54" s="111" t="n"/>
      <c r="NK54" s="111" t="n"/>
      <c r="NL54" s="111" t="n"/>
      <c r="NM54" s="111" t="n"/>
      <c r="NN54" s="111" t="n"/>
      <c r="NO54" s="111" t="n"/>
      <c r="NP54" s="111" t="n"/>
      <c r="NQ54" s="111" t="n"/>
    </row>
    <row r="55" customFormat="1" s="17">
      <c r="A55" s="33">
        <f>IF(ISERROR(VALUE(SUBSTITUTE(OFFSET(A55,-1,0,1,1),".",""))),"0.1",IF(ISERROR(FIND("`",SUBSTITUTE(OFFSET(A55,-1,0,1,1),".","`",1))),OFFSET(A55,-1,0,1,1)&amp;".1",LEFT(OFFSET(A55,-1,0,1,1),FIND("`",SUBSTITUTE(OFFSET(A55,-1,0,1,1),".","`",1)))&amp;IF(ISERROR(FIND("`",SUBSTITUTE(OFFSET(A55,-1,0,1,1),".","`",2))),VALUE(RIGHT(OFFSET(A55,-1,0,1,1),LEN(OFFSET(A55,-1,0,1,1))-FIND("`",SUBSTITUTE(OFFSET(A55,-1,0,1,1),".","`",1))))+1,VALUE(MID(OFFSET(A55,-1,0,1,1),FIND("`",SUBSTITUTE(OFFSET(A55,-1,0,1,1),".","`",1))+1,(FIND("`",SUBSTITUTE(OFFSET(A55,-1,0,1,1),".","`",2))-FIND("`",SUBSTITUTE(OFFSET(A55,-1,0,1,1),".","`",1))-1)))+1)))</f>
        <v/>
      </c>
      <c r="B55" s="10" t="inlineStr">
        <is>
          <t>[ Level 2 Task ]</t>
        </is>
      </c>
      <c r="C55" s="11" t="n"/>
      <c r="D55" s="37" t="n"/>
      <c r="E55" s="37" t="n"/>
      <c r="F55" s="37" t="n"/>
      <c r="G55" s="274">
        <f>$G$6</f>
        <v/>
      </c>
      <c r="H55" s="275">
        <f>IF(K55=0,G55,WORKDAY(IF(WEEKDAY(G55,1)=7,G55+2,IF(WEEKDAY(G55,1)=1,G55+1,G55)),K55-1,holidays))</f>
        <v/>
      </c>
      <c r="I55" s="272" t="n"/>
      <c r="J55" s="272" t="n"/>
      <c r="K55" s="79" t="n">
        <v>1</v>
      </c>
      <c r="L55" s="13" t="n"/>
      <c r="M55" s="14">
        <f>IF(OR(G55=0,H55=0),0,H55-G55+1)</f>
        <v/>
      </c>
      <c r="N55" s="15">
        <f>MIN(M55,WORKDAY(G55,ROUNDDOWN(L55*K55,0),holidays)-G55)</f>
        <v/>
      </c>
      <c r="O55" s="14">
        <f>M55-N55</f>
        <v/>
      </c>
      <c r="P55" s="113" t="n"/>
      <c r="Q55" s="17" t="n"/>
      <c r="R55" s="111" t="n"/>
      <c r="S55" s="111" t="n"/>
      <c r="T55" s="111" t="n"/>
      <c r="U55" s="111" t="n"/>
      <c r="V55" s="111" t="n"/>
      <c r="W55" s="111"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1" t="n"/>
      <c r="BD55" s="111" t="n"/>
      <c r="BE55" s="111" t="n"/>
      <c r="BF55" s="111" t="n"/>
      <c r="BG55" s="111" t="n"/>
      <c r="BH55" s="111" t="n"/>
      <c r="BI55" s="111" t="n"/>
      <c r="BJ55" s="111" t="n"/>
      <c r="BK55" s="111" t="n"/>
      <c r="BL55" s="111" t="n"/>
      <c r="BM55" s="111" t="n"/>
      <c r="BN55" s="111" t="n"/>
      <c r="BO55" s="111" t="n"/>
      <c r="BP55" s="111" t="n"/>
      <c r="BQ55" s="111" t="n"/>
      <c r="BR55" s="111" t="n"/>
      <c r="BS55" s="111" t="n"/>
      <c r="BT55" s="111" t="n"/>
      <c r="BU55" s="111" t="n"/>
      <c r="BV55" s="111" t="n"/>
      <c r="BW55" s="111" t="n"/>
      <c r="BX55" s="111" t="n"/>
      <c r="BY55" s="111" t="n"/>
      <c r="BZ55" s="111" t="n"/>
      <c r="CA55" s="111" t="n"/>
      <c r="CB55" s="111" t="n"/>
      <c r="CC55" s="111" t="n"/>
      <c r="CD55" s="111" t="n"/>
      <c r="CE55" s="111" t="n"/>
      <c r="CF55" s="111"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1" t="n"/>
      <c r="DS55" s="111" t="n"/>
      <c r="DT55" s="111" t="n"/>
      <c r="DU55" s="111" t="n"/>
      <c r="DV55" s="111" t="n"/>
      <c r="DW55" s="111" t="n"/>
      <c r="DX55" s="111" t="n"/>
      <c r="DY55" s="111" t="n"/>
      <c r="DZ55" s="111" t="n"/>
      <c r="EA55" s="111" t="n"/>
      <c r="EB55" s="111" t="n"/>
      <c r="EC55" s="111" t="n"/>
      <c r="ED55" s="111" t="n"/>
      <c r="EE55" s="111" t="n"/>
      <c r="EF55" s="111" t="n"/>
      <c r="EG55" s="111" t="n"/>
      <c r="EH55" s="111" t="n"/>
      <c r="EI55" s="111" t="n"/>
      <c r="EJ55" s="111" t="n"/>
      <c r="EK55" s="111" t="n"/>
      <c r="EL55" s="111" t="n"/>
      <c r="EM55" s="111" t="n"/>
      <c r="EN55" s="111" t="n"/>
      <c r="EO55" s="111" t="n"/>
      <c r="EP55" s="111" t="n"/>
      <c r="EQ55" s="111" t="n"/>
      <c r="ER55" s="111" t="n"/>
      <c r="ES55" s="111" t="n"/>
      <c r="ET55" s="111" t="n"/>
      <c r="EU55" s="111" t="n"/>
      <c r="EV55" s="111" t="n"/>
      <c r="EW55" s="111" t="n"/>
      <c r="EX55" s="111" t="n"/>
      <c r="EY55" s="111" t="n"/>
      <c r="EZ55" s="111" t="n"/>
      <c r="FA55" s="111" t="n"/>
      <c r="FB55" s="111"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1" t="n"/>
      <c r="GH55" s="111" t="n"/>
      <c r="GI55" s="111" t="n"/>
      <c r="GJ55" s="111" t="n"/>
      <c r="GK55" s="111" t="n"/>
      <c r="GL55" s="111" t="n"/>
      <c r="GM55" s="111" t="n"/>
      <c r="GN55" s="111" t="n"/>
      <c r="GO55" s="111" t="n"/>
      <c r="GP55" s="111" t="n"/>
      <c r="GQ55" s="111" t="n"/>
      <c r="GR55" s="111" t="n"/>
      <c r="GS55" s="111" t="n"/>
      <c r="GT55" s="111" t="n"/>
      <c r="GU55" s="111" t="n"/>
      <c r="GV55" s="111" t="n"/>
      <c r="GW55" s="111" t="n"/>
      <c r="GX55" s="111" t="n"/>
      <c r="GY55" s="111" t="n"/>
      <c r="GZ55" s="111" t="n"/>
      <c r="HA55" s="111" t="n"/>
      <c r="HB55" s="111" t="n"/>
      <c r="HC55" s="111" t="n"/>
      <c r="HD55" s="111" t="n"/>
      <c r="HE55" s="111" t="n"/>
      <c r="HF55" s="111" t="n"/>
      <c r="HG55" s="111" t="n"/>
      <c r="HH55" s="111" t="n"/>
      <c r="HI55" s="111" t="n"/>
      <c r="HJ55" s="111" t="n"/>
      <c r="HK55" s="111" t="n"/>
      <c r="HL55" s="111" t="n"/>
      <c r="HM55" s="111" t="n"/>
      <c r="HN55" s="111" t="n"/>
      <c r="HO55" s="111" t="n"/>
      <c r="HP55" s="111" t="n"/>
      <c r="HQ55" s="111" t="n"/>
      <c r="HR55" s="111" t="n"/>
      <c r="HS55" s="111" t="n"/>
      <c r="HT55" s="111" t="n"/>
      <c r="HU55" s="111" t="n"/>
      <c r="HV55" s="111" t="n"/>
      <c r="HW55" s="111" t="n"/>
      <c r="HX55" s="111" t="n"/>
      <c r="HY55" s="111" t="n"/>
      <c r="HZ55" s="111" t="n"/>
      <c r="IA55" s="111" t="n"/>
      <c r="IB55" s="111" t="n"/>
      <c r="IC55" s="111" t="n"/>
      <c r="ID55" s="111" t="n"/>
      <c r="IE55" s="111" t="n"/>
      <c r="IF55" s="111" t="n"/>
      <c r="IG55" s="111" t="n"/>
      <c r="IH55" s="111" t="n"/>
      <c r="II55" s="111" t="n"/>
      <c r="IJ55" s="111" t="n"/>
      <c r="IK55" s="111" t="n"/>
      <c r="IL55" s="111" t="n"/>
      <c r="IM55" s="111" t="n"/>
      <c r="IN55" s="111" t="n"/>
      <c r="IO55" s="111" t="n"/>
      <c r="IP55" s="111" t="n"/>
      <c r="IQ55" s="111" t="n"/>
      <c r="IR55" s="111" t="n"/>
      <c r="IS55" s="111" t="n"/>
      <c r="IT55" s="111" t="n"/>
      <c r="IU55" s="111" t="n"/>
      <c r="IV55" s="111" t="n"/>
      <c r="IW55" s="111" t="n"/>
      <c r="IX55" s="111" t="n"/>
      <c r="IY55" s="111" t="n"/>
      <c r="IZ55" s="111" t="n"/>
      <c r="JA55" s="111" t="n"/>
      <c r="JB55" s="111" t="n"/>
      <c r="JC55" s="111" t="n"/>
      <c r="JD55" s="111" t="n"/>
      <c r="JE55" s="111" t="n"/>
      <c r="JF55" s="111" t="n"/>
      <c r="JG55" s="111" t="n"/>
      <c r="JH55" s="111" t="n"/>
      <c r="JI55" s="111" t="n"/>
      <c r="JJ55" s="111" t="n"/>
      <c r="JK55" s="111" t="n"/>
      <c r="JL55" s="111" t="n"/>
      <c r="JM55" s="111" t="n"/>
      <c r="JN55" s="111" t="n"/>
      <c r="JO55" s="111" t="n"/>
      <c r="JP55" s="111" t="n"/>
      <c r="JQ55" s="111" t="n"/>
      <c r="JR55" s="111" t="n"/>
      <c r="JS55" s="111" t="n"/>
      <c r="JT55" s="111" t="n"/>
      <c r="JU55" s="111" t="n"/>
      <c r="JV55" s="111" t="n"/>
      <c r="JW55" s="111" t="n"/>
      <c r="JX55" s="111" t="n"/>
      <c r="JY55" s="111" t="n"/>
      <c r="JZ55" s="111" t="n"/>
      <c r="KA55" s="111" t="n"/>
      <c r="KB55" s="111" t="n"/>
      <c r="KC55" s="111" t="n"/>
      <c r="KD55" s="111" t="n"/>
      <c r="KE55" s="111" t="n"/>
      <c r="KF55" s="111" t="n"/>
      <c r="KG55" s="111" t="n"/>
      <c r="KH55" s="111" t="n"/>
      <c r="KI55" s="111" t="n"/>
      <c r="KJ55" s="111" t="n"/>
      <c r="KK55" s="111" t="n"/>
      <c r="KL55" s="111" t="n"/>
      <c r="KM55" s="111" t="n"/>
      <c r="KN55" s="111" t="n"/>
      <c r="KO55" s="111" t="n"/>
      <c r="KP55" s="111" t="n"/>
      <c r="KQ55" s="111" t="n"/>
      <c r="KR55" s="111" t="n"/>
      <c r="KS55" s="111" t="n"/>
      <c r="KT55" s="111" t="n"/>
      <c r="KU55" s="111" t="n"/>
      <c r="KV55" s="111" t="n"/>
      <c r="KW55" s="111" t="n"/>
      <c r="KX55" s="111" t="n"/>
      <c r="KY55" s="111" t="n"/>
      <c r="KZ55" s="111" t="n"/>
      <c r="LA55" s="111" t="n"/>
      <c r="LB55" s="111" t="n"/>
      <c r="LC55" s="111" t="n"/>
      <c r="LD55" s="111" t="n"/>
      <c r="LE55" s="111" t="n"/>
      <c r="LF55" s="111" t="n"/>
      <c r="LG55" s="111" t="n"/>
      <c r="LH55" s="111" t="n"/>
      <c r="LI55" s="111" t="n"/>
      <c r="LJ55" s="111" t="n"/>
      <c r="LK55" s="111" t="n"/>
      <c r="LL55" s="111" t="n"/>
      <c r="LM55" s="111" t="n"/>
      <c r="LN55" s="111" t="n"/>
      <c r="LO55" s="111" t="n"/>
      <c r="LP55" s="111" t="n"/>
      <c r="LQ55" s="111" t="n"/>
      <c r="LR55" s="111" t="n"/>
      <c r="LS55" s="111" t="n"/>
      <c r="LT55" s="111" t="n"/>
      <c r="LU55" s="111" t="n"/>
      <c r="LV55" s="111" t="n"/>
      <c r="LW55" s="111" t="n"/>
      <c r="LX55" s="111" t="n"/>
      <c r="LY55" s="111" t="n"/>
      <c r="LZ55" s="111" t="n"/>
      <c r="MA55" s="111" t="n"/>
      <c r="MB55" s="111" t="n"/>
      <c r="MC55" s="111" t="n"/>
      <c r="MD55" s="111" t="n"/>
      <c r="ME55" s="111" t="n"/>
      <c r="MF55" s="111" t="n"/>
      <c r="MG55" s="111" t="n"/>
      <c r="MH55" s="111" t="n"/>
      <c r="MI55" s="111" t="n"/>
      <c r="MJ55" s="111" t="n"/>
      <c r="MK55" s="111" t="n"/>
      <c r="ML55" s="111" t="n"/>
      <c r="MM55" s="111" t="n"/>
      <c r="MN55" s="111" t="n"/>
      <c r="MO55" s="111" t="n"/>
      <c r="MP55" s="111" t="n"/>
      <c r="MQ55" s="111" t="n"/>
      <c r="MR55" s="111" t="n"/>
      <c r="MS55" s="111" t="n"/>
      <c r="MT55" s="111" t="n"/>
      <c r="MU55" s="111" t="n"/>
      <c r="MV55" s="111" t="n"/>
      <c r="MW55" s="111" t="n"/>
      <c r="MX55" s="111" t="n"/>
      <c r="MY55" s="111" t="n"/>
      <c r="MZ55" s="111" t="n"/>
      <c r="NA55" s="111" t="n"/>
      <c r="NB55" s="111" t="n"/>
      <c r="NC55" s="111" t="n"/>
      <c r="ND55" s="111" t="n"/>
      <c r="NE55" s="111" t="n"/>
      <c r="NF55" s="111" t="n"/>
      <c r="NG55" s="111" t="n"/>
      <c r="NH55" s="111" t="n"/>
      <c r="NI55" s="111" t="n"/>
      <c r="NJ55" s="111" t="n"/>
      <c r="NK55" s="111" t="n"/>
      <c r="NL55" s="111" t="n"/>
      <c r="NM55" s="111" t="n"/>
      <c r="NN55" s="111" t="n"/>
      <c r="NO55" s="111" t="n"/>
      <c r="NP55" s="111" t="n"/>
      <c r="NQ55" s="111" t="n"/>
    </row>
    <row r="56" customFormat="1" s="17">
      <c r="A56" s="33">
        <f>IF(ISERROR(VALUE(SUBSTITUTE(OFFSET(A56,-1,0,1,1),".",""))),"0.1",IF(ISERROR(FIND("`",SUBSTITUTE(OFFSET(A56,-1,0,1,1),".","`",1))),OFFSET(A56,-1,0,1,1)&amp;".1",LEFT(OFFSET(A56,-1,0,1,1),FIND("`",SUBSTITUTE(OFFSET(A56,-1,0,1,1),".","`",1)))&amp;IF(ISERROR(FIND("`",SUBSTITUTE(OFFSET(A56,-1,0,1,1),".","`",2))),VALUE(RIGHT(OFFSET(A56,-1,0,1,1),LEN(OFFSET(A56,-1,0,1,1))-FIND("`",SUBSTITUTE(OFFSET(A56,-1,0,1,1),".","`",1))))+1,VALUE(MID(OFFSET(A56,-1,0,1,1),FIND("`",SUBSTITUTE(OFFSET(A56,-1,0,1,1),".","`",1))+1,(FIND("`",SUBSTITUTE(OFFSET(A56,-1,0,1,1),".","`",2))-FIND("`",SUBSTITUTE(OFFSET(A56,-1,0,1,1),".","`",1))-1)))+1)))</f>
        <v/>
      </c>
      <c r="B56" s="10" t="inlineStr">
        <is>
          <t>[ Level 2 Task ]</t>
        </is>
      </c>
      <c r="C56" s="11" t="n"/>
      <c r="D56" s="37" t="n"/>
      <c r="E56" s="37" t="n"/>
      <c r="F56" s="37" t="n"/>
      <c r="G56" s="274">
        <f>$G$6</f>
        <v/>
      </c>
      <c r="H56" s="275">
        <f>IF(K56=0,G56,WORKDAY(IF(WEEKDAY(G56,1)=7,G56+2,IF(WEEKDAY(G56,1)=1,G56+1,G56)),K56-1,holidays))</f>
        <v/>
      </c>
      <c r="I56" s="272" t="n"/>
      <c r="J56" s="272" t="n"/>
      <c r="K56" s="79" t="n">
        <v>1</v>
      </c>
      <c r="L56" s="13" t="n"/>
      <c r="M56" s="14">
        <f>IF(OR(G56=0,H56=0),0,H56-G56+1)</f>
        <v/>
      </c>
      <c r="N56" s="15">
        <f>MIN(M56,WORKDAY(G56,ROUNDDOWN(L56*K56,0),holidays)-G56)</f>
        <v/>
      </c>
      <c r="O56" s="14">
        <f>M56-N56</f>
        <v/>
      </c>
      <c r="P56" s="113" t="n"/>
      <c r="Q56" s="17" t="n"/>
      <c r="R56" s="111" t="n"/>
      <c r="S56" s="111" t="n"/>
      <c r="T56" s="111" t="n"/>
      <c r="U56" s="111" t="n"/>
      <c r="V56" s="111" t="n"/>
      <c r="W56" s="111"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1" t="n"/>
      <c r="AY56" s="111" t="n"/>
      <c r="AZ56" s="111" t="n"/>
      <c r="BA56" s="111" t="n"/>
      <c r="BB56" s="111" t="n"/>
      <c r="BC56" s="111" t="n"/>
      <c r="BD56" s="111" t="n"/>
      <c r="BE56" s="111" t="n"/>
      <c r="BF56" s="111" t="n"/>
      <c r="BG56" s="111" t="n"/>
      <c r="BH56" s="111" t="n"/>
      <c r="BI56" s="111" t="n"/>
      <c r="BJ56" s="111" t="n"/>
      <c r="BK56" s="111" t="n"/>
      <c r="BL56" s="111" t="n"/>
      <c r="BM56" s="111" t="n"/>
      <c r="BN56" s="111" t="n"/>
      <c r="BO56" s="111" t="n"/>
      <c r="BP56" s="111" t="n"/>
      <c r="BQ56" s="111" t="n"/>
      <c r="BR56" s="111" t="n"/>
      <c r="BS56" s="111" t="n"/>
      <c r="BT56" s="111" t="n"/>
      <c r="BU56" s="111" t="n"/>
      <c r="BV56" s="111" t="n"/>
      <c r="BW56" s="111" t="n"/>
      <c r="BX56" s="111" t="n"/>
      <c r="BY56" s="111" t="n"/>
      <c r="BZ56" s="111" t="n"/>
      <c r="CA56" s="111" t="n"/>
      <c r="CB56" s="111" t="n"/>
      <c r="CC56" s="111" t="n"/>
      <c r="CD56" s="111" t="n"/>
      <c r="CE56" s="111" t="n"/>
      <c r="CF56" s="111"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1" t="n"/>
      <c r="DS56" s="111" t="n"/>
      <c r="DT56" s="111" t="n"/>
      <c r="DU56" s="111" t="n"/>
      <c r="DV56" s="111" t="n"/>
      <c r="DW56" s="111" t="n"/>
      <c r="DX56" s="111" t="n"/>
      <c r="DY56" s="111" t="n"/>
      <c r="DZ56" s="111" t="n"/>
      <c r="EA56" s="111" t="n"/>
      <c r="EB56" s="111" t="n"/>
      <c r="EC56" s="111" t="n"/>
      <c r="ED56" s="111" t="n"/>
      <c r="EE56" s="111" t="n"/>
      <c r="EF56" s="111" t="n"/>
      <c r="EG56" s="111" t="n"/>
      <c r="EH56" s="111" t="n"/>
      <c r="EI56" s="111" t="n"/>
      <c r="EJ56" s="111" t="n"/>
      <c r="EK56" s="111" t="n"/>
      <c r="EL56" s="111" t="n"/>
      <c r="EM56" s="111" t="n"/>
      <c r="EN56" s="111" t="n"/>
      <c r="EO56" s="111" t="n"/>
      <c r="EP56" s="111" t="n"/>
      <c r="EQ56" s="111" t="n"/>
      <c r="ER56" s="111" t="n"/>
      <c r="ES56" s="111" t="n"/>
      <c r="ET56" s="111" t="n"/>
      <c r="EU56" s="111" t="n"/>
      <c r="EV56" s="111" t="n"/>
      <c r="EW56" s="111" t="n"/>
      <c r="EX56" s="111" t="n"/>
      <c r="EY56" s="111" t="n"/>
      <c r="EZ56" s="111" t="n"/>
      <c r="FA56" s="111" t="n"/>
      <c r="FB56" s="111"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1" t="n"/>
      <c r="GH56" s="111" t="n"/>
      <c r="GI56" s="111" t="n"/>
      <c r="GJ56" s="111" t="n"/>
      <c r="GK56" s="111" t="n"/>
      <c r="GL56" s="111" t="n"/>
      <c r="GM56" s="111" t="n"/>
      <c r="GN56" s="111" t="n"/>
      <c r="GO56" s="111" t="n"/>
      <c r="GP56" s="111" t="n"/>
      <c r="GQ56" s="111" t="n"/>
      <c r="GR56" s="111" t="n"/>
      <c r="GS56" s="111" t="n"/>
      <c r="GT56" s="111" t="n"/>
      <c r="GU56" s="111" t="n"/>
      <c r="GV56" s="111" t="n"/>
      <c r="GW56" s="111" t="n"/>
      <c r="GX56" s="111" t="n"/>
      <c r="GY56" s="111" t="n"/>
      <c r="GZ56" s="111" t="n"/>
      <c r="HA56" s="111" t="n"/>
      <c r="HB56" s="111" t="n"/>
      <c r="HC56" s="111" t="n"/>
      <c r="HD56" s="111" t="n"/>
      <c r="HE56" s="111" t="n"/>
      <c r="HF56" s="111" t="n"/>
      <c r="HG56" s="111" t="n"/>
      <c r="HH56" s="111" t="n"/>
      <c r="HI56" s="111" t="n"/>
      <c r="HJ56" s="111" t="n"/>
      <c r="HK56" s="111" t="n"/>
      <c r="HL56" s="111" t="n"/>
      <c r="HM56" s="111" t="n"/>
      <c r="HN56" s="111" t="n"/>
      <c r="HO56" s="111" t="n"/>
      <c r="HP56" s="111" t="n"/>
      <c r="HQ56" s="111" t="n"/>
      <c r="HR56" s="111" t="n"/>
      <c r="HS56" s="111" t="n"/>
      <c r="HT56" s="111" t="n"/>
      <c r="HU56" s="111" t="n"/>
      <c r="HV56" s="111" t="n"/>
      <c r="HW56" s="111" t="n"/>
      <c r="HX56" s="111" t="n"/>
      <c r="HY56" s="111" t="n"/>
      <c r="HZ56" s="111" t="n"/>
      <c r="IA56" s="111" t="n"/>
      <c r="IB56" s="111" t="n"/>
      <c r="IC56" s="111" t="n"/>
      <c r="ID56" s="111" t="n"/>
      <c r="IE56" s="111" t="n"/>
      <c r="IF56" s="111" t="n"/>
      <c r="IG56" s="111" t="n"/>
      <c r="IH56" s="111" t="n"/>
      <c r="II56" s="111" t="n"/>
      <c r="IJ56" s="111" t="n"/>
      <c r="IK56" s="111" t="n"/>
      <c r="IL56" s="111" t="n"/>
      <c r="IM56" s="111" t="n"/>
      <c r="IN56" s="111" t="n"/>
      <c r="IO56" s="111" t="n"/>
      <c r="IP56" s="111" t="n"/>
      <c r="IQ56" s="111" t="n"/>
      <c r="IR56" s="111" t="n"/>
      <c r="IS56" s="111" t="n"/>
      <c r="IT56" s="111" t="n"/>
      <c r="IU56" s="111" t="n"/>
      <c r="IV56" s="111" t="n"/>
      <c r="IW56" s="111" t="n"/>
      <c r="IX56" s="111" t="n"/>
      <c r="IY56" s="111" t="n"/>
      <c r="IZ56" s="111" t="n"/>
      <c r="JA56" s="111" t="n"/>
      <c r="JB56" s="111" t="n"/>
      <c r="JC56" s="111" t="n"/>
      <c r="JD56" s="111" t="n"/>
      <c r="JE56" s="111" t="n"/>
      <c r="JF56" s="111" t="n"/>
      <c r="JG56" s="111" t="n"/>
      <c r="JH56" s="111" t="n"/>
      <c r="JI56" s="111" t="n"/>
      <c r="JJ56" s="111" t="n"/>
      <c r="JK56" s="111" t="n"/>
      <c r="JL56" s="111" t="n"/>
      <c r="JM56" s="111" t="n"/>
      <c r="JN56" s="111" t="n"/>
      <c r="JO56" s="111" t="n"/>
      <c r="JP56" s="111" t="n"/>
      <c r="JQ56" s="111" t="n"/>
      <c r="JR56" s="111" t="n"/>
      <c r="JS56" s="111" t="n"/>
      <c r="JT56" s="111" t="n"/>
      <c r="JU56" s="111" t="n"/>
      <c r="JV56" s="111" t="n"/>
      <c r="JW56" s="111" t="n"/>
      <c r="JX56" s="111" t="n"/>
      <c r="JY56" s="111" t="n"/>
      <c r="JZ56" s="111" t="n"/>
      <c r="KA56" s="111" t="n"/>
      <c r="KB56" s="111" t="n"/>
      <c r="KC56" s="111" t="n"/>
      <c r="KD56" s="111" t="n"/>
      <c r="KE56" s="111" t="n"/>
      <c r="KF56" s="111" t="n"/>
      <c r="KG56" s="111" t="n"/>
      <c r="KH56" s="111" t="n"/>
      <c r="KI56" s="111" t="n"/>
      <c r="KJ56" s="111" t="n"/>
      <c r="KK56" s="111" t="n"/>
      <c r="KL56" s="111" t="n"/>
      <c r="KM56" s="111" t="n"/>
      <c r="KN56" s="111" t="n"/>
      <c r="KO56" s="111" t="n"/>
      <c r="KP56" s="111" t="n"/>
      <c r="KQ56" s="111" t="n"/>
      <c r="KR56" s="111" t="n"/>
      <c r="KS56" s="111" t="n"/>
      <c r="KT56" s="111" t="n"/>
      <c r="KU56" s="111" t="n"/>
      <c r="KV56" s="111" t="n"/>
      <c r="KW56" s="111" t="n"/>
      <c r="KX56" s="111" t="n"/>
      <c r="KY56" s="111" t="n"/>
      <c r="KZ56" s="111" t="n"/>
      <c r="LA56" s="111" t="n"/>
      <c r="LB56" s="111" t="n"/>
      <c r="LC56" s="111" t="n"/>
      <c r="LD56" s="111" t="n"/>
      <c r="LE56" s="111" t="n"/>
      <c r="LF56" s="111" t="n"/>
      <c r="LG56" s="111" t="n"/>
      <c r="LH56" s="111" t="n"/>
      <c r="LI56" s="111" t="n"/>
      <c r="LJ56" s="111" t="n"/>
      <c r="LK56" s="111" t="n"/>
      <c r="LL56" s="111" t="n"/>
      <c r="LM56" s="111" t="n"/>
      <c r="LN56" s="111" t="n"/>
      <c r="LO56" s="111" t="n"/>
      <c r="LP56" s="111" t="n"/>
      <c r="LQ56" s="111" t="n"/>
      <c r="LR56" s="111" t="n"/>
      <c r="LS56" s="111" t="n"/>
      <c r="LT56" s="111" t="n"/>
      <c r="LU56" s="111" t="n"/>
      <c r="LV56" s="111" t="n"/>
      <c r="LW56" s="111" t="n"/>
      <c r="LX56" s="111" t="n"/>
      <c r="LY56" s="111" t="n"/>
      <c r="LZ56" s="111" t="n"/>
      <c r="MA56" s="111" t="n"/>
      <c r="MB56" s="111" t="n"/>
      <c r="MC56" s="111" t="n"/>
      <c r="MD56" s="111" t="n"/>
      <c r="ME56" s="111" t="n"/>
      <c r="MF56" s="111" t="n"/>
      <c r="MG56" s="111" t="n"/>
      <c r="MH56" s="111" t="n"/>
      <c r="MI56" s="111" t="n"/>
      <c r="MJ56" s="111" t="n"/>
      <c r="MK56" s="111" t="n"/>
      <c r="ML56" s="111" t="n"/>
      <c r="MM56" s="111" t="n"/>
      <c r="MN56" s="111" t="n"/>
      <c r="MO56" s="111" t="n"/>
      <c r="MP56" s="111" t="n"/>
      <c r="MQ56" s="111" t="n"/>
      <c r="MR56" s="111" t="n"/>
      <c r="MS56" s="111" t="n"/>
      <c r="MT56" s="111" t="n"/>
      <c r="MU56" s="111" t="n"/>
      <c r="MV56" s="111" t="n"/>
      <c r="MW56" s="111" t="n"/>
      <c r="MX56" s="111" t="n"/>
      <c r="MY56" s="111" t="n"/>
      <c r="MZ56" s="111" t="n"/>
      <c r="NA56" s="111" t="n"/>
      <c r="NB56" s="111" t="n"/>
      <c r="NC56" s="111" t="n"/>
      <c r="ND56" s="111" t="n"/>
      <c r="NE56" s="111" t="n"/>
      <c r="NF56" s="111" t="n"/>
      <c r="NG56" s="111" t="n"/>
      <c r="NH56" s="111" t="n"/>
      <c r="NI56" s="111" t="n"/>
      <c r="NJ56" s="111" t="n"/>
      <c r="NK56" s="111" t="n"/>
      <c r="NL56" s="111" t="n"/>
      <c r="NM56" s="111" t="n"/>
      <c r="NN56" s="111" t="n"/>
      <c r="NO56" s="111" t="n"/>
      <c r="NP56" s="111" t="n"/>
      <c r="NQ56" s="111" t="n"/>
    </row>
    <row r="57" customFormat="1" s="17">
      <c r="A57" s="33">
        <f>IF(ISERROR(VALUE(SUBSTITUTE(OFFSET(A57,-1,0,1,1),".",""))),"0.1",IF(ISERROR(FIND("`",SUBSTITUTE(OFFSET(A57,-1,0,1,1),".","`",1))),OFFSET(A57,-1,0,1,1)&amp;".1",LEFT(OFFSET(A57,-1,0,1,1),FIND("`",SUBSTITUTE(OFFSET(A57,-1,0,1,1),".","`",1)))&amp;IF(ISERROR(FIND("`",SUBSTITUTE(OFFSET(A57,-1,0,1,1),".","`",2))),VALUE(RIGHT(OFFSET(A57,-1,0,1,1),LEN(OFFSET(A57,-1,0,1,1))-FIND("`",SUBSTITUTE(OFFSET(A57,-1,0,1,1),".","`",1))))+1,VALUE(MID(OFFSET(A57,-1,0,1,1),FIND("`",SUBSTITUTE(OFFSET(A57,-1,0,1,1),".","`",1))+1,(FIND("`",SUBSTITUTE(OFFSET(A57,-1,0,1,1),".","`",2))-FIND("`",SUBSTITUTE(OFFSET(A57,-1,0,1,1),".","`",1))-1)))+1)))</f>
        <v/>
      </c>
      <c r="B57" s="10" t="inlineStr">
        <is>
          <t>[ Level 2 Task ]</t>
        </is>
      </c>
      <c r="C57" s="11" t="n"/>
      <c r="D57" s="37" t="n"/>
      <c r="E57" s="37" t="n"/>
      <c r="F57" s="37" t="n"/>
      <c r="G57" s="274">
        <f>$G$6</f>
        <v/>
      </c>
      <c r="H57" s="275">
        <f>IF(K57=0,G57,WORKDAY(IF(WEEKDAY(G57,1)=7,G57+2,IF(WEEKDAY(G57,1)=1,G57+1,G57)),K57-1,holidays))</f>
        <v/>
      </c>
      <c r="I57" s="272" t="n"/>
      <c r="J57" s="272" t="n"/>
      <c r="K57" s="79" t="n">
        <v>1</v>
      </c>
      <c r="L57" s="13" t="n"/>
      <c r="M57" s="14">
        <f>IF(OR(G57=0,H57=0),0,H57-G57+1)</f>
        <v/>
      </c>
      <c r="N57" s="15">
        <f>MIN(M57,WORKDAY(G57,ROUNDDOWN(L57*K57,0),holidays)-G57)</f>
        <v/>
      </c>
      <c r="O57" s="14">
        <f>M57-N57</f>
        <v/>
      </c>
      <c r="P57" s="113" t="n"/>
      <c r="Q57" s="17" t="n"/>
      <c r="R57" s="111" t="n"/>
      <c r="S57" s="111" t="n"/>
      <c r="T57" s="111" t="n"/>
      <c r="U57" s="111" t="n"/>
      <c r="V57" s="111" t="n"/>
      <c r="W57" s="111" t="n"/>
      <c r="X57" s="111" t="n"/>
      <c r="Y57" s="111" t="n"/>
      <c r="Z57" s="111" t="n"/>
      <c r="AA57" s="111" t="n"/>
      <c r="AB57" s="111" t="n"/>
      <c r="AC57" s="111" t="n"/>
      <c r="AD57" s="111" t="n"/>
      <c r="AE57" s="111" t="n"/>
      <c r="AF57" s="111" t="n"/>
      <c r="AG57" s="111" t="n"/>
      <c r="AH57" s="111" t="n"/>
      <c r="AI57" s="111" t="n"/>
      <c r="AJ57" s="111" t="n"/>
      <c r="AK57" s="111" t="n"/>
      <c r="AL57" s="111" t="n"/>
      <c r="AM57" s="111" t="n"/>
      <c r="AN57" s="111" t="n"/>
      <c r="AO57" s="111" t="n"/>
      <c r="AP57" s="111" t="n"/>
      <c r="AQ57" s="111" t="n"/>
      <c r="AR57" s="111" t="n"/>
      <c r="AS57" s="111" t="n"/>
      <c r="AT57" s="111" t="n"/>
      <c r="AU57" s="111" t="n"/>
      <c r="AV57" s="111" t="n"/>
      <c r="AW57" s="111" t="n"/>
      <c r="AX57" s="111" t="n"/>
      <c r="AY57" s="111" t="n"/>
      <c r="AZ57" s="111" t="n"/>
      <c r="BA57" s="111" t="n"/>
      <c r="BB57" s="111" t="n"/>
      <c r="BC57" s="111" t="n"/>
      <c r="BD57" s="111" t="n"/>
      <c r="BE57" s="111" t="n"/>
      <c r="BF57" s="111" t="n"/>
      <c r="BG57" s="111" t="n"/>
      <c r="BH57" s="111" t="n"/>
      <c r="BI57" s="111" t="n"/>
      <c r="BJ57" s="111" t="n"/>
      <c r="BK57" s="111" t="n"/>
      <c r="BL57" s="111" t="n"/>
      <c r="BM57" s="111" t="n"/>
      <c r="BN57" s="111" t="n"/>
      <c r="BO57" s="111" t="n"/>
      <c r="BP57" s="111" t="n"/>
      <c r="BQ57" s="111" t="n"/>
      <c r="BR57" s="111" t="n"/>
      <c r="BS57" s="111" t="n"/>
      <c r="BT57" s="111" t="n"/>
      <c r="BU57" s="111" t="n"/>
      <c r="BV57" s="111" t="n"/>
      <c r="BW57" s="111" t="n"/>
      <c r="BX57" s="111" t="n"/>
      <c r="BY57" s="111" t="n"/>
      <c r="BZ57" s="111" t="n"/>
      <c r="CA57" s="111" t="n"/>
      <c r="CB57" s="111" t="n"/>
      <c r="CC57" s="111" t="n"/>
      <c r="CD57" s="111" t="n"/>
      <c r="CE57" s="111" t="n"/>
      <c r="CF57" s="111" t="n"/>
      <c r="CG57" s="111" t="n"/>
      <c r="CH57" s="111" t="n"/>
      <c r="CI57" s="111" t="n"/>
      <c r="CJ57" s="111" t="n"/>
      <c r="CK57" s="111" t="n"/>
      <c r="CL57" s="111" t="n"/>
      <c r="CM57" s="111" t="n"/>
      <c r="CN57" s="111" t="n"/>
      <c r="CO57" s="111" t="n"/>
      <c r="CP57" s="111" t="n"/>
      <c r="CQ57" s="111" t="n"/>
      <c r="CR57" s="111" t="n"/>
      <c r="CS57" s="111" t="n"/>
      <c r="CT57" s="111" t="n"/>
      <c r="CU57" s="111" t="n"/>
      <c r="CV57" s="111" t="n"/>
      <c r="CW57" s="111" t="n"/>
      <c r="CX57" s="111" t="n"/>
      <c r="CY57" s="111" t="n"/>
      <c r="CZ57" s="111" t="n"/>
      <c r="DA57" s="111" t="n"/>
      <c r="DB57" s="111" t="n"/>
      <c r="DC57" s="111" t="n"/>
      <c r="DD57" s="111" t="n"/>
      <c r="DE57" s="111" t="n"/>
      <c r="DF57" s="111" t="n"/>
      <c r="DG57" s="111" t="n"/>
      <c r="DH57" s="111" t="n"/>
      <c r="DI57" s="111" t="n"/>
      <c r="DJ57" s="111" t="n"/>
      <c r="DK57" s="111" t="n"/>
      <c r="DL57" s="111" t="n"/>
      <c r="DM57" s="111" t="n"/>
      <c r="DN57" s="111" t="n"/>
      <c r="DO57" s="111" t="n"/>
      <c r="DP57" s="111" t="n"/>
      <c r="DQ57" s="111" t="n"/>
      <c r="DR57" s="111" t="n"/>
      <c r="DS57" s="111" t="n"/>
      <c r="DT57" s="111" t="n"/>
      <c r="DU57" s="111" t="n"/>
      <c r="DV57" s="111" t="n"/>
      <c r="DW57" s="111" t="n"/>
      <c r="DX57" s="111" t="n"/>
      <c r="DY57" s="111" t="n"/>
      <c r="DZ57" s="111" t="n"/>
      <c r="EA57" s="111" t="n"/>
      <c r="EB57" s="111" t="n"/>
      <c r="EC57" s="111" t="n"/>
      <c r="ED57" s="111" t="n"/>
      <c r="EE57" s="111" t="n"/>
      <c r="EF57" s="111" t="n"/>
      <c r="EG57" s="111" t="n"/>
      <c r="EH57" s="111" t="n"/>
      <c r="EI57" s="111" t="n"/>
      <c r="EJ57" s="111" t="n"/>
      <c r="EK57" s="111" t="n"/>
      <c r="EL57" s="111" t="n"/>
      <c r="EM57" s="111" t="n"/>
      <c r="EN57" s="111" t="n"/>
      <c r="EO57" s="111" t="n"/>
      <c r="EP57" s="111" t="n"/>
      <c r="EQ57" s="111" t="n"/>
      <c r="ER57" s="111" t="n"/>
      <c r="ES57" s="111" t="n"/>
      <c r="ET57" s="111" t="n"/>
      <c r="EU57" s="111" t="n"/>
      <c r="EV57" s="111" t="n"/>
      <c r="EW57" s="111" t="n"/>
      <c r="EX57" s="111" t="n"/>
      <c r="EY57" s="111" t="n"/>
      <c r="EZ57" s="111" t="n"/>
      <c r="FA57" s="111" t="n"/>
      <c r="FB57" s="111" t="n"/>
      <c r="FC57" s="111" t="n"/>
      <c r="FD57" s="111" t="n"/>
      <c r="FE57" s="111" t="n"/>
      <c r="FF57" s="111" t="n"/>
      <c r="FG57" s="111" t="n"/>
      <c r="FH57" s="111" t="n"/>
      <c r="FI57" s="111" t="n"/>
      <c r="FJ57" s="111" t="n"/>
      <c r="FK57" s="111" t="n"/>
      <c r="FL57" s="111" t="n"/>
      <c r="FM57" s="111" t="n"/>
      <c r="FN57" s="111" t="n"/>
      <c r="FO57" s="111" t="n"/>
      <c r="FP57" s="111" t="n"/>
      <c r="FQ57" s="111" t="n"/>
      <c r="FR57" s="111" t="n"/>
      <c r="FS57" s="111" t="n"/>
      <c r="FT57" s="111" t="n"/>
      <c r="FU57" s="111" t="n"/>
      <c r="FV57" s="111" t="n"/>
      <c r="FW57" s="111" t="n"/>
      <c r="FX57" s="111" t="n"/>
      <c r="FY57" s="111" t="n"/>
      <c r="FZ57" s="111" t="n"/>
      <c r="GA57" s="111" t="n"/>
      <c r="GB57" s="111" t="n"/>
      <c r="GC57" s="111" t="n"/>
      <c r="GD57" s="111" t="n"/>
      <c r="GE57" s="111" t="n"/>
      <c r="GF57" s="111" t="n"/>
      <c r="GG57" s="111" t="n"/>
      <c r="GH57" s="111" t="n"/>
      <c r="GI57" s="111" t="n"/>
      <c r="GJ57" s="111" t="n"/>
      <c r="GK57" s="111" t="n"/>
      <c r="GL57" s="111" t="n"/>
      <c r="GM57" s="111" t="n"/>
      <c r="GN57" s="111" t="n"/>
      <c r="GO57" s="111" t="n"/>
      <c r="GP57" s="111" t="n"/>
      <c r="GQ57" s="111" t="n"/>
      <c r="GR57" s="111" t="n"/>
      <c r="GS57" s="111" t="n"/>
      <c r="GT57" s="111" t="n"/>
      <c r="GU57" s="111" t="n"/>
      <c r="GV57" s="111" t="n"/>
      <c r="GW57" s="111" t="n"/>
      <c r="GX57" s="111" t="n"/>
      <c r="GY57" s="111" t="n"/>
      <c r="GZ57" s="111" t="n"/>
      <c r="HA57" s="111" t="n"/>
      <c r="HB57" s="111" t="n"/>
      <c r="HC57" s="111" t="n"/>
      <c r="HD57" s="111" t="n"/>
      <c r="HE57" s="111" t="n"/>
      <c r="HF57" s="111" t="n"/>
      <c r="HG57" s="111" t="n"/>
      <c r="HH57" s="111" t="n"/>
      <c r="HI57" s="111" t="n"/>
      <c r="HJ57" s="111" t="n"/>
      <c r="HK57" s="111" t="n"/>
      <c r="HL57" s="111" t="n"/>
      <c r="HM57" s="111" t="n"/>
      <c r="HN57" s="111" t="n"/>
      <c r="HO57" s="111" t="n"/>
      <c r="HP57" s="111" t="n"/>
      <c r="HQ57" s="111" t="n"/>
      <c r="HR57" s="111" t="n"/>
      <c r="HS57" s="111" t="n"/>
      <c r="HT57" s="111" t="n"/>
      <c r="HU57" s="111" t="n"/>
      <c r="HV57" s="111" t="n"/>
      <c r="HW57" s="111" t="n"/>
      <c r="HX57" s="111" t="n"/>
      <c r="HY57" s="111" t="n"/>
      <c r="HZ57" s="111" t="n"/>
      <c r="IA57" s="111" t="n"/>
      <c r="IB57" s="111" t="n"/>
      <c r="IC57" s="111" t="n"/>
      <c r="ID57" s="111" t="n"/>
      <c r="IE57" s="111" t="n"/>
      <c r="IF57" s="111" t="n"/>
      <c r="IG57" s="111" t="n"/>
      <c r="IH57" s="111" t="n"/>
      <c r="II57" s="111" t="n"/>
      <c r="IJ57" s="111" t="n"/>
      <c r="IK57" s="111" t="n"/>
      <c r="IL57" s="111" t="n"/>
      <c r="IM57" s="111" t="n"/>
      <c r="IN57" s="111" t="n"/>
      <c r="IO57" s="111" t="n"/>
      <c r="IP57" s="111" t="n"/>
      <c r="IQ57" s="111" t="n"/>
      <c r="IR57" s="111" t="n"/>
      <c r="IS57" s="111" t="n"/>
      <c r="IT57" s="111" t="n"/>
      <c r="IU57" s="111" t="n"/>
      <c r="IV57" s="111" t="n"/>
      <c r="IW57" s="111" t="n"/>
      <c r="IX57" s="111" t="n"/>
      <c r="IY57" s="111" t="n"/>
      <c r="IZ57" s="111" t="n"/>
      <c r="JA57" s="111" t="n"/>
      <c r="JB57" s="111" t="n"/>
      <c r="JC57" s="111" t="n"/>
      <c r="JD57" s="111" t="n"/>
      <c r="JE57" s="111" t="n"/>
      <c r="JF57" s="111" t="n"/>
      <c r="JG57" s="111" t="n"/>
      <c r="JH57" s="111" t="n"/>
      <c r="JI57" s="111" t="n"/>
      <c r="JJ57" s="111" t="n"/>
      <c r="JK57" s="111" t="n"/>
      <c r="JL57" s="111" t="n"/>
      <c r="JM57" s="111" t="n"/>
      <c r="JN57" s="111" t="n"/>
      <c r="JO57" s="111" t="n"/>
      <c r="JP57" s="111" t="n"/>
      <c r="JQ57" s="111" t="n"/>
      <c r="JR57" s="111" t="n"/>
      <c r="JS57" s="111" t="n"/>
      <c r="JT57" s="111" t="n"/>
      <c r="JU57" s="111" t="n"/>
      <c r="JV57" s="111" t="n"/>
      <c r="JW57" s="111" t="n"/>
      <c r="JX57" s="111" t="n"/>
      <c r="JY57" s="111" t="n"/>
      <c r="JZ57" s="111" t="n"/>
      <c r="KA57" s="111" t="n"/>
      <c r="KB57" s="111" t="n"/>
      <c r="KC57" s="111" t="n"/>
      <c r="KD57" s="111" t="n"/>
      <c r="KE57" s="111" t="n"/>
      <c r="KF57" s="111" t="n"/>
      <c r="KG57" s="111" t="n"/>
      <c r="KH57" s="111" t="n"/>
      <c r="KI57" s="111" t="n"/>
      <c r="KJ57" s="111" t="n"/>
      <c r="KK57" s="111" t="n"/>
      <c r="KL57" s="111" t="n"/>
      <c r="KM57" s="111" t="n"/>
      <c r="KN57" s="111" t="n"/>
      <c r="KO57" s="111" t="n"/>
      <c r="KP57" s="111" t="n"/>
      <c r="KQ57" s="111" t="n"/>
      <c r="KR57" s="111" t="n"/>
      <c r="KS57" s="111" t="n"/>
      <c r="KT57" s="111" t="n"/>
      <c r="KU57" s="111" t="n"/>
      <c r="KV57" s="111" t="n"/>
      <c r="KW57" s="111" t="n"/>
      <c r="KX57" s="111" t="n"/>
      <c r="KY57" s="111" t="n"/>
      <c r="KZ57" s="111" t="n"/>
      <c r="LA57" s="111" t="n"/>
      <c r="LB57" s="111" t="n"/>
      <c r="LC57" s="111" t="n"/>
      <c r="LD57" s="111" t="n"/>
      <c r="LE57" s="111" t="n"/>
      <c r="LF57" s="111" t="n"/>
      <c r="LG57" s="111" t="n"/>
      <c r="LH57" s="111" t="n"/>
      <c r="LI57" s="111" t="n"/>
      <c r="LJ57" s="111" t="n"/>
      <c r="LK57" s="111" t="n"/>
      <c r="LL57" s="111" t="n"/>
      <c r="LM57" s="111" t="n"/>
      <c r="LN57" s="111" t="n"/>
      <c r="LO57" s="111" t="n"/>
      <c r="LP57" s="111" t="n"/>
      <c r="LQ57" s="111" t="n"/>
      <c r="LR57" s="111" t="n"/>
      <c r="LS57" s="111" t="n"/>
      <c r="LT57" s="111" t="n"/>
      <c r="LU57" s="111" t="n"/>
      <c r="LV57" s="111" t="n"/>
      <c r="LW57" s="111" t="n"/>
      <c r="LX57" s="111" t="n"/>
      <c r="LY57" s="111" t="n"/>
      <c r="LZ57" s="111" t="n"/>
      <c r="MA57" s="111" t="n"/>
      <c r="MB57" s="111" t="n"/>
      <c r="MC57" s="111" t="n"/>
      <c r="MD57" s="111" t="n"/>
      <c r="ME57" s="111" t="n"/>
      <c r="MF57" s="111" t="n"/>
      <c r="MG57" s="111" t="n"/>
      <c r="MH57" s="111" t="n"/>
      <c r="MI57" s="111" t="n"/>
      <c r="MJ57" s="111" t="n"/>
      <c r="MK57" s="111" t="n"/>
      <c r="ML57" s="111" t="n"/>
      <c r="MM57" s="111" t="n"/>
      <c r="MN57" s="111" t="n"/>
      <c r="MO57" s="111" t="n"/>
      <c r="MP57" s="111" t="n"/>
      <c r="MQ57" s="111" t="n"/>
      <c r="MR57" s="111" t="n"/>
      <c r="MS57" s="111" t="n"/>
      <c r="MT57" s="111" t="n"/>
      <c r="MU57" s="111" t="n"/>
      <c r="MV57" s="111" t="n"/>
      <c r="MW57" s="111" t="n"/>
      <c r="MX57" s="111" t="n"/>
      <c r="MY57" s="111" t="n"/>
      <c r="MZ57" s="111" t="n"/>
      <c r="NA57" s="111" t="n"/>
      <c r="NB57" s="111" t="n"/>
      <c r="NC57" s="111" t="n"/>
      <c r="ND57" s="111" t="n"/>
      <c r="NE57" s="111" t="n"/>
      <c r="NF57" s="111" t="n"/>
      <c r="NG57" s="111" t="n"/>
      <c r="NH57" s="111" t="n"/>
      <c r="NI57" s="111" t="n"/>
      <c r="NJ57" s="111" t="n"/>
      <c r="NK57" s="111" t="n"/>
      <c r="NL57" s="111" t="n"/>
      <c r="NM57" s="111" t="n"/>
      <c r="NN57" s="111" t="n"/>
      <c r="NO57" s="111" t="n"/>
      <c r="NP57" s="111" t="n"/>
      <c r="NQ57" s="111" t="n"/>
    </row>
    <row r="58" customFormat="1" s="17">
      <c r="A58" s="33">
        <f>IF(ISERROR(VALUE(SUBSTITUTE(OFFSET(A58,-1,0,1,1),".",""))),"0.1",IF(ISERROR(FIND("`",SUBSTITUTE(OFFSET(A58,-1,0,1,1),".","`",1))),OFFSET(A58,-1,0,1,1)&amp;".1",LEFT(OFFSET(A58,-1,0,1,1),FIND("`",SUBSTITUTE(OFFSET(A58,-1,0,1,1),".","`",1)))&amp;IF(ISERROR(FIND("`",SUBSTITUTE(OFFSET(A58,-1,0,1,1),".","`",2))),VALUE(RIGHT(OFFSET(A58,-1,0,1,1),LEN(OFFSET(A58,-1,0,1,1))-FIND("`",SUBSTITUTE(OFFSET(A58,-1,0,1,1),".","`",1))))+1,VALUE(MID(OFFSET(A58,-1,0,1,1),FIND("`",SUBSTITUTE(OFFSET(A58,-1,0,1,1),".","`",1))+1,(FIND("`",SUBSTITUTE(OFFSET(A58,-1,0,1,1),".","`",2))-FIND("`",SUBSTITUTE(OFFSET(A58,-1,0,1,1),".","`",1))-1)))+1)))</f>
        <v/>
      </c>
      <c r="B58" s="10" t="inlineStr">
        <is>
          <t>[ Level 2 Task ]</t>
        </is>
      </c>
      <c r="C58" s="11" t="n"/>
      <c r="D58" s="37" t="n"/>
      <c r="E58" s="37" t="n"/>
      <c r="F58" s="37" t="n"/>
      <c r="G58" s="274">
        <f>$G$6</f>
        <v/>
      </c>
      <c r="H58" s="275">
        <f>IF(K58=0,G58,WORKDAY(IF(WEEKDAY(G58,1)=7,G58+2,IF(WEEKDAY(G58,1)=1,G58+1,G58)),K58-1,holidays))</f>
        <v/>
      </c>
      <c r="I58" s="272" t="n"/>
      <c r="J58" s="272" t="n"/>
      <c r="K58" s="79" t="n">
        <v>1</v>
      </c>
      <c r="L58" s="13" t="n"/>
      <c r="M58" s="14">
        <f>IF(OR(G58=0,H58=0),0,H58-G58+1)</f>
        <v/>
      </c>
      <c r="N58" s="15">
        <f>MIN(M58,WORKDAY(G58,ROUNDDOWN(L58*K58,0),holidays)-G58)</f>
        <v/>
      </c>
      <c r="O58" s="14">
        <f>M58-N58</f>
        <v/>
      </c>
      <c r="P58" s="113" t="n"/>
      <c r="Q58" s="17" t="n"/>
      <c r="R58" s="111" t="n"/>
      <c r="S58" s="111" t="n"/>
      <c r="T58" s="111" t="n"/>
      <c r="U58" s="111" t="n"/>
      <c r="V58" s="111" t="n"/>
      <c r="W58" s="111" t="n"/>
      <c r="X58" s="111" t="n"/>
      <c r="Y58" s="111" t="n"/>
      <c r="Z58" s="111" t="n"/>
      <c r="AA58" s="111" t="n"/>
      <c r="AB58" s="111" t="n"/>
      <c r="AC58" s="111" t="n"/>
      <c r="AD58" s="111" t="n"/>
      <c r="AE58" s="111" t="n"/>
      <c r="AF58" s="111" t="n"/>
      <c r="AG58" s="111" t="n"/>
      <c r="AH58" s="111" t="n"/>
      <c r="AI58" s="111" t="n"/>
      <c r="AJ58" s="111" t="n"/>
      <c r="AK58" s="111" t="n"/>
      <c r="AL58" s="111" t="n"/>
      <c r="AM58" s="111" t="n"/>
      <c r="AN58" s="111" t="n"/>
      <c r="AO58" s="111" t="n"/>
      <c r="AP58" s="111" t="n"/>
      <c r="AQ58" s="111" t="n"/>
      <c r="AR58" s="111" t="n"/>
      <c r="AS58" s="111" t="n"/>
      <c r="AT58" s="111" t="n"/>
      <c r="AU58" s="111" t="n"/>
      <c r="AV58" s="111" t="n"/>
      <c r="AW58" s="111" t="n"/>
      <c r="AX58" s="111" t="n"/>
      <c r="AY58" s="111" t="n"/>
      <c r="AZ58" s="111" t="n"/>
      <c r="BA58" s="111" t="n"/>
      <c r="BB58" s="111" t="n"/>
      <c r="BC58" s="111" t="n"/>
      <c r="BD58" s="111" t="n"/>
      <c r="BE58" s="111" t="n"/>
      <c r="BF58" s="111" t="n"/>
      <c r="BG58" s="111" t="n"/>
      <c r="BH58" s="111" t="n"/>
      <c r="BI58" s="111" t="n"/>
      <c r="BJ58" s="111" t="n"/>
      <c r="BK58" s="111" t="n"/>
      <c r="BL58" s="111" t="n"/>
      <c r="BM58" s="111" t="n"/>
      <c r="BN58" s="111" t="n"/>
      <c r="BO58" s="111" t="n"/>
      <c r="BP58" s="111" t="n"/>
      <c r="BQ58" s="111" t="n"/>
      <c r="BR58" s="111" t="n"/>
      <c r="BS58" s="111" t="n"/>
      <c r="BT58" s="111" t="n"/>
      <c r="BU58" s="111" t="n"/>
      <c r="BV58" s="111" t="n"/>
      <c r="BW58" s="111" t="n"/>
      <c r="BX58" s="111" t="n"/>
      <c r="BY58" s="111" t="n"/>
      <c r="BZ58" s="111" t="n"/>
      <c r="CA58" s="111" t="n"/>
      <c r="CB58" s="111" t="n"/>
      <c r="CC58" s="111" t="n"/>
      <c r="CD58" s="111" t="n"/>
      <c r="CE58" s="111" t="n"/>
      <c r="CF58" s="111" t="n"/>
      <c r="CG58" s="111" t="n"/>
      <c r="CH58" s="111" t="n"/>
      <c r="CI58" s="111" t="n"/>
      <c r="CJ58" s="111" t="n"/>
      <c r="CK58" s="111" t="n"/>
      <c r="CL58" s="111" t="n"/>
      <c r="CM58" s="111" t="n"/>
      <c r="CN58" s="111" t="n"/>
      <c r="CO58" s="111" t="n"/>
      <c r="CP58" s="111" t="n"/>
      <c r="CQ58" s="111" t="n"/>
      <c r="CR58" s="111" t="n"/>
      <c r="CS58" s="111" t="n"/>
      <c r="CT58" s="111" t="n"/>
      <c r="CU58" s="111" t="n"/>
      <c r="CV58" s="111" t="n"/>
      <c r="CW58" s="111" t="n"/>
      <c r="CX58" s="111" t="n"/>
      <c r="CY58" s="111" t="n"/>
      <c r="CZ58" s="111" t="n"/>
      <c r="DA58" s="111" t="n"/>
      <c r="DB58" s="111" t="n"/>
      <c r="DC58" s="111" t="n"/>
      <c r="DD58" s="111" t="n"/>
      <c r="DE58" s="111" t="n"/>
      <c r="DF58" s="111" t="n"/>
      <c r="DG58" s="111" t="n"/>
      <c r="DH58" s="111" t="n"/>
      <c r="DI58" s="111" t="n"/>
      <c r="DJ58" s="111" t="n"/>
      <c r="DK58" s="111" t="n"/>
      <c r="DL58" s="111" t="n"/>
      <c r="DM58" s="111" t="n"/>
      <c r="DN58" s="111" t="n"/>
      <c r="DO58" s="111" t="n"/>
      <c r="DP58" s="111" t="n"/>
      <c r="DQ58" s="111" t="n"/>
      <c r="DR58" s="111" t="n"/>
      <c r="DS58" s="111" t="n"/>
      <c r="DT58" s="111" t="n"/>
      <c r="DU58" s="111" t="n"/>
      <c r="DV58" s="111" t="n"/>
      <c r="DW58" s="111" t="n"/>
      <c r="DX58" s="111" t="n"/>
      <c r="DY58" s="111" t="n"/>
      <c r="DZ58" s="111" t="n"/>
      <c r="EA58" s="111" t="n"/>
      <c r="EB58" s="111" t="n"/>
      <c r="EC58" s="111" t="n"/>
      <c r="ED58" s="111" t="n"/>
      <c r="EE58" s="111" t="n"/>
      <c r="EF58" s="111" t="n"/>
      <c r="EG58" s="111" t="n"/>
      <c r="EH58" s="111" t="n"/>
      <c r="EI58" s="111" t="n"/>
      <c r="EJ58" s="111" t="n"/>
      <c r="EK58" s="111" t="n"/>
      <c r="EL58" s="111" t="n"/>
      <c r="EM58" s="111" t="n"/>
      <c r="EN58" s="111" t="n"/>
      <c r="EO58" s="111" t="n"/>
      <c r="EP58" s="111" t="n"/>
      <c r="EQ58" s="111" t="n"/>
      <c r="ER58" s="111" t="n"/>
      <c r="ES58" s="111" t="n"/>
      <c r="ET58" s="111" t="n"/>
      <c r="EU58" s="111" t="n"/>
      <c r="EV58" s="111" t="n"/>
      <c r="EW58" s="111" t="n"/>
      <c r="EX58" s="111" t="n"/>
      <c r="EY58" s="111" t="n"/>
      <c r="EZ58" s="111" t="n"/>
      <c r="FA58" s="111" t="n"/>
      <c r="FB58" s="111" t="n"/>
      <c r="FC58" s="111" t="n"/>
      <c r="FD58" s="111" t="n"/>
      <c r="FE58" s="111" t="n"/>
      <c r="FF58" s="111" t="n"/>
      <c r="FG58" s="111" t="n"/>
      <c r="FH58" s="111" t="n"/>
      <c r="FI58" s="111" t="n"/>
      <c r="FJ58" s="111" t="n"/>
      <c r="FK58" s="111" t="n"/>
      <c r="FL58" s="111" t="n"/>
      <c r="FM58" s="111" t="n"/>
      <c r="FN58" s="111" t="n"/>
      <c r="FO58" s="111" t="n"/>
      <c r="FP58" s="111" t="n"/>
      <c r="FQ58" s="111" t="n"/>
      <c r="FR58" s="111" t="n"/>
      <c r="FS58" s="111" t="n"/>
      <c r="FT58" s="111" t="n"/>
      <c r="FU58" s="111" t="n"/>
      <c r="FV58" s="111" t="n"/>
      <c r="FW58" s="111" t="n"/>
      <c r="FX58" s="111" t="n"/>
      <c r="FY58" s="111" t="n"/>
      <c r="FZ58" s="111" t="n"/>
      <c r="GA58" s="111" t="n"/>
      <c r="GB58" s="111" t="n"/>
      <c r="GC58" s="111" t="n"/>
      <c r="GD58" s="111" t="n"/>
      <c r="GE58" s="111" t="n"/>
      <c r="GF58" s="111" t="n"/>
      <c r="GG58" s="111" t="n"/>
      <c r="GH58" s="111" t="n"/>
      <c r="GI58" s="111" t="n"/>
      <c r="GJ58" s="111" t="n"/>
      <c r="GK58" s="111" t="n"/>
      <c r="GL58" s="111" t="n"/>
      <c r="GM58" s="111" t="n"/>
      <c r="GN58" s="111" t="n"/>
      <c r="GO58" s="111" t="n"/>
      <c r="GP58" s="111" t="n"/>
      <c r="GQ58" s="111" t="n"/>
      <c r="GR58" s="111" t="n"/>
      <c r="GS58" s="111" t="n"/>
      <c r="GT58" s="111" t="n"/>
      <c r="GU58" s="111" t="n"/>
      <c r="GV58" s="111" t="n"/>
      <c r="GW58" s="111" t="n"/>
      <c r="GX58" s="111" t="n"/>
      <c r="GY58" s="111" t="n"/>
      <c r="GZ58" s="111" t="n"/>
      <c r="HA58" s="111" t="n"/>
      <c r="HB58" s="111" t="n"/>
      <c r="HC58" s="111" t="n"/>
      <c r="HD58" s="111" t="n"/>
      <c r="HE58" s="111" t="n"/>
      <c r="HF58" s="111" t="n"/>
      <c r="HG58" s="111" t="n"/>
      <c r="HH58" s="111" t="n"/>
      <c r="HI58" s="111" t="n"/>
      <c r="HJ58" s="111" t="n"/>
      <c r="HK58" s="111" t="n"/>
      <c r="HL58" s="111" t="n"/>
      <c r="HM58" s="111" t="n"/>
      <c r="HN58" s="111" t="n"/>
      <c r="HO58" s="111" t="n"/>
      <c r="HP58" s="111" t="n"/>
      <c r="HQ58" s="111" t="n"/>
      <c r="HR58" s="111" t="n"/>
      <c r="HS58" s="111" t="n"/>
      <c r="HT58" s="111" t="n"/>
      <c r="HU58" s="111" t="n"/>
      <c r="HV58" s="111" t="n"/>
      <c r="HW58" s="111" t="n"/>
      <c r="HX58" s="111" t="n"/>
      <c r="HY58" s="111" t="n"/>
      <c r="HZ58" s="111" t="n"/>
      <c r="IA58" s="111" t="n"/>
      <c r="IB58" s="111" t="n"/>
      <c r="IC58" s="111" t="n"/>
      <c r="ID58" s="111" t="n"/>
      <c r="IE58" s="111" t="n"/>
      <c r="IF58" s="111" t="n"/>
      <c r="IG58" s="111" t="n"/>
      <c r="IH58" s="111" t="n"/>
      <c r="II58" s="111" t="n"/>
      <c r="IJ58" s="111" t="n"/>
      <c r="IK58" s="111" t="n"/>
      <c r="IL58" s="111" t="n"/>
      <c r="IM58" s="111" t="n"/>
      <c r="IN58" s="111" t="n"/>
      <c r="IO58" s="111" t="n"/>
      <c r="IP58" s="111" t="n"/>
      <c r="IQ58" s="111" t="n"/>
      <c r="IR58" s="111" t="n"/>
      <c r="IS58" s="111" t="n"/>
      <c r="IT58" s="111" t="n"/>
      <c r="IU58" s="111" t="n"/>
      <c r="IV58" s="111" t="n"/>
      <c r="IW58" s="111" t="n"/>
      <c r="IX58" s="111" t="n"/>
      <c r="IY58" s="111" t="n"/>
      <c r="IZ58" s="111" t="n"/>
      <c r="JA58" s="111" t="n"/>
      <c r="JB58" s="111" t="n"/>
      <c r="JC58" s="111" t="n"/>
      <c r="JD58" s="111" t="n"/>
      <c r="JE58" s="111" t="n"/>
      <c r="JF58" s="111" t="n"/>
      <c r="JG58" s="111" t="n"/>
      <c r="JH58" s="111" t="n"/>
      <c r="JI58" s="111" t="n"/>
      <c r="JJ58" s="111" t="n"/>
      <c r="JK58" s="111" t="n"/>
      <c r="JL58" s="111" t="n"/>
      <c r="JM58" s="111" t="n"/>
      <c r="JN58" s="111" t="n"/>
      <c r="JO58" s="111" t="n"/>
      <c r="JP58" s="111" t="n"/>
      <c r="JQ58" s="111" t="n"/>
      <c r="JR58" s="111" t="n"/>
      <c r="JS58" s="111" t="n"/>
      <c r="JT58" s="111" t="n"/>
      <c r="JU58" s="111" t="n"/>
      <c r="JV58" s="111" t="n"/>
      <c r="JW58" s="111" t="n"/>
      <c r="JX58" s="111" t="n"/>
      <c r="JY58" s="111" t="n"/>
      <c r="JZ58" s="111" t="n"/>
      <c r="KA58" s="111" t="n"/>
      <c r="KB58" s="111" t="n"/>
      <c r="KC58" s="111" t="n"/>
      <c r="KD58" s="111" t="n"/>
      <c r="KE58" s="111" t="n"/>
      <c r="KF58" s="111" t="n"/>
      <c r="KG58" s="111" t="n"/>
      <c r="KH58" s="111" t="n"/>
      <c r="KI58" s="111" t="n"/>
      <c r="KJ58" s="111" t="n"/>
      <c r="KK58" s="111" t="n"/>
      <c r="KL58" s="111" t="n"/>
      <c r="KM58" s="111" t="n"/>
      <c r="KN58" s="111" t="n"/>
      <c r="KO58" s="111" t="n"/>
      <c r="KP58" s="111" t="n"/>
      <c r="KQ58" s="111" t="n"/>
      <c r="KR58" s="111" t="n"/>
      <c r="KS58" s="111" t="n"/>
      <c r="KT58" s="111" t="n"/>
      <c r="KU58" s="111" t="n"/>
      <c r="KV58" s="111" t="n"/>
      <c r="KW58" s="111" t="n"/>
      <c r="KX58" s="111" t="n"/>
      <c r="KY58" s="111" t="n"/>
      <c r="KZ58" s="111" t="n"/>
      <c r="LA58" s="111" t="n"/>
      <c r="LB58" s="111" t="n"/>
      <c r="LC58" s="111" t="n"/>
      <c r="LD58" s="111" t="n"/>
      <c r="LE58" s="111" t="n"/>
      <c r="LF58" s="111" t="n"/>
      <c r="LG58" s="111" t="n"/>
      <c r="LH58" s="111" t="n"/>
      <c r="LI58" s="111" t="n"/>
      <c r="LJ58" s="111" t="n"/>
      <c r="LK58" s="111" t="n"/>
      <c r="LL58" s="111" t="n"/>
      <c r="LM58" s="111" t="n"/>
      <c r="LN58" s="111" t="n"/>
      <c r="LO58" s="111" t="n"/>
      <c r="LP58" s="111" t="n"/>
      <c r="LQ58" s="111" t="n"/>
      <c r="LR58" s="111" t="n"/>
      <c r="LS58" s="111" t="n"/>
      <c r="LT58" s="111" t="n"/>
      <c r="LU58" s="111" t="n"/>
      <c r="LV58" s="111" t="n"/>
      <c r="LW58" s="111" t="n"/>
      <c r="LX58" s="111" t="n"/>
      <c r="LY58" s="111" t="n"/>
      <c r="LZ58" s="111" t="n"/>
      <c r="MA58" s="111" t="n"/>
      <c r="MB58" s="111" t="n"/>
      <c r="MC58" s="111" t="n"/>
      <c r="MD58" s="111" t="n"/>
      <c r="ME58" s="111" t="n"/>
      <c r="MF58" s="111" t="n"/>
      <c r="MG58" s="111" t="n"/>
      <c r="MH58" s="111" t="n"/>
      <c r="MI58" s="111" t="n"/>
      <c r="MJ58" s="111" t="n"/>
      <c r="MK58" s="111" t="n"/>
      <c r="ML58" s="111" t="n"/>
      <c r="MM58" s="111" t="n"/>
      <c r="MN58" s="111" t="n"/>
      <c r="MO58" s="111" t="n"/>
      <c r="MP58" s="111" t="n"/>
      <c r="MQ58" s="111" t="n"/>
      <c r="MR58" s="111" t="n"/>
      <c r="MS58" s="111" t="n"/>
      <c r="MT58" s="111" t="n"/>
      <c r="MU58" s="111" t="n"/>
      <c r="MV58" s="111" t="n"/>
      <c r="MW58" s="111" t="n"/>
      <c r="MX58" s="111" t="n"/>
      <c r="MY58" s="111" t="n"/>
      <c r="MZ58" s="111" t="n"/>
      <c r="NA58" s="111" t="n"/>
      <c r="NB58" s="111" t="n"/>
      <c r="NC58" s="111" t="n"/>
      <c r="ND58" s="111" t="n"/>
      <c r="NE58" s="111" t="n"/>
      <c r="NF58" s="111" t="n"/>
      <c r="NG58" s="111" t="n"/>
      <c r="NH58" s="111" t="n"/>
      <c r="NI58" s="111" t="n"/>
      <c r="NJ58" s="111" t="n"/>
      <c r="NK58" s="111" t="n"/>
      <c r="NL58" s="111" t="n"/>
      <c r="NM58" s="111" t="n"/>
      <c r="NN58" s="111" t="n"/>
      <c r="NO58" s="111" t="n"/>
      <c r="NP58" s="111" t="n"/>
      <c r="NQ58" s="111" t="n"/>
    </row>
    <row r="59" customFormat="1" s="17">
      <c r="A59" s="33">
        <f>IF(ISERROR(VALUE(SUBSTITUTE(OFFSET(A59,-1,0,1,1),".",""))),"0.1",IF(ISERROR(FIND("`",SUBSTITUTE(OFFSET(A59,-1,0,1,1),".","`",1))),OFFSET(A59,-1,0,1,1)&amp;".1",LEFT(OFFSET(A59,-1,0,1,1),FIND("`",SUBSTITUTE(OFFSET(A59,-1,0,1,1),".","`",1)))&amp;IF(ISERROR(FIND("`",SUBSTITUTE(OFFSET(A59,-1,0,1,1),".","`",2))),VALUE(RIGHT(OFFSET(A59,-1,0,1,1),LEN(OFFSET(A59,-1,0,1,1))-FIND("`",SUBSTITUTE(OFFSET(A59,-1,0,1,1),".","`",1))))+1,VALUE(MID(OFFSET(A59,-1,0,1,1),FIND("`",SUBSTITUTE(OFFSET(A59,-1,0,1,1),".","`",1))+1,(FIND("`",SUBSTITUTE(OFFSET(A59,-1,0,1,1),".","`",2))-FIND("`",SUBSTITUTE(OFFSET(A59,-1,0,1,1),".","`",1))-1)))+1)))</f>
        <v/>
      </c>
      <c r="B59" s="10" t="inlineStr">
        <is>
          <t>[ Level 2 Task ]</t>
        </is>
      </c>
      <c r="C59" s="11" t="n"/>
      <c r="D59" s="37" t="n"/>
      <c r="E59" s="37" t="n"/>
      <c r="F59" s="37" t="n"/>
      <c r="G59" s="274">
        <f>$G$6</f>
        <v/>
      </c>
      <c r="H59" s="275">
        <f>IF(K59=0,G59,WORKDAY(IF(WEEKDAY(G59,1)=7,G59+2,IF(WEEKDAY(G59,1)=1,G59+1,G59)),K59-1,holidays))</f>
        <v/>
      </c>
      <c r="I59" s="272" t="n"/>
      <c r="J59" s="272" t="n"/>
      <c r="K59" s="79" t="n">
        <v>1</v>
      </c>
      <c r="L59" s="13" t="n"/>
      <c r="M59" s="14">
        <f>IF(OR(G59=0,H59=0),0,H59-G59+1)</f>
        <v/>
      </c>
      <c r="N59" s="15">
        <f>MIN(M59,WORKDAY(G59,ROUNDDOWN(L59*K59,0),holidays)-G59)</f>
        <v/>
      </c>
      <c r="O59" s="14">
        <f>M59-N59</f>
        <v/>
      </c>
      <c r="P59" s="113" t="n"/>
      <c r="Q59" s="17" t="n"/>
      <c r="R59" s="111" t="n"/>
      <c r="S59" s="111" t="n"/>
      <c r="T59" s="111" t="n"/>
      <c r="U59" s="111" t="n"/>
      <c r="V59" s="111" t="n"/>
      <c r="W59" s="111" t="n"/>
      <c r="X59" s="111" t="n"/>
      <c r="Y59" s="111" t="n"/>
      <c r="Z59" s="111" t="n"/>
      <c r="AA59" s="111" t="n"/>
      <c r="AB59" s="111" t="n"/>
      <c r="AC59" s="111" t="n"/>
      <c r="AD59" s="111" t="n"/>
      <c r="AE59" s="111" t="n"/>
      <c r="AF59" s="111" t="n"/>
      <c r="AG59" s="111" t="n"/>
      <c r="AH59" s="111" t="n"/>
      <c r="AI59" s="111" t="n"/>
      <c r="AJ59" s="111" t="n"/>
      <c r="AK59" s="111" t="n"/>
      <c r="AL59" s="111" t="n"/>
      <c r="AM59" s="111" t="n"/>
      <c r="AN59" s="111" t="n"/>
      <c r="AO59" s="111" t="n"/>
      <c r="AP59" s="111" t="n"/>
      <c r="AQ59" s="111" t="n"/>
      <c r="AR59" s="111" t="n"/>
      <c r="AS59" s="111" t="n"/>
      <c r="AT59" s="111" t="n"/>
      <c r="AU59" s="111" t="n"/>
      <c r="AV59" s="111" t="n"/>
      <c r="AW59" s="111" t="n"/>
      <c r="AX59" s="111" t="n"/>
      <c r="AY59" s="111" t="n"/>
      <c r="AZ59" s="111" t="n"/>
      <c r="BA59" s="111" t="n"/>
      <c r="BB59" s="111" t="n"/>
      <c r="BC59" s="111" t="n"/>
      <c r="BD59" s="111" t="n"/>
      <c r="BE59" s="111" t="n"/>
      <c r="BF59" s="111" t="n"/>
      <c r="BG59" s="111" t="n"/>
      <c r="BH59" s="111" t="n"/>
      <c r="BI59" s="111" t="n"/>
      <c r="BJ59" s="111" t="n"/>
      <c r="BK59" s="111" t="n"/>
      <c r="BL59" s="111" t="n"/>
      <c r="BM59" s="111" t="n"/>
      <c r="BN59" s="111" t="n"/>
      <c r="BO59" s="111" t="n"/>
      <c r="BP59" s="111" t="n"/>
      <c r="BQ59" s="111" t="n"/>
      <c r="BR59" s="111" t="n"/>
      <c r="BS59" s="111" t="n"/>
      <c r="BT59" s="111" t="n"/>
      <c r="BU59" s="111" t="n"/>
      <c r="BV59" s="111" t="n"/>
      <c r="BW59" s="111" t="n"/>
      <c r="BX59" s="111" t="n"/>
      <c r="BY59" s="111" t="n"/>
      <c r="BZ59" s="111" t="n"/>
      <c r="CA59" s="111" t="n"/>
      <c r="CB59" s="111" t="n"/>
      <c r="CC59" s="111" t="n"/>
      <c r="CD59" s="111" t="n"/>
      <c r="CE59" s="111" t="n"/>
      <c r="CF59" s="111" t="n"/>
      <c r="CG59" s="111" t="n"/>
      <c r="CH59" s="111" t="n"/>
      <c r="CI59" s="111" t="n"/>
      <c r="CJ59" s="111" t="n"/>
      <c r="CK59" s="111" t="n"/>
      <c r="CL59" s="111" t="n"/>
      <c r="CM59" s="111" t="n"/>
      <c r="CN59" s="111" t="n"/>
      <c r="CO59" s="111" t="n"/>
      <c r="CP59" s="111" t="n"/>
      <c r="CQ59" s="111" t="n"/>
      <c r="CR59" s="111" t="n"/>
      <c r="CS59" s="111" t="n"/>
      <c r="CT59" s="111" t="n"/>
      <c r="CU59" s="111" t="n"/>
      <c r="CV59" s="111" t="n"/>
      <c r="CW59" s="111" t="n"/>
      <c r="CX59" s="111" t="n"/>
      <c r="CY59" s="111" t="n"/>
      <c r="CZ59" s="111" t="n"/>
      <c r="DA59" s="111" t="n"/>
      <c r="DB59" s="111" t="n"/>
      <c r="DC59" s="111" t="n"/>
      <c r="DD59" s="111" t="n"/>
      <c r="DE59" s="111" t="n"/>
      <c r="DF59" s="111" t="n"/>
      <c r="DG59" s="111" t="n"/>
      <c r="DH59" s="111" t="n"/>
      <c r="DI59" s="111" t="n"/>
      <c r="DJ59" s="111" t="n"/>
      <c r="DK59" s="111" t="n"/>
      <c r="DL59" s="111" t="n"/>
      <c r="DM59" s="111" t="n"/>
      <c r="DN59" s="111" t="n"/>
      <c r="DO59" s="111" t="n"/>
      <c r="DP59" s="111" t="n"/>
      <c r="DQ59" s="111" t="n"/>
      <c r="DR59" s="111" t="n"/>
      <c r="DS59" s="111" t="n"/>
      <c r="DT59" s="111" t="n"/>
      <c r="DU59" s="111" t="n"/>
      <c r="DV59" s="111" t="n"/>
      <c r="DW59" s="111" t="n"/>
      <c r="DX59" s="111" t="n"/>
      <c r="DY59" s="111" t="n"/>
      <c r="DZ59" s="111" t="n"/>
      <c r="EA59" s="111" t="n"/>
      <c r="EB59" s="111" t="n"/>
      <c r="EC59" s="111" t="n"/>
      <c r="ED59" s="111" t="n"/>
      <c r="EE59" s="111" t="n"/>
      <c r="EF59" s="111" t="n"/>
      <c r="EG59" s="111" t="n"/>
      <c r="EH59" s="111" t="n"/>
      <c r="EI59" s="111" t="n"/>
      <c r="EJ59" s="111" t="n"/>
      <c r="EK59" s="111" t="n"/>
      <c r="EL59" s="111" t="n"/>
      <c r="EM59" s="111" t="n"/>
      <c r="EN59" s="111" t="n"/>
      <c r="EO59" s="111" t="n"/>
      <c r="EP59" s="111" t="n"/>
      <c r="EQ59" s="111" t="n"/>
      <c r="ER59" s="111" t="n"/>
      <c r="ES59" s="111" t="n"/>
      <c r="ET59" s="111" t="n"/>
      <c r="EU59" s="111" t="n"/>
      <c r="EV59" s="111" t="n"/>
      <c r="EW59" s="111" t="n"/>
      <c r="EX59" s="111" t="n"/>
      <c r="EY59" s="111" t="n"/>
      <c r="EZ59" s="111" t="n"/>
      <c r="FA59" s="111" t="n"/>
      <c r="FB59" s="111" t="n"/>
      <c r="FC59" s="111" t="n"/>
      <c r="FD59" s="111" t="n"/>
      <c r="FE59" s="111" t="n"/>
      <c r="FF59" s="111" t="n"/>
      <c r="FG59" s="111" t="n"/>
      <c r="FH59" s="111" t="n"/>
      <c r="FI59" s="111" t="n"/>
      <c r="FJ59" s="111" t="n"/>
      <c r="FK59" s="111" t="n"/>
      <c r="FL59" s="111" t="n"/>
      <c r="FM59" s="111" t="n"/>
      <c r="FN59" s="111" t="n"/>
      <c r="FO59" s="111" t="n"/>
      <c r="FP59" s="111" t="n"/>
      <c r="FQ59" s="111" t="n"/>
      <c r="FR59" s="111" t="n"/>
      <c r="FS59" s="111" t="n"/>
      <c r="FT59" s="111" t="n"/>
      <c r="FU59" s="111" t="n"/>
      <c r="FV59" s="111" t="n"/>
      <c r="FW59" s="111" t="n"/>
      <c r="FX59" s="111" t="n"/>
      <c r="FY59" s="111" t="n"/>
      <c r="FZ59" s="111" t="n"/>
      <c r="GA59" s="111" t="n"/>
      <c r="GB59" s="111" t="n"/>
      <c r="GC59" s="111" t="n"/>
      <c r="GD59" s="111" t="n"/>
      <c r="GE59" s="111" t="n"/>
      <c r="GF59" s="111" t="n"/>
      <c r="GG59" s="111" t="n"/>
      <c r="GH59" s="111" t="n"/>
      <c r="GI59" s="111" t="n"/>
      <c r="GJ59" s="111" t="n"/>
      <c r="GK59" s="111" t="n"/>
      <c r="GL59" s="111" t="n"/>
      <c r="GM59" s="111" t="n"/>
      <c r="GN59" s="111" t="n"/>
      <c r="GO59" s="111" t="n"/>
      <c r="GP59" s="111" t="n"/>
      <c r="GQ59" s="111" t="n"/>
      <c r="GR59" s="111" t="n"/>
      <c r="GS59" s="111" t="n"/>
      <c r="GT59" s="111" t="n"/>
      <c r="GU59" s="111" t="n"/>
      <c r="GV59" s="111" t="n"/>
      <c r="GW59" s="111" t="n"/>
      <c r="GX59" s="111" t="n"/>
      <c r="GY59" s="111" t="n"/>
      <c r="GZ59" s="111" t="n"/>
      <c r="HA59" s="111" t="n"/>
      <c r="HB59" s="111" t="n"/>
      <c r="HC59" s="111" t="n"/>
      <c r="HD59" s="111" t="n"/>
      <c r="HE59" s="111" t="n"/>
      <c r="HF59" s="111" t="n"/>
      <c r="HG59" s="111" t="n"/>
      <c r="HH59" s="111" t="n"/>
      <c r="HI59" s="111" t="n"/>
      <c r="HJ59" s="111" t="n"/>
      <c r="HK59" s="111" t="n"/>
      <c r="HL59" s="111" t="n"/>
      <c r="HM59" s="111" t="n"/>
      <c r="HN59" s="111" t="n"/>
      <c r="HO59" s="111" t="n"/>
      <c r="HP59" s="111" t="n"/>
      <c r="HQ59" s="111" t="n"/>
      <c r="HR59" s="111" t="n"/>
      <c r="HS59" s="111" t="n"/>
      <c r="HT59" s="111" t="n"/>
      <c r="HU59" s="111" t="n"/>
      <c r="HV59" s="111" t="n"/>
      <c r="HW59" s="111" t="n"/>
      <c r="HX59" s="111" t="n"/>
      <c r="HY59" s="111" t="n"/>
      <c r="HZ59" s="111" t="n"/>
      <c r="IA59" s="111" t="n"/>
      <c r="IB59" s="111" t="n"/>
      <c r="IC59" s="111" t="n"/>
      <c r="ID59" s="111" t="n"/>
      <c r="IE59" s="111" t="n"/>
      <c r="IF59" s="111" t="n"/>
      <c r="IG59" s="111" t="n"/>
      <c r="IH59" s="111" t="n"/>
      <c r="II59" s="111" t="n"/>
      <c r="IJ59" s="111" t="n"/>
      <c r="IK59" s="111" t="n"/>
      <c r="IL59" s="111" t="n"/>
      <c r="IM59" s="111" t="n"/>
      <c r="IN59" s="111" t="n"/>
      <c r="IO59" s="111" t="n"/>
      <c r="IP59" s="111" t="n"/>
      <c r="IQ59" s="111" t="n"/>
      <c r="IR59" s="111" t="n"/>
      <c r="IS59" s="111" t="n"/>
      <c r="IT59" s="111" t="n"/>
      <c r="IU59" s="111" t="n"/>
      <c r="IV59" s="111" t="n"/>
      <c r="IW59" s="111" t="n"/>
      <c r="IX59" s="111" t="n"/>
      <c r="IY59" s="111" t="n"/>
      <c r="IZ59" s="111" t="n"/>
      <c r="JA59" s="111" t="n"/>
      <c r="JB59" s="111" t="n"/>
      <c r="JC59" s="111" t="n"/>
      <c r="JD59" s="111" t="n"/>
      <c r="JE59" s="111" t="n"/>
      <c r="JF59" s="111" t="n"/>
      <c r="JG59" s="111" t="n"/>
      <c r="JH59" s="111" t="n"/>
      <c r="JI59" s="111" t="n"/>
      <c r="JJ59" s="111" t="n"/>
      <c r="JK59" s="111" t="n"/>
      <c r="JL59" s="111" t="n"/>
      <c r="JM59" s="111" t="n"/>
      <c r="JN59" s="111" t="n"/>
      <c r="JO59" s="111" t="n"/>
      <c r="JP59" s="111" t="n"/>
      <c r="JQ59" s="111" t="n"/>
      <c r="JR59" s="111" t="n"/>
      <c r="JS59" s="111" t="n"/>
      <c r="JT59" s="111" t="n"/>
      <c r="JU59" s="111" t="n"/>
      <c r="JV59" s="111" t="n"/>
      <c r="JW59" s="111" t="n"/>
      <c r="JX59" s="111" t="n"/>
      <c r="JY59" s="111" t="n"/>
      <c r="JZ59" s="111" t="n"/>
      <c r="KA59" s="111" t="n"/>
      <c r="KB59" s="111" t="n"/>
      <c r="KC59" s="111" t="n"/>
      <c r="KD59" s="111" t="n"/>
      <c r="KE59" s="111" t="n"/>
      <c r="KF59" s="111" t="n"/>
      <c r="KG59" s="111" t="n"/>
      <c r="KH59" s="111" t="n"/>
      <c r="KI59" s="111" t="n"/>
      <c r="KJ59" s="111" t="n"/>
      <c r="KK59" s="111" t="n"/>
      <c r="KL59" s="111" t="n"/>
      <c r="KM59" s="111" t="n"/>
      <c r="KN59" s="111" t="n"/>
      <c r="KO59" s="111" t="n"/>
      <c r="KP59" s="111" t="n"/>
      <c r="KQ59" s="111" t="n"/>
      <c r="KR59" s="111" t="n"/>
      <c r="KS59" s="111" t="n"/>
      <c r="KT59" s="111" t="n"/>
      <c r="KU59" s="111" t="n"/>
      <c r="KV59" s="111" t="n"/>
      <c r="KW59" s="111" t="n"/>
      <c r="KX59" s="111" t="n"/>
      <c r="KY59" s="111" t="n"/>
      <c r="KZ59" s="111" t="n"/>
      <c r="LA59" s="111" t="n"/>
      <c r="LB59" s="111" t="n"/>
      <c r="LC59" s="111" t="n"/>
      <c r="LD59" s="111" t="n"/>
      <c r="LE59" s="111" t="n"/>
      <c r="LF59" s="111" t="n"/>
      <c r="LG59" s="111" t="n"/>
      <c r="LH59" s="111" t="n"/>
      <c r="LI59" s="111" t="n"/>
      <c r="LJ59" s="111" t="n"/>
      <c r="LK59" s="111" t="n"/>
      <c r="LL59" s="111" t="n"/>
      <c r="LM59" s="111" t="n"/>
      <c r="LN59" s="111" t="n"/>
      <c r="LO59" s="111" t="n"/>
      <c r="LP59" s="111" t="n"/>
      <c r="LQ59" s="111" t="n"/>
      <c r="LR59" s="111" t="n"/>
      <c r="LS59" s="111" t="n"/>
      <c r="LT59" s="111" t="n"/>
      <c r="LU59" s="111" t="n"/>
      <c r="LV59" s="111" t="n"/>
      <c r="LW59" s="111" t="n"/>
      <c r="LX59" s="111" t="n"/>
      <c r="LY59" s="111" t="n"/>
      <c r="LZ59" s="111" t="n"/>
      <c r="MA59" s="111" t="n"/>
      <c r="MB59" s="111" t="n"/>
      <c r="MC59" s="111" t="n"/>
      <c r="MD59" s="111" t="n"/>
      <c r="ME59" s="111" t="n"/>
      <c r="MF59" s="111" t="n"/>
      <c r="MG59" s="111" t="n"/>
      <c r="MH59" s="111" t="n"/>
      <c r="MI59" s="111" t="n"/>
      <c r="MJ59" s="111" t="n"/>
      <c r="MK59" s="111" t="n"/>
      <c r="ML59" s="111" t="n"/>
      <c r="MM59" s="111" t="n"/>
      <c r="MN59" s="111" t="n"/>
      <c r="MO59" s="111" t="n"/>
      <c r="MP59" s="111" t="n"/>
      <c r="MQ59" s="111" t="n"/>
      <c r="MR59" s="111" t="n"/>
      <c r="MS59" s="111" t="n"/>
      <c r="MT59" s="111" t="n"/>
      <c r="MU59" s="111" t="n"/>
      <c r="MV59" s="111" t="n"/>
      <c r="MW59" s="111" t="n"/>
      <c r="MX59" s="111" t="n"/>
      <c r="MY59" s="111" t="n"/>
      <c r="MZ59" s="111" t="n"/>
      <c r="NA59" s="111" t="n"/>
      <c r="NB59" s="111" t="n"/>
      <c r="NC59" s="111" t="n"/>
      <c r="ND59" s="111" t="n"/>
      <c r="NE59" s="111" t="n"/>
      <c r="NF59" s="111" t="n"/>
      <c r="NG59" s="111" t="n"/>
      <c r="NH59" s="111" t="n"/>
      <c r="NI59" s="111" t="n"/>
      <c r="NJ59" s="111" t="n"/>
      <c r="NK59" s="111" t="n"/>
      <c r="NL59" s="111" t="n"/>
      <c r="NM59" s="111" t="n"/>
      <c r="NN59" s="111" t="n"/>
      <c r="NO59" s="111" t="n"/>
      <c r="NP59" s="111" t="n"/>
      <c r="NQ59" s="111" t="n"/>
    </row>
    <row r="60" ht="12.75" customFormat="1" customHeight="1" s="17">
      <c r="A60" s="33">
        <f>IF(ISERROR(VALUE(SUBSTITUTE(OFFSET(A60,-1,0,1,1),".",""))),"0.1",IF(ISERROR(FIND("`",SUBSTITUTE(OFFSET(A60,-1,0,1,1),".","`",1))),OFFSET(A60,-1,0,1,1)&amp;".1",LEFT(OFFSET(A60,-1,0,1,1),FIND("`",SUBSTITUTE(OFFSET(A60,-1,0,1,1),".","`",1)))&amp;IF(ISERROR(FIND("`",SUBSTITUTE(OFFSET(A60,-1,0,1,1),".","`",2))),VALUE(RIGHT(OFFSET(A60,-1,0,1,1),LEN(OFFSET(A60,-1,0,1,1))-FIND("`",SUBSTITUTE(OFFSET(A60,-1,0,1,1),".","`",1))))+1,VALUE(MID(OFFSET(A60,-1,0,1,1),FIND("`",SUBSTITUTE(OFFSET(A60,-1,0,1,1),".","`",1))+1,(FIND("`",SUBSTITUTE(OFFSET(A60,-1,0,1,1),".","`",2))-FIND("`",SUBSTITUTE(OFFSET(A60,-1,0,1,1),".","`",1))-1)))+1)))</f>
        <v/>
      </c>
      <c r="B60" s="32" t="inlineStr">
        <is>
          <t>[Insert Rows above this one, then Hide or Delete this row]</t>
        </is>
      </c>
      <c r="C60" s="32" t="n"/>
      <c r="D60" s="37" t="n"/>
      <c r="E60" s="37" t="n"/>
      <c r="F60" s="37" t="n"/>
      <c r="G60" s="32" t="n"/>
      <c r="H60" s="32" t="n"/>
      <c r="I60" s="272" t="n"/>
      <c r="J60" s="272" t="n"/>
      <c r="K60" s="21" t="n"/>
      <c r="L60" s="22" t="n"/>
      <c r="M60" s="15" t="n"/>
      <c r="N60" s="15" t="n"/>
      <c r="O60" s="14" t="n"/>
      <c r="P60" s="14" t="n"/>
      <c r="R60" s="111" t="n"/>
      <c r="S60" s="111" t="n"/>
      <c r="T60" s="111" t="n"/>
      <c r="U60" s="111" t="n"/>
      <c r="V60" s="111" t="n"/>
      <c r="W60" s="111" t="n"/>
      <c r="X60" s="111" t="n"/>
      <c r="Y60" s="111" t="n"/>
      <c r="Z60" s="111" t="n"/>
      <c r="AA60" s="111" t="n"/>
      <c r="AB60" s="111" t="n"/>
      <c r="AC60" s="111" t="n"/>
      <c r="AD60" s="111" t="n"/>
      <c r="AE60" s="111" t="n"/>
      <c r="AF60" s="111" t="n"/>
      <c r="AG60" s="111" t="n"/>
      <c r="AH60" s="111" t="n"/>
      <c r="AI60" s="111" t="n"/>
      <c r="AJ60" s="111" t="n"/>
      <c r="AK60" s="111" t="n"/>
      <c r="AL60" s="111" t="n"/>
      <c r="AM60" s="111" t="n"/>
      <c r="AN60" s="111" t="n"/>
      <c r="AO60" s="111" t="n"/>
      <c r="AP60" s="111" t="n"/>
      <c r="AQ60" s="111" t="n"/>
      <c r="AR60" s="111" t="n"/>
      <c r="AS60" s="111" t="n"/>
      <c r="AT60" s="111" t="n"/>
      <c r="AU60" s="111" t="n"/>
      <c r="AV60" s="111" t="n"/>
      <c r="AW60" s="111" t="n"/>
      <c r="AX60" s="111" t="n"/>
      <c r="AY60" s="111" t="n"/>
      <c r="AZ60" s="111" t="n"/>
      <c r="BA60" s="111" t="n"/>
      <c r="BB60" s="111" t="n"/>
      <c r="BC60" s="111" t="n"/>
      <c r="BD60" s="111" t="n"/>
      <c r="BE60" s="111" t="n"/>
      <c r="BF60" s="111" t="n"/>
      <c r="BG60" s="111" t="n"/>
      <c r="BH60" s="111" t="n"/>
      <c r="BI60" s="111" t="n"/>
      <c r="BJ60" s="111" t="n"/>
      <c r="BK60" s="111" t="n"/>
      <c r="BL60" s="111" t="n"/>
      <c r="BM60" s="111" t="n"/>
      <c r="BN60" s="111" t="n"/>
      <c r="BO60" s="111" t="n"/>
      <c r="BP60" s="111" t="n"/>
      <c r="BQ60" s="111" t="n"/>
      <c r="BR60" s="111" t="n"/>
      <c r="BS60" s="111" t="n"/>
      <c r="BT60" s="111" t="n"/>
      <c r="BU60" s="111" t="n"/>
      <c r="BV60" s="111" t="n"/>
      <c r="BW60" s="111" t="n"/>
      <c r="BX60" s="111" t="n"/>
      <c r="BY60" s="111" t="n"/>
      <c r="BZ60" s="111" t="n"/>
      <c r="CA60" s="111" t="n"/>
      <c r="CB60" s="111" t="n"/>
      <c r="CC60" s="111" t="n"/>
      <c r="CD60" s="111" t="n"/>
      <c r="CE60" s="111" t="n"/>
      <c r="CF60" s="111" t="n"/>
      <c r="CG60" s="111" t="n"/>
      <c r="CH60" s="111" t="n"/>
      <c r="CI60" s="111" t="n"/>
      <c r="CJ60" s="111" t="n"/>
      <c r="CK60" s="111" t="n"/>
      <c r="CL60" s="111" t="n"/>
      <c r="CM60" s="111" t="n"/>
      <c r="CN60" s="111" t="n"/>
      <c r="CO60" s="111" t="n"/>
      <c r="CP60" s="111" t="n"/>
      <c r="CQ60" s="111" t="n"/>
      <c r="CR60" s="111" t="n"/>
      <c r="CS60" s="111" t="n"/>
      <c r="CT60" s="111" t="n"/>
      <c r="CU60" s="111" t="n"/>
      <c r="CV60" s="111" t="n"/>
      <c r="CW60" s="111" t="n"/>
      <c r="CX60" s="111" t="n"/>
      <c r="CY60" s="111" t="n"/>
      <c r="CZ60" s="111" t="n"/>
      <c r="DA60" s="111" t="n"/>
      <c r="DB60" s="111" t="n"/>
      <c r="DC60" s="111" t="n"/>
      <c r="DD60" s="111" t="n"/>
      <c r="DE60" s="111" t="n"/>
      <c r="DF60" s="111" t="n"/>
      <c r="DG60" s="111" t="n"/>
      <c r="DH60" s="111" t="n"/>
      <c r="DI60" s="111" t="n"/>
      <c r="DJ60" s="111" t="n"/>
      <c r="DK60" s="111" t="n"/>
      <c r="DL60" s="111" t="n"/>
      <c r="DM60" s="111" t="n"/>
      <c r="DN60" s="111" t="n"/>
      <c r="DO60" s="111" t="n"/>
      <c r="DP60" s="111" t="n"/>
      <c r="DQ60" s="111" t="n"/>
      <c r="DR60" s="111" t="n"/>
      <c r="DS60" s="111" t="n"/>
      <c r="DT60" s="111" t="n"/>
      <c r="DU60" s="111" t="n"/>
      <c r="DV60" s="111" t="n"/>
      <c r="DW60" s="111" t="n"/>
      <c r="DX60" s="111" t="n"/>
      <c r="DY60" s="111" t="n"/>
      <c r="DZ60" s="111" t="n"/>
      <c r="EA60" s="111" t="n"/>
      <c r="EB60" s="111" t="n"/>
      <c r="EC60" s="111" t="n"/>
      <c r="ED60" s="111" t="n"/>
      <c r="EE60" s="111" t="n"/>
      <c r="EF60" s="111" t="n"/>
      <c r="EG60" s="111" t="n"/>
      <c r="EH60" s="111" t="n"/>
      <c r="EI60" s="111" t="n"/>
      <c r="EJ60" s="111" t="n"/>
      <c r="EK60" s="111" t="n"/>
      <c r="EL60" s="111" t="n"/>
      <c r="EM60" s="111" t="n"/>
      <c r="EN60" s="111" t="n"/>
      <c r="EO60" s="111" t="n"/>
      <c r="EP60" s="111" t="n"/>
      <c r="EQ60" s="111" t="n"/>
      <c r="ER60" s="111" t="n"/>
      <c r="ES60" s="111" t="n"/>
      <c r="ET60" s="111" t="n"/>
      <c r="EU60" s="111" t="n"/>
      <c r="EV60" s="111" t="n"/>
      <c r="EW60" s="111" t="n"/>
      <c r="EX60" s="111" t="n"/>
      <c r="EY60" s="111" t="n"/>
      <c r="EZ60" s="111" t="n"/>
      <c r="FA60" s="111" t="n"/>
      <c r="FB60" s="111" t="n"/>
      <c r="FC60" s="111" t="n"/>
      <c r="FD60" s="111" t="n"/>
      <c r="FE60" s="111" t="n"/>
      <c r="FF60" s="111" t="n"/>
      <c r="FG60" s="111" t="n"/>
      <c r="FH60" s="111" t="n"/>
      <c r="FI60" s="111" t="n"/>
      <c r="FJ60" s="111" t="n"/>
      <c r="FK60" s="111" t="n"/>
      <c r="FL60" s="111" t="n"/>
      <c r="FM60" s="111" t="n"/>
      <c r="FN60" s="111" t="n"/>
      <c r="FO60" s="111" t="n"/>
      <c r="FP60" s="111" t="n"/>
      <c r="FQ60" s="111" t="n"/>
      <c r="FR60" s="111" t="n"/>
      <c r="FS60" s="111" t="n"/>
      <c r="FT60" s="111" t="n"/>
      <c r="FU60" s="111" t="n"/>
      <c r="FV60" s="111" t="n"/>
      <c r="FW60" s="111" t="n"/>
      <c r="FX60" s="111" t="n"/>
      <c r="FY60" s="111" t="n"/>
      <c r="FZ60" s="111" t="n"/>
      <c r="GA60" s="111" t="n"/>
      <c r="GB60" s="111" t="n"/>
      <c r="GC60" s="111" t="n"/>
      <c r="GD60" s="111" t="n"/>
      <c r="GE60" s="111" t="n"/>
      <c r="GF60" s="111" t="n"/>
      <c r="GG60" s="111" t="n"/>
      <c r="GH60" s="111" t="n"/>
      <c r="GI60" s="111" t="n"/>
      <c r="GJ60" s="111" t="n"/>
      <c r="GK60" s="111" t="n"/>
      <c r="GL60" s="111" t="n"/>
      <c r="GM60" s="111" t="n"/>
      <c r="GN60" s="111" t="n"/>
      <c r="GO60" s="111" t="n"/>
      <c r="GP60" s="111" t="n"/>
      <c r="GQ60" s="111" t="n"/>
      <c r="GR60" s="111" t="n"/>
      <c r="GS60" s="111" t="n"/>
      <c r="GT60" s="111" t="n"/>
      <c r="GU60" s="111" t="n"/>
      <c r="GV60" s="111" t="n"/>
      <c r="GW60" s="111" t="n"/>
      <c r="GX60" s="111" t="n"/>
      <c r="GY60" s="111" t="n"/>
      <c r="GZ60" s="111" t="n"/>
      <c r="HA60" s="111" t="n"/>
      <c r="HB60" s="111" t="n"/>
      <c r="HC60" s="111" t="n"/>
      <c r="HD60" s="111" t="n"/>
      <c r="HE60" s="111" t="n"/>
      <c r="HF60" s="111" t="n"/>
      <c r="HG60" s="111" t="n"/>
      <c r="HH60" s="111" t="n"/>
      <c r="HI60" s="111" t="n"/>
      <c r="HJ60" s="111" t="n"/>
      <c r="HK60" s="111" t="n"/>
      <c r="HL60" s="111" t="n"/>
      <c r="HM60" s="111" t="n"/>
      <c r="HN60" s="111" t="n"/>
      <c r="HO60" s="111" t="n"/>
      <c r="HP60" s="111" t="n"/>
      <c r="HQ60" s="111" t="n"/>
      <c r="HR60" s="111" t="n"/>
      <c r="HS60" s="111" t="n"/>
      <c r="HT60" s="111" t="n"/>
      <c r="HU60" s="111" t="n"/>
      <c r="HV60" s="111" t="n"/>
      <c r="HW60" s="111" t="n"/>
      <c r="HX60" s="111" t="n"/>
      <c r="HY60" s="111" t="n"/>
      <c r="HZ60" s="111" t="n"/>
      <c r="IA60" s="111" t="n"/>
      <c r="IB60" s="111" t="n"/>
      <c r="IC60" s="111" t="n"/>
      <c r="ID60" s="111" t="n"/>
      <c r="IE60" s="111" t="n"/>
      <c r="IF60" s="111" t="n"/>
      <c r="IG60" s="111" t="n"/>
      <c r="IH60" s="111" t="n"/>
      <c r="II60" s="111" t="n"/>
      <c r="IJ60" s="111" t="n"/>
      <c r="IK60" s="111" t="n"/>
      <c r="IL60" s="111" t="n"/>
      <c r="IM60" s="111" t="n"/>
      <c r="IN60" s="111" t="n"/>
      <c r="IO60" s="111" t="n"/>
      <c r="IP60" s="111" t="n"/>
      <c r="IQ60" s="111" t="n"/>
      <c r="IR60" s="111" t="n"/>
      <c r="IS60" s="111" t="n"/>
      <c r="IT60" s="111" t="n"/>
      <c r="IU60" s="111" t="n"/>
      <c r="IV60" s="111" t="n"/>
      <c r="IW60" s="111" t="n"/>
      <c r="IX60" s="111" t="n"/>
      <c r="IY60" s="111" t="n"/>
      <c r="IZ60" s="111" t="n"/>
      <c r="JA60" s="111" t="n"/>
      <c r="JB60" s="111" t="n"/>
      <c r="JC60" s="111" t="n"/>
      <c r="JD60" s="111" t="n"/>
      <c r="JE60" s="111" t="n"/>
      <c r="JF60" s="111" t="n"/>
      <c r="JG60" s="111" t="n"/>
      <c r="JH60" s="111" t="n"/>
      <c r="JI60" s="111" t="n"/>
      <c r="JJ60" s="111" t="n"/>
      <c r="JK60" s="111" t="n"/>
      <c r="JL60" s="111" t="n"/>
      <c r="JM60" s="111" t="n"/>
      <c r="JN60" s="111" t="n"/>
      <c r="JO60" s="111" t="n"/>
      <c r="JP60" s="111" t="n"/>
      <c r="JQ60" s="111" t="n"/>
      <c r="JR60" s="111" t="n"/>
      <c r="JS60" s="111" t="n"/>
      <c r="JT60" s="111" t="n"/>
      <c r="JU60" s="111" t="n"/>
      <c r="JV60" s="111" t="n"/>
      <c r="JW60" s="111" t="n"/>
      <c r="JX60" s="111" t="n"/>
      <c r="JY60" s="111" t="n"/>
      <c r="JZ60" s="111" t="n"/>
      <c r="KA60" s="111" t="n"/>
      <c r="KB60" s="111" t="n"/>
      <c r="KC60" s="111" t="n"/>
      <c r="KD60" s="111" t="n"/>
      <c r="KE60" s="111" t="n"/>
      <c r="KF60" s="111" t="n"/>
      <c r="KG60" s="111" t="n"/>
      <c r="KH60" s="111" t="n"/>
      <c r="KI60" s="111" t="n"/>
      <c r="KJ60" s="111" t="n"/>
      <c r="KK60" s="111" t="n"/>
      <c r="KL60" s="111" t="n"/>
      <c r="KM60" s="111" t="n"/>
      <c r="KN60" s="111" t="n"/>
      <c r="KO60" s="111" t="n"/>
      <c r="KP60" s="111" t="n"/>
      <c r="KQ60" s="111" t="n"/>
      <c r="KR60" s="111" t="n"/>
      <c r="KS60" s="111" t="n"/>
      <c r="KT60" s="111" t="n"/>
      <c r="KU60" s="111" t="n"/>
      <c r="KV60" s="111" t="n"/>
      <c r="KW60" s="111" t="n"/>
      <c r="KX60" s="111" t="n"/>
      <c r="KY60" s="111" t="n"/>
      <c r="KZ60" s="111" t="n"/>
      <c r="LA60" s="111" t="n"/>
      <c r="LB60" s="111" t="n"/>
      <c r="LC60" s="111" t="n"/>
      <c r="LD60" s="111" t="n"/>
      <c r="LE60" s="111" t="n"/>
      <c r="LF60" s="111" t="n"/>
      <c r="LG60" s="111" t="n"/>
      <c r="LH60" s="111" t="n"/>
      <c r="LI60" s="111" t="n"/>
      <c r="LJ60" s="111" t="n"/>
      <c r="LK60" s="111" t="n"/>
      <c r="LL60" s="111" t="n"/>
      <c r="LM60" s="111" t="n"/>
      <c r="LN60" s="111" t="n"/>
      <c r="LO60" s="111" t="n"/>
      <c r="LP60" s="111" t="n"/>
      <c r="LQ60" s="111" t="n"/>
      <c r="LR60" s="111" t="n"/>
      <c r="LS60" s="111" t="n"/>
      <c r="LT60" s="111" t="n"/>
      <c r="LU60" s="111" t="n"/>
      <c r="LV60" s="111" t="n"/>
      <c r="LW60" s="111" t="n"/>
      <c r="LX60" s="111" t="n"/>
      <c r="LY60" s="111" t="n"/>
      <c r="LZ60" s="111" t="n"/>
      <c r="MA60" s="111" t="n"/>
      <c r="MB60" s="111" t="n"/>
      <c r="MC60" s="111" t="n"/>
      <c r="MD60" s="111" t="n"/>
      <c r="ME60" s="111" t="n"/>
      <c r="MF60" s="111" t="n"/>
      <c r="MG60" s="111" t="n"/>
      <c r="MH60" s="111" t="n"/>
      <c r="MI60" s="111" t="n"/>
      <c r="MJ60" s="111" t="n"/>
      <c r="MK60" s="111" t="n"/>
      <c r="ML60" s="111" t="n"/>
      <c r="MM60" s="111" t="n"/>
      <c r="MN60" s="111" t="n"/>
      <c r="MO60" s="111" t="n"/>
      <c r="MP60" s="111" t="n"/>
      <c r="MQ60" s="111" t="n"/>
      <c r="MR60" s="111" t="n"/>
      <c r="MS60" s="111" t="n"/>
      <c r="MT60" s="111" t="n"/>
      <c r="MU60" s="111" t="n"/>
      <c r="MV60" s="111" t="n"/>
      <c r="MW60" s="111" t="n"/>
      <c r="MX60" s="111" t="n"/>
      <c r="MY60" s="111" t="n"/>
      <c r="MZ60" s="111" t="n"/>
      <c r="NA60" s="111" t="n"/>
      <c r="NB60" s="111" t="n"/>
      <c r="NC60" s="111" t="n"/>
      <c r="ND60" s="111" t="n"/>
      <c r="NE60" s="111" t="n"/>
      <c r="NF60" s="111" t="n"/>
      <c r="NG60" s="111" t="n"/>
      <c r="NH60" s="111" t="n"/>
      <c r="NI60" s="111" t="n"/>
      <c r="NJ60" s="111" t="n"/>
      <c r="NK60" s="111" t="n"/>
      <c r="NL60" s="111" t="n"/>
      <c r="NM60" s="111" t="n"/>
      <c r="NN60" s="111" t="n"/>
      <c r="NO60" s="111" t="n"/>
      <c r="NP60" s="111" t="n"/>
      <c r="NQ60" s="111" t="n"/>
    </row>
    <row r="61" ht="11.25" customFormat="1" customHeight="1" s="69">
      <c r="A61" s="69" t="n"/>
      <c r="B61" s="69" t="n"/>
      <c r="C61" s="69" t="n"/>
      <c r="D61" s="69" t="n"/>
      <c r="E61" s="69" t="n"/>
      <c r="F61" s="69" t="n"/>
      <c r="G61" s="69" t="n"/>
      <c r="H61" s="69" t="n"/>
      <c r="I61" s="69" t="n"/>
      <c r="J61" s="69" t="n"/>
      <c r="K61" s="69" t="n"/>
      <c r="L61" s="69" t="n"/>
      <c r="M61" s="69" t="n"/>
      <c r="N61" s="69" t="n"/>
      <c r="O61" s="69" t="n"/>
      <c r="P61" s="69" t="n"/>
      <c r="R61" s="111" t="n"/>
      <c r="S61" s="111" t="n"/>
      <c r="T61" s="111" t="n"/>
      <c r="U61" s="111" t="n"/>
      <c r="V61" s="111" t="n"/>
      <c r="W61" s="111" t="n"/>
      <c r="X61" s="111" t="n"/>
      <c r="Y61" s="111" t="n"/>
      <c r="Z61" s="111" t="n"/>
      <c r="AA61" s="111" t="n"/>
      <c r="AB61" s="111" t="n"/>
      <c r="AC61" s="111" t="n"/>
      <c r="AD61" s="111" t="n"/>
      <c r="AE61" s="111" t="n"/>
      <c r="AF61" s="111" t="n"/>
      <c r="AG61" s="111" t="n"/>
      <c r="AH61" s="111" t="n"/>
      <c r="AI61" s="111" t="n"/>
      <c r="AJ61" s="111" t="n"/>
      <c r="AK61" s="111" t="n"/>
      <c r="AL61" s="111" t="n"/>
      <c r="AM61" s="111" t="n"/>
      <c r="AN61" s="111" t="n"/>
      <c r="AO61" s="111" t="n"/>
      <c r="AP61" s="111" t="n"/>
      <c r="AQ61" s="111" t="n"/>
      <c r="AR61" s="111" t="n"/>
      <c r="AS61" s="111" t="n"/>
      <c r="AT61" s="111" t="n"/>
      <c r="AU61" s="111" t="n"/>
      <c r="AV61" s="111" t="n"/>
      <c r="AW61" s="111" t="n"/>
      <c r="AX61" s="111" t="n"/>
      <c r="AY61" s="111" t="n"/>
      <c r="AZ61" s="111" t="n"/>
      <c r="BA61" s="111" t="n"/>
      <c r="BB61" s="111" t="n"/>
      <c r="BC61" s="111" t="n"/>
      <c r="BD61" s="111" t="n"/>
      <c r="BE61" s="111" t="n"/>
      <c r="BF61" s="111" t="n"/>
      <c r="BG61" s="111" t="n"/>
      <c r="BH61" s="111" t="n"/>
      <c r="BI61" s="111" t="n"/>
      <c r="BJ61" s="111" t="n"/>
      <c r="BK61" s="111" t="n"/>
      <c r="BL61" s="111" t="n"/>
      <c r="BM61" s="111" t="n"/>
      <c r="BN61" s="111" t="n"/>
      <c r="BO61" s="111" t="n"/>
      <c r="BP61" s="111" t="n"/>
      <c r="BQ61" s="111" t="n"/>
      <c r="BR61" s="111" t="n"/>
      <c r="BS61" s="111" t="n"/>
      <c r="BT61" s="111" t="n"/>
      <c r="BU61" s="111" t="n"/>
      <c r="BV61" s="111" t="n"/>
      <c r="BW61" s="111" t="n"/>
      <c r="BX61" s="111" t="n"/>
      <c r="BY61" s="111" t="n"/>
      <c r="BZ61" s="111" t="n"/>
      <c r="CA61" s="111" t="n"/>
      <c r="CB61" s="111" t="n"/>
      <c r="CC61" s="111" t="n"/>
      <c r="CD61" s="111" t="n"/>
      <c r="CE61" s="111" t="n"/>
      <c r="CF61" s="111" t="n"/>
      <c r="CG61" s="111" t="n"/>
      <c r="CH61" s="111" t="n"/>
      <c r="CI61" s="111" t="n"/>
      <c r="CJ61" s="111" t="n"/>
      <c r="CK61" s="111" t="n"/>
      <c r="CL61" s="111" t="n"/>
      <c r="CM61" s="111" t="n"/>
      <c r="CN61" s="111" t="n"/>
      <c r="CO61" s="111" t="n"/>
      <c r="CP61" s="111" t="n"/>
      <c r="CQ61" s="111" t="n"/>
      <c r="CR61" s="111" t="n"/>
      <c r="CS61" s="111" t="n"/>
      <c r="CT61" s="111" t="n"/>
      <c r="CU61" s="111" t="n"/>
      <c r="CV61" s="111" t="n"/>
      <c r="CW61" s="111" t="n"/>
      <c r="CX61" s="111" t="n"/>
      <c r="CY61" s="111" t="n"/>
      <c r="CZ61" s="111" t="n"/>
      <c r="DA61" s="111" t="n"/>
      <c r="DB61" s="111" t="n"/>
      <c r="DC61" s="111" t="n"/>
      <c r="DD61" s="111" t="n"/>
      <c r="DE61" s="111" t="n"/>
      <c r="DF61" s="111" t="n"/>
      <c r="DG61" s="111" t="n"/>
      <c r="DH61" s="111" t="n"/>
      <c r="DI61" s="111" t="n"/>
      <c r="DJ61" s="111" t="n"/>
      <c r="DK61" s="111" t="n"/>
      <c r="DL61" s="111" t="n"/>
      <c r="DM61" s="111" t="n"/>
      <c r="DN61" s="111" t="n"/>
      <c r="DO61" s="111" t="n"/>
      <c r="DP61" s="111" t="n"/>
      <c r="DQ61" s="111" t="n"/>
      <c r="DR61" s="111" t="n"/>
      <c r="DS61" s="111" t="n"/>
      <c r="DT61" s="111" t="n"/>
      <c r="DU61" s="111" t="n"/>
      <c r="DV61" s="111" t="n"/>
      <c r="DW61" s="111" t="n"/>
      <c r="DX61" s="111" t="n"/>
      <c r="DY61" s="111" t="n"/>
      <c r="DZ61" s="111" t="n"/>
      <c r="EA61" s="111" t="n"/>
      <c r="EB61" s="111" t="n"/>
      <c r="EC61" s="111" t="n"/>
      <c r="ED61" s="111" t="n"/>
      <c r="EE61" s="111" t="n"/>
      <c r="EF61" s="111" t="n"/>
      <c r="EG61" s="111" t="n"/>
      <c r="EH61" s="111" t="n"/>
      <c r="EI61" s="111" t="n"/>
      <c r="EJ61" s="111" t="n"/>
      <c r="EK61" s="111" t="n"/>
      <c r="EL61" s="111" t="n"/>
      <c r="EM61" s="111" t="n"/>
      <c r="EN61" s="111" t="n"/>
      <c r="EO61" s="111" t="n"/>
      <c r="EP61" s="111" t="n"/>
      <c r="EQ61" s="111" t="n"/>
      <c r="ER61" s="111" t="n"/>
      <c r="ES61" s="111" t="n"/>
      <c r="ET61" s="111" t="n"/>
      <c r="EU61" s="111" t="n"/>
      <c r="EV61" s="111" t="n"/>
      <c r="EW61" s="111" t="n"/>
      <c r="EX61" s="111" t="n"/>
      <c r="EY61" s="111" t="n"/>
      <c r="EZ61" s="111" t="n"/>
      <c r="FA61" s="111" t="n"/>
      <c r="FB61" s="111" t="n"/>
      <c r="FC61" s="111" t="n"/>
      <c r="FD61" s="111" t="n"/>
      <c r="FE61" s="111" t="n"/>
      <c r="FF61" s="111" t="n"/>
      <c r="FG61" s="111" t="n"/>
      <c r="FH61" s="111" t="n"/>
      <c r="FI61" s="111" t="n"/>
      <c r="FJ61" s="111" t="n"/>
      <c r="FK61" s="111" t="n"/>
      <c r="FL61" s="111" t="n"/>
      <c r="FM61" s="111" t="n"/>
      <c r="FN61" s="111" t="n"/>
      <c r="FO61" s="111" t="n"/>
      <c r="FP61" s="111" t="n"/>
      <c r="FQ61" s="111" t="n"/>
      <c r="FR61" s="111" t="n"/>
      <c r="FS61" s="111" t="n"/>
      <c r="FT61" s="111" t="n"/>
      <c r="FU61" s="111" t="n"/>
      <c r="FV61" s="111" t="n"/>
      <c r="FW61" s="111" t="n"/>
      <c r="FX61" s="111" t="n"/>
      <c r="FY61" s="111" t="n"/>
      <c r="FZ61" s="111" t="n"/>
      <c r="GA61" s="111" t="n"/>
      <c r="GB61" s="111" t="n"/>
      <c r="GC61" s="111" t="n"/>
      <c r="GD61" s="111" t="n"/>
      <c r="GE61" s="111" t="n"/>
      <c r="GF61" s="111" t="n"/>
      <c r="GG61" s="111" t="n"/>
      <c r="GH61" s="111" t="n"/>
      <c r="GI61" s="111" t="n"/>
      <c r="GJ61" s="111" t="n"/>
      <c r="GK61" s="111" t="n"/>
      <c r="GL61" s="111" t="n"/>
      <c r="GM61" s="111" t="n"/>
      <c r="GN61" s="111" t="n"/>
      <c r="GO61" s="111" t="n"/>
      <c r="GP61" s="111" t="n"/>
      <c r="GQ61" s="111" t="n"/>
      <c r="GR61" s="111" t="n"/>
      <c r="GS61" s="111" t="n"/>
      <c r="GT61" s="111" t="n"/>
      <c r="GU61" s="111" t="n"/>
      <c r="GV61" s="111" t="n"/>
      <c r="GW61" s="111" t="n"/>
      <c r="GX61" s="111" t="n"/>
      <c r="GY61" s="111" t="n"/>
      <c r="GZ61" s="111" t="n"/>
      <c r="HA61" s="111" t="n"/>
      <c r="HB61" s="111" t="n"/>
      <c r="HC61" s="111" t="n"/>
      <c r="HD61" s="111" t="n"/>
      <c r="HE61" s="111" t="n"/>
      <c r="HF61" s="111" t="n"/>
      <c r="HG61" s="111" t="n"/>
      <c r="HH61" s="111" t="n"/>
      <c r="HI61" s="111" t="n"/>
      <c r="HJ61" s="111" t="n"/>
      <c r="HK61" s="111" t="n"/>
      <c r="HL61" s="111" t="n"/>
      <c r="HM61" s="111" t="n"/>
      <c r="HN61" s="111" t="n"/>
      <c r="HO61" s="111" t="n"/>
      <c r="HP61" s="111" t="n"/>
      <c r="HQ61" s="111" t="n"/>
      <c r="HR61" s="111" t="n"/>
      <c r="HS61" s="111" t="n"/>
      <c r="HT61" s="111" t="n"/>
      <c r="HU61" s="111" t="n"/>
      <c r="HV61" s="111" t="n"/>
      <c r="HW61" s="111" t="n"/>
      <c r="HX61" s="111" t="n"/>
      <c r="HY61" s="111" t="n"/>
      <c r="HZ61" s="111" t="n"/>
      <c r="IA61" s="111" t="n"/>
      <c r="IB61" s="111" t="n"/>
      <c r="IC61" s="111" t="n"/>
      <c r="ID61" s="111" t="n"/>
      <c r="IE61" s="111" t="n"/>
      <c r="IF61" s="111" t="n"/>
      <c r="IG61" s="111" t="n"/>
      <c r="IH61" s="111" t="n"/>
      <c r="II61" s="111" t="n"/>
      <c r="IJ61" s="111" t="n"/>
      <c r="IK61" s="111" t="n"/>
      <c r="IL61" s="111" t="n"/>
      <c r="IM61" s="111" t="n"/>
      <c r="IN61" s="111" t="n"/>
      <c r="IO61" s="111" t="n"/>
      <c r="IP61" s="111" t="n"/>
      <c r="IQ61" s="111" t="n"/>
      <c r="IR61" s="111" t="n"/>
      <c r="IS61" s="111" t="n"/>
      <c r="IT61" s="111" t="n"/>
      <c r="IU61" s="111" t="n"/>
      <c r="IV61" s="111" t="n"/>
      <c r="IW61" s="111" t="n"/>
      <c r="IX61" s="111" t="n"/>
      <c r="IY61" s="111" t="n"/>
      <c r="IZ61" s="111" t="n"/>
      <c r="JA61" s="111" t="n"/>
      <c r="JB61" s="111" t="n"/>
      <c r="JC61" s="111" t="n"/>
      <c r="JD61" s="111" t="n"/>
      <c r="JE61" s="111" t="n"/>
      <c r="JF61" s="111" t="n"/>
      <c r="JG61" s="111" t="n"/>
      <c r="JH61" s="111" t="n"/>
      <c r="JI61" s="111" t="n"/>
      <c r="JJ61" s="111" t="n"/>
      <c r="JK61" s="111" t="n"/>
      <c r="JL61" s="111" t="n"/>
      <c r="JM61" s="111" t="n"/>
      <c r="JN61" s="111" t="n"/>
      <c r="JO61" s="111" t="n"/>
      <c r="JP61" s="111" t="n"/>
      <c r="JQ61" s="111" t="n"/>
      <c r="JR61" s="111" t="n"/>
      <c r="JS61" s="111" t="n"/>
      <c r="JT61" s="111" t="n"/>
      <c r="JU61" s="111" t="n"/>
      <c r="JV61" s="111" t="n"/>
      <c r="JW61" s="111" t="n"/>
      <c r="JX61" s="111" t="n"/>
      <c r="JY61" s="111" t="n"/>
      <c r="JZ61" s="111" t="n"/>
      <c r="KA61" s="111" t="n"/>
      <c r="KB61" s="111" t="n"/>
      <c r="KC61" s="111" t="n"/>
      <c r="KD61" s="111" t="n"/>
      <c r="KE61" s="111" t="n"/>
      <c r="KF61" s="111" t="n"/>
      <c r="KG61" s="111" t="n"/>
      <c r="KH61" s="111" t="n"/>
      <c r="KI61" s="111" t="n"/>
      <c r="KJ61" s="111" t="n"/>
      <c r="KK61" s="111" t="n"/>
      <c r="KL61" s="111" t="n"/>
      <c r="KM61" s="111" t="n"/>
      <c r="KN61" s="111" t="n"/>
      <c r="KO61" s="111" t="n"/>
      <c r="KP61" s="111" t="n"/>
      <c r="KQ61" s="111" t="n"/>
      <c r="KR61" s="111" t="n"/>
      <c r="KS61" s="111" t="n"/>
      <c r="KT61" s="111" t="n"/>
      <c r="KU61" s="111" t="n"/>
      <c r="KV61" s="111" t="n"/>
      <c r="KW61" s="111" t="n"/>
      <c r="KX61" s="111" t="n"/>
      <c r="KY61" s="111" t="n"/>
      <c r="KZ61" s="111" t="n"/>
      <c r="LA61" s="111" t="n"/>
      <c r="LB61" s="111" t="n"/>
      <c r="LC61" s="111" t="n"/>
      <c r="LD61" s="111" t="n"/>
      <c r="LE61" s="111" t="n"/>
      <c r="LF61" s="111" t="n"/>
      <c r="LG61" s="111" t="n"/>
      <c r="LH61" s="111" t="n"/>
      <c r="LI61" s="111" t="n"/>
      <c r="LJ61" s="111" t="n"/>
      <c r="LK61" s="111" t="n"/>
      <c r="LL61" s="111" t="n"/>
      <c r="LM61" s="111" t="n"/>
      <c r="LN61" s="111" t="n"/>
      <c r="LO61" s="111" t="n"/>
      <c r="LP61" s="111" t="n"/>
      <c r="LQ61" s="111" t="n"/>
      <c r="LR61" s="111" t="n"/>
      <c r="LS61" s="111" t="n"/>
      <c r="LT61" s="111" t="n"/>
      <c r="LU61" s="111" t="n"/>
      <c r="LV61" s="111" t="n"/>
      <c r="LW61" s="111" t="n"/>
      <c r="LX61" s="111" t="n"/>
      <c r="LY61" s="111" t="n"/>
      <c r="LZ61" s="111" t="n"/>
      <c r="MA61" s="111" t="n"/>
      <c r="MB61" s="111" t="n"/>
      <c r="MC61" s="111" t="n"/>
      <c r="MD61" s="111" t="n"/>
      <c r="ME61" s="111" t="n"/>
      <c r="MF61" s="111" t="n"/>
      <c r="MG61" s="111" t="n"/>
      <c r="MH61" s="111" t="n"/>
      <c r="MI61" s="111" t="n"/>
      <c r="MJ61" s="111" t="n"/>
      <c r="MK61" s="111" t="n"/>
      <c r="ML61" s="111" t="n"/>
      <c r="MM61" s="111" t="n"/>
      <c r="MN61" s="111" t="n"/>
      <c r="MO61" s="111" t="n"/>
      <c r="MP61" s="111" t="n"/>
      <c r="MQ61" s="111" t="n"/>
      <c r="MR61" s="111" t="n"/>
      <c r="MS61" s="111" t="n"/>
      <c r="MT61" s="111" t="n"/>
      <c r="MU61" s="111" t="n"/>
      <c r="MV61" s="111" t="n"/>
      <c r="MW61" s="111" t="n"/>
      <c r="MX61" s="111" t="n"/>
      <c r="MY61" s="111" t="n"/>
      <c r="MZ61" s="111" t="n"/>
      <c r="NA61" s="111" t="n"/>
      <c r="NB61" s="111" t="n"/>
      <c r="NC61" s="111" t="n"/>
      <c r="ND61" s="111" t="n"/>
      <c r="NE61" s="111" t="n"/>
      <c r="NF61" s="111" t="n"/>
      <c r="NG61" s="111" t="n"/>
      <c r="NH61" s="111" t="n"/>
      <c r="NI61" s="111" t="n"/>
      <c r="NJ61" s="111" t="n"/>
      <c r="NK61" s="111" t="n"/>
      <c r="NL61" s="111" t="n"/>
      <c r="NM61" s="111" t="n"/>
      <c r="NN61" s="111" t="n"/>
      <c r="NO61" s="111" t="n"/>
      <c r="NP61" s="111" t="n"/>
      <c r="NQ61" s="111" t="n"/>
    </row>
    <row r="62" ht="11.25" customFormat="1" customHeight="1" s="69">
      <c r="A62" s="69" t="n"/>
      <c r="B62" s="69" t="n"/>
      <c r="C62" s="69" t="n"/>
      <c r="D62" s="69" t="n"/>
      <c r="E62" s="69" t="n"/>
      <c r="F62" s="69" t="n"/>
      <c r="G62" s="69" t="n"/>
      <c r="H62" s="69" t="n"/>
      <c r="I62" s="69" t="n"/>
      <c r="J62" s="69" t="n"/>
      <c r="K62" s="69" t="n"/>
      <c r="L62" s="69" t="n"/>
      <c r="M62" s="69" t="n"/>
      <c r="N62" s="69" t="n"/>
      <c r="O62" s="69" t="n"/>
      <c r="P62" s="69" t="n"/>
      <c r="R62" s="111" t="n"/>
      <c r="S62" s="111" t="n"/>
      <c r="T62" s="111" t="n"/>
      <c r="U62" s="111" t="n"/>
      <c r="V62" s="111" t="n"/>
      <c r="W62" s="111" t="n"/>
      <c r="X62" s="111" t="n"/>
      <c r="Y62" s="111" t="n"/>
      <c r="Z62" s="111" t="n"/>
      <c r="AA62" s="111" t="n"/>
      <c r="AB62" s="111" t="n"/>
      <c r="AC62" s="111" t="n"/>
      <c r="AD62" s="111" t="n"/>
      <c r="AE62" s="111" t="n"/>
      <c r="AF62" s="111" t="n"/>
      <c r="AG62" s="111" t="n"/>
      <c r="AH62" s="111" t="n"/>
      <c r="AI62" s="111" t="n"/>
      <c r="AJ62" s="111" t="n"/>
      <c r="AK62" s="111" t="n"/>
      <c r="AL62" s="111" t="n"/>
      <c r="AM62" s="111" t="n"/>
      <c r="AN62" s="111" t="n"/>
      <c r="AO62" s="111" t="n"/>
      <c r="AP62" s="111" t="n"/>
      <c r="AQ62" s="111" t="n"/>
      <c r="AR62" s="111" t="n"/>
      <c r="AS62" s="111" t="n"/>
      <c r="AT62" s="111" t="n"/>
      <c r="AU62" s="111" t="n"/>
      <c r="AV62" s="111" t="n"/>
      <c r="AW62" s="111" t="n"/>
      <c r="AX62" s="111" t="n"/>
      <c r="AY62" s="111" t="n"/>
      <c r="AZ62" s="111" t="n"/>
      <c r="BA62" s="111" t="n"/>
      <c r="BB62" s="111" t="n"/>
      <c r="BC62" s="111" t="n"/>
      <c r="BD62" s="111" t="n"/>
      <c r="BE62" s="111" t="n"/>
      <c r="BF62" s="111" t="n"/>
      <c r="BG62" s="111" t="n"/>
      <c r="BH62" s="111" t="n"/>
      <c r="BI62" s="111" t="n"/>
      <c r="BJ62" s="111" t="n"/>
      <c r="BK62" s="111" t="n"/>
      <c r="BL62" s="111" t="n"/>
      <c r="BM62" s="111" t="n"/>
      <c r="BN62" s="111" t="n"/>
      <c r="BO62" s="111" t="n"/>
      <c r="BP62" s="111" t="n"/>
      <c r="BQ62" s="111" t="n"/>
      <c r="BR62" s="111" t="n"/>
      <c r="BS62" s="111" t="n"/>
      <c r="BT62" s="111" t="n"/>
      <c r="BU62" s="111" t="n"/>
      <c r="BV62" s="111" t="n"/>
      <c r="BW62" s="111" t="n"/>
      <c r="BX62" s="111" t="n"/>
      <c r="BY62" s="111" t="n"/>
      <c r="BZ62" s="111" t="n"/>
      <c r="CA62" s="111" t="n"/>
      <c r="CB62" s="111" t="n"/>
      <c r="CC62" s="111" t="n"/>
      <c r="CD62" s="111" t="n"/>
      <c r="CE62" s="111" t="n"/>
      <c r="CF62" s="111" t="n"/>
      <c r="CG62" s="111" t="n"/>
      <c r="CH62" s="111" t="n"/>
      <c r="CI62" s="111" t="n"/>
      <c r="CJ62" s="111" t="n"/>
      <c r="CK62" s="111" t="n"/>
      <c r="CL62" s="111" t="n"/>
      <c r="CM62" s="111" t="n"/>
      <c r="CN62" s="111" t="n"/>
      <c r="CO62" s="111" t="n"/>
      <c r="CP62" s="111" t="n"/>
      <c r="CQ62" s="111" t="n"/>
      <c r="CR62" s="111" t="n"/>
      <c r="CS62" s="111" t="n"/>
      <c r="CT62" s="111" t="n"/>
      <c r="CU62" s="111" t="n"/>
      <c r="CV62" s="111" t="n"/>
      <c r="CW62" s="111" t="n"/>
      <c r="CX62" s="111" t="n"/>
      <c r="CY62" s="111" t="n"/>
      <c r="CZ62" s="111" t="n"/>
      <c r="DA62" s="111" t="n"/>
      <c r="DB62" s="111" t="n"/>
      <c r="DC62" s="111" t="n"/>
      <c r="DD62" s="111" t="n"/>
      <c r="DE62" s="111" t="n"/>
      <c r="DF62" s="111" t="n"/>
      <c r="DG62" s="111" t="n"/>
      <c r="DH62" s="111" t="n"/>
      <c r="DI62" s="111" t="n"/>
      <c r="DJ62" s="111" t="n"/>
      <c r="DK62" s="111" t="n"/>
      <c r="DL62" s="111" t="n"/>
      <c r="DM62" s="111" t="n"/>
      <c r="DN62" s="111" t="n"/>
      <c r="DO62" s="111" t="n"/>
      <c r="DP62" s="111" t="n"/>
      <c r="DQ62" s="111" t="n"/>
      <c r="DR62" s="111" t="n"/>
      <c r="DS62" s="111" t="n"/>
      <c r="DT62" s="111" t="n"/>
      <c r="DU62" s="111" t="n"/>
      <c r="DV62" s="111" t="n"/>
      <c r="DW62" s="111" t="n"/>
      <c r="DX62" s="111" t="n"/>
      <c r="DY62" s="111" t="n"/>
      <c r="DZ62" s="111" t="n"/>
      <c r="EA62" s="111" t="n"/>
      <c r="EB62" s="111" t="n"/>
      <c r="EC62" s="111" t="n"/>
      <c r="ED62" s="111" t="n"/>
      <c r="EE62" s="111" t="n"/>
      <c r="EF62" s="111" t="n"/>
      <c r="EG62" s="111" t="n"/>
      <c r="EH62" s="111" t="n"/>
      <c r="EI62" s="111" t="n"/>
      <c r="EJ62" s="111" t="n"/>
      <c r="EK62" s="111" t="n"/>
      <c r="EL62" s="111" t="n"/>
      <c r="EM62" s="111" t="n"/>
      <c r="EN62" s="111" t="n"/>
      <c r="EO62" s="111" t="n"/>
      <c r="EP62" s="111" t="n"/>
      <c r="EQ62" s="111" t="n"/>
      <c r="ER62" s="111" t="n"/>
      <c r="ES62" s="111" t="n"/>
      <c r="ET62" s="111" t="n"/>
      <c r="EU62" s="111" t="n"/>
      <c r="EV62" s="111" t="n"/>
      <c r="EW62" s="111" t="n"/>
      <c r="EX62" s="111" t="n"/>
      <c r="EY62" s="111" t="n"/>
      <c r="EZ62" s="111" t="n"/>
      <c r="FA62" s="111" t="n"/>
      <c r="FB62" s="111" t="n"/>
      <c r="FC62" s="111" t="n"/>
      <c r="FD62" s="111" t="n"/>
      <c r="FE62" s="111" t="n"/>
      <c r="FF62" s="111" t="n"/>
      <c r="FG62" s="111" t="n"/>
      <c r="FH62" s="111" t="n"/>
      <c r="FI62" s="111" t="n"/>
      <c r="FJ62" s="111" t="n"/>
      <c r="FK62" s="111" t="n"/>
      <c r="FL62" s="111" t="n"/>
      <c r="FM62" s="111" t="n"/>
      <c r="FN62" s="111" t="n"/>
      <c r="FO62" s="111" t="n"/>
      <c r="FP62" s="111" t="n"/>
      <c r="FQ62" s="111" t="n"/>
      <c r="FR62" s="111" t="n"/>
      <c r="FS62" s="111" t="n"/>
      <c r="FT62" s="111" t="n"/>
      <c r="FU62" s="111" t="n"/>
      <c r="FV62" s="111" t="n"/>
      <c r="FW62" s="111" t="n"/>
      <c r="FX62" s="111" t="n"/>
      <c r="FY62" s="111" t="n"/>
      <c r="FZ62" s="111" t="n"/>
      <c r="GA62" s="111" t="n"/>
      <c r="GB62" s="111" t="n"/>
      <c r="GC62" s="111" t="n"/>
      <c r="GD62" s="111" t="n"/>
      <c r="GE62" s="111" t="n"/>
      <c r="GF62" s="111" t="n"/>
      <c r="GG62" s="111" t="n"/>
      <c r="GH62" s="111" t="n"/>
      <c r="GI62" s="111" t="n"/>
      <c r="GJ62" s="111" t="n"/>
      <c r="GK62" s="111" t="n"/>
      <c r="GL62" s="111" t="n"/>
      <c r="GM62" s="111" t="n"/>
      <c r="GN62" s="111" t="n"/>
      <c r="GO62" s="111" t="n"/>
      <c r="GP62" s="111" t="n"/>
      <c r="GQ62" s="111" t="n"/>
      <c r="GR62" s="111" t="n"/>
      <c r="GS62" s="111" t="n"/>
      <c r="GT62" s="111" t="n"/>
      <c r="GU62" s="111" t="n"/>
      <c r="GV62" s="111" t="n"/>
      <c r="GW62" s="111" t="n"/>
      <c r="GX62" s="111" t="n"/>
      <c r="GY62" s="111" t="n"/>
      <c r="GZ62" s="111" t="n"/>
      <c r="HA62" s="111" t="n"/>
      <c r="HB62" s="111" t="n"/>
      <c r="HC62" s="111" t="n"/>
      <c r="HD62" s="111" t="n"/>
      <c r="HE62" s="111" t="n"/>
      <c r="HF62" s="111" t="n"/>
      <c r="HG62" s="111" t="n"/>
      <c r="HH62" s="111" t="n"/>
      <c r="HI62" s="111" t="n"/>
      <c r="HJ62" s="111" t="n"/>
      <c r="HK62" s="111" t="n"/>
      <c r="HL62" s="111" t="n"/>
      <c r="HM62" s="111" t="n"/>
      <c r="HN62" s="111" t="n"/>
      <c r="HO62" s="111" t="n"/>
      <c r="HP62" s="111" t="n"/>
      <c r="HQ62" s="111" t="n"/>
      <c r="HR62" s="111" t="n"/>
      <c r="HS62" s="111" t="n"/>
      <c r="HT62" s="111" t="n"/>
      <c r="HU62" s="111" t="n"/>
      <c r="HV62" s="111" t="n"/>
      <c r="HW62" s="111" t="n"/>
      <c r="HX62" s="111" t="n"/>
      <c r="HY62" s="111" t="n"/>
      <c r="HZ62" s="111" t="n"/>
      <c r="IA62" s="111" t="n"/>
      <c r="IB62" s="111" t="n"/>
      <c r="IC62" s="111" t="n"/>
      <c r="ID62" s="111" t="n"/>
      <c r="IE62" s="111" t="n"/>
      <c r="IF62" s="111" t="n"/>
      <c r="IG62" s="111" t="n"/>
      <c r="IH62" s="111" t="n"/>
      <c r="II62" s="111" t="n"/>
      <c r="IJ62" s="111" t="n"/>
      <c r="IK62" s="111" t="n"/>
      <c r="IL62" s="111" t="n"/>
      <c r="IM62" s="111" t="n"/>
      <c r="IN62" s="111" t="n"/>
      <c r="IO62" s="111" t="n"/>
      <c r="IP62" s="111" t="n"/>
      <c r="IQ62" s="111" t="n"/>
      <c r="IR62" s="111" t="n"/>
      <c r="IS62" s="111" t="n"/>
      <c r="IT62" s="111" t="n"/>
      <c r="IU62" s="111" t="n"/>
      <c r="IV62" s="111" t="n"/>
      <c r="IW62" s="111" t="n"/>
      <c r="IX62" s="111" t="n"/>
      <c r="IY62" s="111" t="n"/>
      <c r="IZ62" s="111" t="n"/>
      <c r="JA62" s="111" t="n"/>
      <c r="JB62" s="111" t="n"/>
      <c r="JC62" s="111" t="n"/>
      <c r="JD62" s="111" t="n"/>
      <c r="JE62" s="111" t="n"/>
      <c r="JF62" s="111" t="n"/>
      <c r="JG62" s="111" t="n"/>
      <c r="JH62" s="111" t="n"/>
      <c r="JI62" s="111" t="n"/>
      <c r="JJ62" s="111" t="n"/>
      <c r="JK62" s="111" t="n"/>
      <c r="JL62" s="111" t="n"/>
      <c r="JM62" s="111" t="n"/>
      <c r="JN62" s="111" t="n"/>
      <c r="JO62" s="111" t="n"/>
      <c r="JP62" s="111" t="n"/>
      <c r="JQ62" s="111" t="n"/>
      <c r="JR62" s="111" t="n"/>
      <c r="JS62" s="111" t="n"/>
      <c r="JT62" s="111" t="n"/>
      <c r="JU62" s="111" t="n"/>
      <c r="JV62" s="111" t="n"/>
      <c r="JW62" s="111" t="n"/>
      <c r="JX62" s="111" t="n"/>
      <c r="JY62" s="111" t="n"/>
      <c r="JZ62" s="111" t="n"/>
      <c r="KA62" s="111" t="n"/>
      <c r="KB62" s="111" t="n"/>
      <c r="KC62" s="111" t="n"/>
      <c r="KD62" s="111" t="n"/>
      <c r="KE62" s="111" t="n"/>
      <c r="KF62" s="111" t="n"/>
      <c r="KG62" s="111" t="n"/>
      <c r="KH62" s="111" t="n"/>
      <c r="KI62" s="111" t="n"/>
      <c r="KJ62" s="111" t="n"/>
      <c r="KK62" s="111" t="n"/>
      <c r="KL62" s="111" t="n"/>
      <c r="KM62" s="111" t="n"/>
      <c r="KN62" s="111" t="n"/>
      <c r="KO62" s="111" t="n"/>
      <c r="KP62" s="111" t="n"/>
      <c r="KQ62" s="111" t="n"/>
      <c r="KR62" s="111" t="n"/>
      <c r="KS62" s="111" t="n"/>
      <c r="KT62" s="111" t="n"/>
      <c r="KU62" s="111" t="n"/>
      <c r="KV62" s="111" t="n"/>
      <c r="KW62" s="111" t="n"/>
      <c r="KX62" s="111" t="n"/>
      <c r="KY62" s="111" t="n"/>
      <c r="KZ62" s="111" t="n"/>
      <c r="LA62" s="111" t="n"/>
      <c r="LB62" s="111" t="n"/>
      <c r="LC62" s="111" t="n"/>
      <c r="LD62" s="111" t="n"/>
      <c r="LE62" s="111" t="n"/>
      <c r="LF62" s="111" t="n"/>
      <c r="LG62" s="111" t="n"/>
      <c r="LH62" s="111" t="n"/>
      <c r="LI62" s="111" t="n"/>
      <c r="LJ62" s="111" t="n"/>
      <c r="LK62" s="111" t="n"/>
      <c r="LL62" s="111" t="n"/>
      <c r="LM62" s="111" t="n"/>
      <c r="LN62" s="111" t="n"/>
      <c r="LO62" s="111" t="n"/>
      <c r="LP62" s="111" t="n"/>
      <c r="LQ62" s="111" t="n"/>
      <c r="LR62" s="111" t="n"/>
      <c r="LS62" s="111" t="n"/>
      <c r="LT62" s="111" t="n"/>
      <c r="LU62" s="111" t="n"/>
      <c r="LV62" s="111" t="n"/>
      <c r="LW62" s="111" t="n"/>
      <c r="LX62" s="111" t="n"/>
      <c r="LY62" s="111" t="n"/>
      <c r="LZ62" s="111" t="n"/>
      <c r="MA62" s="111" t="n"/>
      <c r="MB62" s="111" t="n"/>
      <c r="MC62" s="111" t="n"/>
      <c r="MD62" s="111" t="n"/>
      <c r="ME62" s="111" t="n"/>
      <c r="MF62" s="111" t="n"/>
      <c r="MG62" s="111" t="n"/>
      <c r="MH62" s="111" t="n"/>
      <c r="MI62" s="111" t="n"/>
      <c r="MJ62" s="111" t="n"/>
      <c r="MK62" s="111" t="n"/>
      <c r="ML62" s="111" t="n"/>
      <c r="MM62" s="111" t="n"/>
      <c r="MN62" s="111" t="n"/>
      <c r="MO62" s="111" t="n"/>
      <c r="MP62" s="111" t="n"/>
      <c r="MQ62" s="111" t="n"/>
      <c r="MR62" s="111" t="n"/>
      <c r="MS62" s="111" t="n"/>
      <c r="MT62" s="111" t="n"/>
      <c r="MU62" s="111" t="n"/>
      <c r="MV62" s="111" t="n"/>
      <c r="MW62" s="111" t="n"/>
      <c r="MX62" s="111" t="n"/>
      <c r="MY62" s="111" t="n"/>
      <c r="MZ62" s="111" t="n"/>
      <c r="NA62" s="111" t="n"/>
      <c r="NB62" s="111" t="n"/>
      <c r="NC62" s="111" t="n"/>
      <c r="ND62" s="111" t="n"/>
      <c r="NE62" s="111" t="n"/>
      <c r="NF62" s="111" t="n"/>
      <c r="NG62" s="111" t="n"/>
      <c r="NH62" s="111" t="n"/>
      <c r="NI62" s="111" t="n"/>
      <c r="NJ62" s="111" t="n"/>
      <c r="NK62" s="111" t="n"/>
      <c r="NL62" s="111" t="n"/>
      <c r="NM62" s="111" t="n"/>
      <c r="NN62" s="111" t="n"/>
      <c r="NO62" s="111" t="n"/>
      <c r="NP62" s="111" t="n"/>
      <c r="NQ62" s="111" t="n"/>
    </row>
    <row r="63" ht="11.25" customFormat="1" customHeight="1" s="119">
      <c r="A63" s="35" t="inlineStr">
        <is>
          <t>TEMPLATE ROWS</t>
        </is>
      </c>
      <c r="B63" s="119" t="n"/>
      <c r="C63" s="119" t="n"/>
      <c r="D63" s="119" t="n"/>
      <c r="E63" s="119" t="n"/>
      <c r="F63" s="119" t="n"/>
      <c r="G63" s="119" t="n"/>
      <c r="H63" s="119" t="n"/>
      <c r="I63" s="119" t="n"/>
      <c r="J63" s="119" t="n"/>
      <c r="K63" s="119" t="n"/>
      <c r="L63" s="119" t="n"/>
      <c r="M63" s="119" t="n"/>
      <c r="N63" s="119" t="n"/>
      <c r="O63" s="119" t="n"/>
      <c r="P63" s="119" t="n"/>
      <c r="Q63" s="69" t="n"/>
      <c r="R63" s="111" t="n"/>
      <c r="S63" s="111" t="n"/>
      <c r="T63" s="111" t="n"/>
      <c r="U63" s="111" t="n"/>
      <c r="V63" s="111" t="n"/>
      <c r="W63" s="111" t="n"/>
      <c r="X63" s="111" t="n"/>
      <c r="Y63" s="111" t="n"/>
      <c r="Z63" s="111" t="n"/>
      <c r="AA63" s="111" t="n"/>
      <c r="AB63" s="111" t="n"/>
      <c r="AC63" s="111" t="n"/>
      <c r="AD63" s="111" t="n"/>
      <c r="AE63" s="111" t="n"/>
      <c r="AF63" s="111" t="n"/>
      <c r="AG63" s="111" t="n"/>
      <c r="AH63" s="111" t="n"/>
      <c r="AI63" s="111" t="n"/>
      <c r="AJ63" s="111" t="n"/>
      <c r="AK63" s="111" t="n"/>
      <c r="AL63" s="111" t="n"/>
      <c r="AM63" s="111" t="n"/>
      <c r="AN63" s="111" t="n"/>
      <c r="AO63" s="111" t="n"/>
      <c r="AP63" s="111" t="n"/>
      <c r="AQ63" s="111" t="n"/>
      <c r="AR63" s="111" t="n"/>
      <c r="AS63" s="111" t="n"/>
      <c r="AT63" s="111" t="n"/>
      <c r="AU63" s="111" t="n"/>
      <c r="AV63" s="111" t="n"/>
      <c r="AW63" s="111" t="n"/>
      <c r="AX63" s="111" t="n"/>
      <c r="AY63" s="111" t="n"/>
      <c r="AZ63" s="111" t="n"/>
      <c r="BA63" s="111" t="n"/>
      <c r="BB63" s="111" t="n"/>
      <c r="BC63" s="111" t="n"/>
      <c r="BD63" s="111" t="n"/>
      <c r="BE63" s="111" t="n"/>
      <c r="BF63" s="111" t="n"/>
      <c r="BG63" s="111" t="n"/>
      <c r="BH63" s="111" t="n"/>
      <c r="BI63" s="111" t="n"/>
      <c r="BJ63" s="111" t="n"/>
      <c r="BK63" s="111" t="n"/>
      <c r="BL63" s="111" t="n"/>
      <c r="BM63" s="111" t="n"/>
      <c r="BN63" s="111" t="n"/>
      <c r="BO63" s="111" t="n"/>
      <c r="BP63" s="111" t="n"/>
      <c r="BQ63" s="111" t="n"/>
      <c r="BR63" s="111" t="n"/>
      <c r="BS63" s="111" t="n"/>
      <c r="BT63" s="111" t="n"/>
      <c r="BU63" s="111" t="n"/>
      <c r="BV63" s="111" t="n"/>
      <c r="BW63" s="111" t="n"/>
      <c r="BX63" s="111" t="n"/>
      <c r="BY63" s="111" t="n"/>
      <c r="BZ63" s="111" t="n"/>
      <c r="CA63" s="111" t="n"/>
      <c r="CB63" s="111" t="n"/>
      <c r="CC63" s="111" t="n"/>
      <c r="CD63" s="111" t="n"/>
      <c r="CE63" s="111" t="n"/>
      <c r="CF63" s="111" t="n"/>
      <c r="CG63" s="111" t="n"/>
      <c r="CH63" s="111" t="n"/>
      <c r="CI63" s="111" t="n"/>
      <c r="CJ63" s="111" t="n"/>
      <c r="CK63" s="111" t="n"/>
      <c r="CL63" s="111" t="n"/>
      <c r="CM63" s="111" t="n"/>
      <c r="CN63" s="111" t="n"/>
      <c r="CO63" s="111" t="n"/>
      <c r="CP63" s="111" t="n"/>
      <c r="CQ63" s="111" t="n"/>
      <c r="CR63" s="111" t="n"/>
      <c r="CS63" s="111" t="n"/>
      <c r="CT63" s="111" t="n"/>
      <c r="CU63" s="111" t="n"/>
      <c r="CV63" s="111" t="n"/>
      <c r="CW63" s="111" t="n"/>
      <c r="CX63" s="111" t="n"/>
      <c r="CY63" s="111" t="n"/>
      <c r="CZ63" s="111" t="n"/>
      <c r="DA63" s="111" t="n"/>
      <c r="DB63" s="111" t="n"/>
      <c r="DC63" s="111" t="n"/>
      <c r="DD63" s="111" t="n"/>
      <c r="DE63" s="111" t="n"/>
      <c r="DF63" s="111" t="n"/>
      <c r="DG63" s="111" t="n"/>
      <c r="DH63" s="111" t="n"/>
      <c r="DI63" s="111" t="n"/>
      <c r="DJ63" s="111" t="n"/>
      <c r="DK63" s="111" t="n"/>
      <c r="DL63" s="111" t="n"/>
      <c r="DM63" s="111" t="n"/>
      <c r="DN63" s="111" t="n"/>
      <c r="DO63" s="111" t="n"/>
      <c r="DP63" s="111" t="n"/>
      <c r="DQ63" s="111" t="n"/>
      <c r="DR63" s="111" t="n"/>
      <c r="DS63" s="111" t="n"/>
      <c r="DT63" s="111" t="n"/>
      <c r="DU63" s="111" t="n"/>
      <c r="DV63" s="111" t="n"/>
      <c r="DW63" s="111" t="n"/>
      <c r="DX63" s="111" t="n"/>
      <c r="DY63" s="111" t="n"/>
      <c r="DZ63" s="111" t="n"/>
      <c r="EA63" s="111" t="n"/>
      <c r="EB63" s="111" t="n"/>
      <c r="EC63" s="111" t="n"/>
      <c r="ED63" s="111" t="n"/>
      <c r="EE63" s="111" t="n"/>
      <c r="EF63" s="111" t="n"/>
      <c r="EG63" s="111" t="n"/>
      <c r="EH63" s="111" t="n"/>
      <c r="EI63" s="111" t="n"/>
      <c r="EJ63" s="111" t="n"/>
      <c r="EK63" s="111" t="n"/>
      <c r="EL63" s="111" t="n"/>
      <c r="EM63" s="111" t="n"/>
      <c r="EN63" s="111" t="n"/>
      <c r="EO63" s="111" t="n"/>
      <c r="EP63" s="111" t="n"/>
      <c r="EQ63" s="111" t="n"/>
      <c r="ER63" s="111" t="n"/>
      <c r="ES63" s="111" t="n"/>
      <c r="ET63" s="111" t="n"/>
      <c r="EU63" s="111" t="n"/>
      <c r="EV63" s="111" t="n"/>
      <c r="EW63" s="111" t="n"/>
      <c r="EX63" s="111" t="n"/>
      <c r="EY63" s="111" t="n"/>
      <c r="EZ63" s="111" t="n"/>
      <c r="FA63" s="111" t="n"/>
      <c r="FB63" s="111" t="n"/>
      <c r="FC63" s="111" t="n"/>
      <c r="FD63" s="111" t="n"/>
      <c r="FE63" s="111" t="n"/>
      <c r="FF63" s="111" t="n"/>
      <c r="FG63" s="111" t="n"/>
      <c r="FH63" s="111" t="n"/>
      <c r="FI63" s="111" t="n"/>
      <c r="FJ63" s="111" t="n"/>
      <c r="FK63" s="111" t="n"/>
      <c r="FL63" s="111" t="n"/>
      <c r="FM63" s="111" t="n"/>
      <c r="FN63" s="111" t="n"/>
      <c r="FO63" s="111" t="n"/>
      <c r="FP63" s="111" t="n"/>
      <c r="FQ63" s="111" t="n"/>
      <c r="FR63" s="111" t="n"/>
      <c r="FS63" s="111" t="n"/>
      <c r="FT63" s="111" t="n"/>
      <c r="FU63" s="111" t="n"/>
      <c r="FV63" s="111" t="n"/>
      <c r="FW63" s="111" t="n"/>
      <c r="FX63" s="111" t="n"/>
      <c r="FY63" s="111" t="n"/>
      <c r="FZ63" s="111" t="n"/>
      <c r="GA63" s="111" t="n"/>
      <c r="GB63" s="111" t="n"/>
      <c r="GC63" s="111" t="n"/>
      <c r="GD63" s="111" t="n"/>
      <c r="GE63" s="111" t="n"/>
      <c r="GF63" s="111" t="n"/>
      <c r="GG63" s="111" t="n"/>
      <c r="GH63" s="111" t="n"/>
      <c r="GI63" s="111" t="n"/>
      <c r="GJ63" s="111" t="n"/>
      <c r="GK63" s="111" t="n"/>
      <c r="GL63" s="111" t="n"/>
      <c r="GM63" s="111" t="n"/>
      <c r="GN63" s="111" t="n"/>
      <c r="GO63" s="111" t="n"/>
      <c r="GP63" s="111" t="n"/>
      <c r="GQ63" s="111" t="n"/>
      <c r="GR63" s="111" t="n"/>
      <c r="GS63" s="111" t="n"/>
      <c r="GT63" s="111" t="n"/>
      <c r="GU63" s="111" t="n"/>
      <c r="GV63" s="111" t="n"/>
      <c r="GW63" s="111" t="n"/>
      <c r="GX63" s="111" t="n"/>
      <c r="GY63" s="111" t="n"/>
      <c r="GZ63" s="111" t="n"/>
      <c r="HA63" s="111" t="n"/>
      <c r="HB63" s="111" t="n"/>
      <c r="HC63" s="111" t="n"/>
      <c r="HD63" s="111" t="n"/>
      <c r="HE63" s="111" t="n"/>
      <c r="HF63" s="111" t="n"/>
      <c r="HG63" s="111" t="n"/>
      <c r="HH63" s="111" t="n"/>
      <c r="HI63" s="111" t="n"/>
      <c r="HJ63" s="111" t="n"/>
      <c r="HK63" s="111" t="n"/>
      <c r="HL63" s="111" t="n"/>
      <c r="HM63" s="111" t="n"/>
      <c r="HN63" s="111" t="n"/>
      <c r="HO63" s="111" t="n"/>
      <c r="HP63" s="111" t="n"/>
      <c r="HQ63" s="111" t="n"/>
      <c r="HR63" s="111" t="n"/>
      <c r="HS63" s="111" t="n"/>
      <c r="HT63" s="111" t="n"/>
      <c r="HU63" s="111" t="n"/>
      <c r="HV63" s="111" t="n"/>
      <c r="HW63" s="111" t="n"/>
      <c r="HX63" s="111" t="n"/>
      <c r="HY63" s="111" t="n"/>
      <c r="HZ63" s="111" t="n"/>
      <c r="IA63" s="111" t="n"/>
      <c r="IB63" s="111" t="n"/>
      <c r="IC63" s="111" t="n"/>
      <c r="ID63" s="111" t="n"/>
      <c r="IE63" s="111" t="n"/>
      <c r="IF63" s="111" t="n"/>
      <c r="IG63" s="111" t="n"/>
      <c r="IH63" s="111" t="n"/>
      <c r="II63" s="111" t="n"/>
      <c r="IJ63" s="111" t="n"/>
      <c r="IK63" s="111" t="n"/>
      <c r="IL63" s="111" t="n"/>
      <c r="IM63" s="111" t="n"/>
      <c r="IN63" s="111" t="n"/>
      <c r="IO63" s="111" t="n"/>
      <c r="IP63" s="111" t="n"/>
      <c r="IQ63" s="111" t="n"/>
      <c r="IR63" s="111" t="n"/>
      <c r="IS63" s="111" t="n"/>
      <c r="IT63" s="111" t="n"/>
      <c r="IU63" s="111" t="n"/>
      <c r="IV63" s="111" t="n"/>
      <c r="IW63" s="111" t="n"/>
      <c r="IX63" s="111" t="n"/>
      <c r="IY63" s="111" t="n"/>
      <c r="IZ63" s="111" t="n"/>
      <c r="JA63" s="111" t="n"/>
      <c r="JB63" s="111" t="n"/>
      <c r="JC63" s="111" t="n"/>
      <c r="JD63" s="111" t="n"/>
      <c r="JE63" s="111" t="n"/>
      <c r="JF63" s="111" t="n"/>
      <c r="JG63" s="111" t="n"/>
      <c r="JH63" s="111" t="n"/>
      <c r="JI63" s="111" t="n"/>
      <c r="JJ63" s="111" t="n"/>
      <c r="JK63" s="111" t="n"/>
      <c r="JL63" s="111" t="n"/>
      <c r="JM63" s="111" t="n"/>
      <c r="JN63" s="111" t="n"/>
      <c r="JO63" s="111" t="n"/>
      <c r="JP63" s="111" t="n"/>
      <c r="JQ63" s="111" t="n"/>
      <c r="JR63" s="111" t="n"/>
      <c r="JS63" s="111" t="n"/>
      <c r="JT63" s="111" t="n"/>
      <c r="JU63" s="111" t="n"/>
      <c r="JV63" s="111" t="n"/>
      <c r="JW63" s="111" t="n"/>
      <c r="JX63" s="111" t="n"/>
      <c r="JY63" s="111" t="n"/>
      <c r="JZ63" s="111" t="n"/>
      <c r="KA63" s="111" t="n"/>
      <c r="KB63" s="111" t="n"/>
      <c r="KC63" s="111" t="n"/>
      <c r="KD63" s="111" t="n"/>
      <c r="KE63" s="111" t="n"/>
      <c r="KF63" s="111" t="n"/>
      <c r="KG63" s="111" t="n"/>
      <c r="KH63" s="111" t="n"/>
      <c r="KI63" s="111" t="n"/>
      <c r="KJ63" s="111" t="n"/>
      <c r="KK63" s="111" t="n"/>
      <c r="KL63" s="111" t="n"/>
      <c r="KM63" s="111" t="n"/>
      <c r="KN63" s="111" t="n"/>
      <c r="KO63" s="111" t="n"/>
      <c r="KP63" s="111" t="n"/>
      <c r="KQ63" s="111" t="n"/>
      <c r="KR63" s="111" t="n"/>
      <c r="KS63" s="111" t="n"/>
      <c r="KT63" s="111" t="n"/>
      <c r="KU63" s="111" t="n"/>
      <c r="KV63" s="111" t="n"/>
      <c r="KW63" s="111" t="n"/>
      <c r="KX63" s="111" t="n"/>
      <c r="KY63" s="111" t="n"/>
      <c r="KZ63" s="111" t="n"/>
      <c r="LA63" s="111" t="n"/>
      <c r="LB63" s="111" t="n"/>
      <c r="LC63" s="111" t="n"/>
      <c r="LD63" s="111" t="n"/>
      <c r="LE63" s="111" t="n"/>
      <c r="LF63" s="111" t="n"/>
      <c r="LG63" s="111" t="n"/>
      <c r="LH63" s="111" t="n"/>
      <c r="LI63" s="111" t="n"/>
      <c r="LJ63" s="111" t="n"/>
      <c r="LK63" s="111" t="n"/>
      <c r="LL63" s="111" t="n"/>
      <c r="LM63" s="111" t="n"/>
      <c r="LN63" s="111" t="n"/>
      <c r="LO63" s="111" t="n"/>
      <c r="LP63" s="111" t="n"/>
      <c r="LQ63" s="111" t="n"/>
      <c r="LR63" s="111" t="n"/>
      <c r="LS63" s="111" t="n"/>
      <c r="LT63" s="111" t="n"/>
      <c r="LU63" s="111" t="n"/>
      <c r="LV63" s="111" t="n"/>
      <c r="LW63" s="111" t="n"/>
      <c r="LX63" s="111" t="n"/>
      <c r="LY63" s="111" t="n"/>
      <c r="LZ63" s="111" t="n"/>
      <c r="MA63" s="111" t="n"/>
      <c r="MB63" s="111" t="n"/>
      <c r="MC63" s="111" t="n"/>
      <c r="MD63" s="111" t="n"/>
      <c r="ME63" s="111" t="n"/>
      <c r="MF63" s="111" t="n"/>
      <c r="MG63" s="111" t="n"/>
      <c r="MH63" s="111" t="n"/>
      <c r="MI63" s="111" t="n"/>
      <c r="MJ63" s="111" t="n"/>
      <c r="MK63" s="111" t="n"/>
      <c r="ML63" s="111" t="n"/>
      <c r="MM63" s="111" t="n"/>
      <c r="MN63" s="111" t="n"/>
      <c r="MO63" s="111" t="n"/>
      <c r="MP63" s="111" t="n"/>
      <c r="MQ63" s="111" t="n"/>
      <c r="MR63" s="111" t="n"/>
      <c r="MS63" s="111" t="n"/>
      <c r="MT63" s="111" t="n"/>
      <c r="MU63" s="111" t="n"/>
      <c r="MV63" s="111" t="n"/>
      <c r="MW63" s="111" t="n"/>
      <c r="MX63" s="111" t="n"/>
      <c r="MY63" s="111" t="n"/>
      <c r="MZ63" s="111" t="n"/>
      <c r="NA63" s="111" t="n"/>
      <c r="NB63" s="111" t="n"/>
      <c r="NC63" s="111" t="n"/>
      <c r="ND63" s="111" t="n"/>
      <c r="NE63" s="111" t="n"/>
      <c r="NF63" s="111" t="n"/>
      <c r="NG63" s="111" t="n"/>
      <c r="NH63" s="111" t="n"/>
      <c r="NI63" s="111" t="n"/>
      <c r="NJ63" s="111" t="n"/>
      <c r="NK63" s="111" t="n"/>
      <c r="NL63" s="111" t="n"/>
      <c r="NM63" s="111" t="n"/>
      <c r="NN63" s="111" t="n"/>
      <c r="NO63" s="111" t="n"/>
      <c r="NP63" s="111" t="n"/>
      <c r="NQ63" s="111" t="n"/>
    </row>
    <row r="64" ht="11.25" customFormat="1" customHeight="1" s="119">
      <c r="A64" s="119" t="inlineStr">
        <is>
          <t>Use the rows listed below by Copying/Pasting the entire row, or the cells from columns C through Q.</t>
        </is>
      </c>
      <c r="B64" s="119" t="n"/>
      <c r="C64" s="119" t="n"/>
      <c r="D64" s="119" t="n"/>
      <c r="E64" s="119" t="n"/>
      <c r="F64" s="119" t="n"/>
      <c r="G64" s="119" t="n"/>
      <c r="H64" s="119" t="n"/>
      <c r="I64" s="119" t="n"/>
      <c r="J64" s="119" t="n"/>
      <c r="K64" s="119" t="n"/>
      <c r="L64" s="119" t="n"/>
      <c r="M64" s="119" t="n"/>
      <c r="N64" s="119" t="n"/>
      <c r="O64" s="119" t="n"/>
      <c r="P64" s="119" t="n"/>
      <c r="Q64" s="69" t="n"/>
      <c r="R64" s="111" t="n"/>
      <c r="S64" s="111" t="n"/>
      <c r="T64" s="111" t="n"/>
      <c r="U64" s="111" t="n"/>
      <c r="V64" s="111" t="n"/>
      <c r="W64" s="111" t="n"/>
      <c r="X64" s="111" t="n"/>
      <c r="Y64" s="111" t="n"/>
      <c r="Z64" s="111" t="n"/>
      <c r="AA64" s="111" t="n"/>
      <c r="AB64" s="111" t="n"/>
      <c r="AC64" s="111" t="n"/>
      <c r="AD64" s="111" t="n"/>
      <c r="AE64" s="111" t="n"/>
      <c r="AF64" s="111" t="n"/>
      <c r="AG64" s="111" t="n"/>
      <c r="AH64" s="111" t="n"/>
      <c r="AI64" s="111" t="n"/>
      <c r="AJ64" s="111" t="n"/>
      <c r="AK64" s="111" t="n"/>
      <c r="AL64" s="111" t="n"/>
      <c r="AM64" s="111" t="n"/>
      <c r="AN64" s="111" t="n"/>
      <c r="AO64" s="111" t="n"/>
      <c r="AP64" s="111" t="n"/>
      <c r="AQ64" s="111" t="n"/>
      <c r="AR64" s="111" t="n"/>
      <c r="AS64" s="111" t="n"/>
      <c r="AT64" s="111" t="n"/>
      <c r="AU64" s="111" t="n"/>
      <c r="AV64" s="111" t="n"/>
      <c r="AW64" s="111" t="n"/>
      <c r="AX64" s="111" t="n"/>
      <c r="AY64" s="111" t="n"/>
      <c r="AZ64" s="111" t="n"/>
      <c r="BA64" s="111" t="n"/>
      <c r="BB64" s="111" t="n"/>
      <c r="BC64" s="111" t="n"/>
      <c r="BD64" s="111" t="n"/>
      <c r="BE64" s="111" t="n"/>
      <c r="BF64" s="111" t="n"/>
      <c r="BG64" s="111" t="n"/>
      <c r="BH64" s="111" t="n"/>
      <c r="BI64" s="111" t="n"/>
      <c r="BJ64" s="111" t="n"/>
      <c r="BK64" s="111" t="n"/>
      <c r="BL64" s="111" t="n"/>
      <c r="BM64" s="111" t="n"/>
      <c r="BN64" s="111" t="n"/>
      <c r="BO64" s="111" t="n"/>
      <c r="BP64" s="111" t="n"/>
      <c r="BQ64" s="111" t="n"/>
      <c r="BR64" s="111" t="n"/>
      <c r="BS64" s="111" t="n"/>
      <c r="BT64" s="111" t="n"/>
      <c r="BU64" s="111" t="n"/>
      <c r="BV64" s="111" t="n"/>
      <c r="BW64" s="111" t="n"/>
      <c r="BX64" s="111" t="n"/>
      <c r="BY64" s="111" t="n"/>
      <c r="BZ64" s="111" t="n"/>
      <c r="CA64" s="111" t="n"/>
      <c r="CB64" s="111" t="n"/>
      <c r="CC64" s="111" t="n"/>
      <c r="CD64" s="111" t="n"/>
      <c r="CE64" s="111" t="n"/>
      <c r="CF64" s="111" t="n"/>
      <c r="CG64" s="111" t="n"/>
      <c r="CH64" s="111" t="n"/>
      <c r="CI64" s="111" t="n"/>
      <c r="CJ64" s="111" t="n"/>
      <c r="CK64" s="111" t="n"/>
      <c r="CL64" s="111" t="n"/>
      <c r="CM64" s="111" t="n"/>
      <c r="CN64" s="111" t="n"/>
      <c r="CO64" s="111" t="n"/>
      <c r="CP64" s="111" t="n"/>
      <c r="CQ64" s="111" t="n"/>
      <c r="CR64" s="111" t="n"/>
      <c r="CS64" s="111" t="n"/>
      <c r="CT64" s="111" t="n"/>
      <c r="CU64" s="111" t="n"/>
      <c r="CV64" s="111" t="n"/>
      <c r="CW64" s="111" t="n"/>
      <c r="CX64" s="111" t="n"/>
      <c r="CY64" s="111" t="n"/>
      <c r="CZ64" s="111" t="n"/>
      <c r="DA64" s="111" t="n"/>
      <c r="DB64" s="111" t="n"/>
      <c r="DC64" s="111" t="n"/>
      <c r="DD64" s="111" t="n"/>
      <c r="DE64" s="111" t="n"/>
      <c r="DF64" s="111" t="n"/>
      <c r="DG64" s="111" t="n"/>
      <c r="DH64" s="111" t="n"/>
      <c r="DI64" s="111" t="n"/>
      <c r="DJ64" s="111" t="n"/>
      <c r="DK64" s="111" t="n"/>
      <c r="DL64" s="111" t="n"/>
      <c r="DM64" s="111" t="n"/>
      <c r="DN64" s="111" t="n"/>
      <c r="DO64" s="111" t="n"/>
      <c r="DP64" s="111" t="n"/>
      <c r="DQ64" s="111" t="n"/>
      <c r="DR64" s="111" t="n"/>
      <c r="DS64" s="111" t="n"/>
      <c r="DT64" s="111" t="n"/>
      <c r="DU64" s="111" t="n"/>
      <c r="DV64" s="111" t="n"/>
      <c r="DW64" s="111" t="n"/>
      <c r="DX64" s="111" t="n"/>
      <c r="DY64" s="111" t="n"/>
      <c r="DZ64" s="111" t="n"/>
      <c r="EA64" s="111" t="n"/>
      <c r="EB64" s="111" t="n"/>
      <c r="EC64" s="111" t="n"/>
      <c r="ED64" s="111" t="n"/>
      <c r="EE64" s="111" t="n"/>
      <c r="EF64" s="111" t="n"/>
      <c r="EG64" s="111" t="n"/>
      <c r="EH64" s="111" t="n"/>
      <c r="EI64" s="111" t="n"/>
      <c r="EJ64" s="111" t="n"/>
      <c r="EK64" s="111" t="n"/>
      <c r="EL64" s="111" t="n"/>
      <c r="EM64" s="111" t="n"/>
      <c r="EN64" s="111" t="n"/>
      <c r="EO64" s="111" t="n"/>
      <c r="EP64" s="111" t="n"/>
      <c r="EQ64" s="111" t="n"/>
      <c r="ER64" s="111" t="n"/>
      <c r="ES64" s="111" t="n"/>
      <c r="ET64" s="111" t="n"/>
      <c r="EU64" s="111" t="n"/>
      <c r="EV64" s="111" t="n"/>
      <c r="EW64" s="111" t="n"/>
      <c r="EX64" s="111" t="n"/>
      <c r="EY64" s="111" t="n"/>
      <c r="EZ64" s="111" t="n"/>
      <c r="FA64" s="111" t="n"/>
      <c r="FB64" s="111" t="n"/>
      <c r="FC64" s="111" t="n"/>
      <c r="FD64" s="111" t="n"/>
      <c r="FE64" s="111" t="n"/>
      <c r="FF64" s="111" t="n"/>
      <c r="FG64" s="111" t="n"/>
      <c r="FH64" s="111" t="n"/>
      <c r="FI64" s="111" t="n"/>
      <c r="FJ64" s="111" t="n"/>
      <c r="FK64" s="111" t="n"/>
      <c r="FL64" s="111" t="n"/>
      <c r="FM64" s="111" t="n"/>
      <c r="FN64" s="111" t="n"/>
      <c r="FO64" s="111" t="n"/>
      <c r="FP64" s="111" t="n"/>
      <c r="FQ64" s="111" t="n"/>
      <c r="FR64" s="111" t="n"/>
      <c r="FS64" s="111" t="n"/>
      <c r="FT64" s="111" t="n"/>
      <c r="FU64" s="111" t="n"/>
      <c r="FV64" s="111" t="n"/>
      <c r="FW64" s="111" t="n"/>
      <c r="FX64" s="111" t="n"/>
      <c r="FY64" s="111" t="n"/>
      <c r="FZ64" s="111" t="n"/>
      <c r="GA64" s="111" t="n"/>
      <c r="GB64" s="111" t="n"/>
      <c r="GC64" s="111" t="n"/>
      <c r="GD64" s="111" t="n"/>
      <c r="GE64" s="111" t="n"/>
      <c r="GF64" s="111" t="n"/>
      <c r="GG64" s="111" t="n"/>
      <c r="GH64" s="111" t="n"/>
      <c r="GI64" s="111" t="n"/>
      <c r="GJ64" s="111" t="n"/>
      <c r="GK64" s="111" t="n"/>
      <c r="GL64" s="111" t="n"/>
      <c r="GM64" s="111" t="n"/>
      <c r="GN64" s="111" t="n"/>
      <c r="GO64" s="111" t="n"/>
      <c r="GP64" s="111" t="n"/>
      <c r="GQ64" s="111" t="n"/>
      <c r="GR64" s="111" t="n"/>
      <c r="GS64" s="111" t="n"/>
      <c r="GT64" s="111" t="n"/>
      <c r="GU64" s="111" t="n"/>
      <c r="GV64" s="111" t="n"/>
      <c r="GW64" s="111" t="n"/>
      <c r="GX64" s="111" t="n"/>
      <c r="GY64" s="111" t="n"/>
      <c r="GZ64" s="111" t="n"/>
      <c r="HA64" s="111" t="n"/>
      <c r="HB64" s="111" t="n"/>
      <c r="HC64" s="111" t="n"/>
      <c r="HD64" s="111" t="n"/>
      <c r="HE64" s="111" t="n"/>
      <c r="HF64" s="111" t="n"/>
      <c r="HG64" s="111" t="n"/>
      <c r="HH64" s="111" t="n"/>
      <c r="HI64" s="111" t="n"/>
      <c r="HJ64" s="111" t="n"/>
      <c r="HK64" s="111" t="n"/>
      <c r="HL64" s="111" t="n"/>
      <c r="HM64" s="111" t="n"/>
      <c r="HN64" s="111" t="n"/>
      <c r="HO64" s="111" t="n"/>
      <c r="HP64" s="111" t="n"/>
      <c r="HQ64" s="111" t="n"/>
      <c r="HR64" s="111" t="n"/>
      <c r="HS64" s="111" t="n"/>
      <c r="HT64" s="111" t="n"/>
      <c r="HU64" s="111" t="n"/>
      <c r="HV64" s="111" t="n"/>
      <c r="HW64" s="111" t="n"/>
      <c r="HX64" s="111" t="n"/>
      <c r="HY64" s="111" t="n"/>
      <c r="HZ64" s="111" t="n"/>
      <c r="IA64" s="111" t="n"/>
      <c r="IB64" s="111" t="n"/>
      <c r="IC64" s="111" t="n"/>
      <c r="ID64" s="111" t="n"/>
      <c r="IE64" s="111" t="n"/>
      <c r="IF64" s="111" t="n"/>
      <c r="IG64" s="111" t="n"/>
      <c r="IH64" s="111" t="n"/>
      <c r="II64" s="111" t="n"/>
      <c r="IJ64" s="111" t="n"/>
      <c r="IK64" s="111" t="n"/>
      <c r="IL64" s="111" t="n"/>
      <c r="IM64" s="111" t="n"/>
      <c r="IN64" s="111" t="n"/>
      <c r="IO64" s="111" t="n"/>
      <c r="IP64" s="111" t="n"/>
      <c r="IQ64" s="111" t="n"/>
      <c r="IR64" s="111" t="n"/>
      <c r="IS64" s="111" t="n"/>
      <c r="IT64" s="111" t="n"/>
      <c r="IU64" s="111" t="n"/>
      <c r="IV64" s="111" t="n"/>
      <c r="IW64" s="111" t="n"/>
      <c r="IX64" s="111" t="n"/>
      <c r="IY64" s="111" t="n"/>
      <c r="IZ64" s="111" t="n"/>
      <c r="JA64" s="111" t="n"/>
      <c r="JB64" s="111" t="n"/>
      <c r="JC64" s="111" t="n"/>
      <c r="JD64" s="111" t="n"/>
      <c r="JE64" s="111" t="n"/>
      <c r="JF64" s="111" t="n"/>
      <c r="JG64" s="111" t="n"/>
      <c r="JH64" s="111" t="n"/>
      <c r="JI64" s="111" t="n"/>
      <c r="JJ64" s="111" t="n"/>
      <c r="JK64" s="111" t="n"/>
      <c r="JL64" s="111" t="n"/>
      <c r="JM64" s="111" t="n"/>
      <c r="JN64" s="111" t="n"/>
      <c r="JO64" s="111" t="n"/>
      <c r="JP64" s="111" t="n"/>
      <c r="JQ64" s="111" t="n"/>
      <c r="JR64" s="111" t="n"/>
      <c r="JS64" s="111" t="n"/>
      <c r="JT64" s="111" t="n"/>
      <c r="JU64" s="111" t="n"/>
      <c r="JV64" s="111" t="n"/>
      <c r="JW64" s="111" t="n"/>
      <c r="JX64" s="111" t="n"/>
      <c r="JY64" s="111" t="n"/>
      <c r="JZ64" s="111" t="n"/>
      <c r="KA64" s="111" t="n"/>
      <c r="KB64" s="111" t="n"/>
      <c r="KC64" s="111" t="n"/>
      <c r="KD64" s="111" t="n"/>
      <c r="KE64" s="111" t="n"/>
      <c r="KF64" s="111" t="n"/>
      <c r="KG64" s="111" t="n"/>
      <c r="KH64" s="111" t="n"/>
      <c r="KI64" s="111" t="n"/>
      <c r="KJ64" s="111" t="n"/>
      <c r="KK64" s="111" t="n"/>
      <c r="KL64" s="111" t="n"/>
      <c r="KM64" s="111" t="n"/>
      <c r="KN64" s="111" t="n"/>
      <c r="KO64" s="111" t="n"/>
      <c r="KP64" s="111" t="n"/>
      <c r="KQ64" s="111" t="n"/>
      <c r="KR64" s="111" t="n"/>
      <c r="KS64" s="111" t="n"/>
      <c r="KT64" s="111" t="n"/>
      <c r="KU64" s="111" t="n"/>
      <c r="KV64" s="111" t="n"/>
      <c r="KW64" s="111" t="n"/>
      <c r="KX64" s="111" t="n"/>
      <c r="KY64" s="111" t="n"/>
      <c r="KZ64" s="111" t="n"/>
      <c r="LA64" s="111" t="n"/>
      <c r="LB64" s="111" t="n"/>
      <c r="LC64" s="111" t="n"/>
      <c r="LD64" s="111" t="n"/>
      <c r="LE64" s="111" t="n"/>
      <c r="LF64" s="111" t="n"/>
      <c r="LG64" s="111" t="n"/>
      <c r="LH64" s="111" t="n"/>
      <c r="LI64" s="111" t="n"/>
      <c r="LJ64" s="111" t="n"/>
      <c r="LK64" s="111" t="n"/>
      <c r="LL64" s="111" t="n"/>
      <c r="LM64" s="111" t="n"/>
      <c r="LN64" s="111" t="n"/>
      <c r="LO64" s="111" t="n"/>
      <c r="LP64" s="111" t="n"/>
      <c r="LQ64" s="111" t="n"/>
      <c r="LR64" s="111" t="n"/>
      <c r="LS64" s="111" t="n"/>
      <c r="LT64" s="111" t="n"/>
      <c r="LU64" s="111" t="n"/>
      <c r="LV64" s="111" t="n"/>
      <c r="LW64" s="111" t="n"/>
      <c r="LX64" s="111" t="n"/>
      <c r="LY64" s="111" t="n"/>
      <c r="LZ64" s="111" t="n"/>
      <c r="MA64" s="111" t="n"/>
      <c r="MB64" s="111" t="n"/>
      <c r="MC64" s="111" t="n"/>
      <c r="MD64" s="111" t="n"/>
      <c r="ME64" s="111" t="n"/>
      <c r="MF64" s="111" t="n"/>
      <c r="MG64" s="111" t="n"/>
      <c r="MH64" s="111" t="n"/>
      <c r="MI64" s="111" t="n"/>
      <c r="MJ64" s="111" t="n"/>
      <c r="MK64" s="111" t="n"/>
      <c r="ML64" s="111" t="n"/>
      <c r="MM64" s="111" t="n"/>
      <c r="MN64" s="111" t="n"/>
      <c r="MO64" s="111" t="n"/>
      <c r="MP64" s="111" t="n"/>
      <c r="MQ64" s="111" t="n"/>
      <c r="MR64" s="111" t="n"/>
      <c r="MS64" s="111" t="n"/>
      <c r="MT64" s="111" t="n"/>
      <c r="MU64" s="111" t="n"/>
      <c r="MV64" s="111" t="n"/>
      <c r="MW64" s="111" t="n"/>
      <c r="MX64" s="111" t="n"/>
      <c r="MY64" s="111" t="n"/>
      <c r="MZ64" s="111" t="n"/>
      <c r="NA64" s="111" t="n"/>
      <c r="NB64" s="111" t="n"/>
      <c r="NC64" s="111" t="n"/>
      <c r="ND64" s="111" t="n"/>
      <c r="NE64" s="111" t="n"/>
      <c r="NF64" s="111" t="n"/>
      <c r="NG64" s="111" t="n"/>
      <c r="NH64" s="111" t="n"/>
      <c r="NI64" s="111" t="n"/>
      <c r="NJ64" s="111" t="n"/>
      <c r="NK64" s="111" t="n"/>
      <c r="NL64" s="111" t="n"/>
      <c r="NM64" s="111" t="n"/>
      <c r="NN64" s="111" t="n"/>
      <c r="NO64" s="111" t="n"/>
      <c r="NP64" s="111" t="n"/>
      <c r="NQ64" s="111" t="n"/>
    </row>
    <row r="65" ht="11.25" customFormat="1" customHeight="1" s="119">
      <c r="A65" s="119" t="inlineStr">
        <is>
          <t>To change the WBS level, you only need to copy &amp; paste the relevant WBS cell in column A.</t>
        </is>
      </c>
      <c r="B65" s="119" t="n"/>
      <c r="C65" s="119" t="n"/>
      <c r="D65" s="119" t="n"/>
      <c r="E65" s="119" t="n"/>
      <c r="F65" s="119" t="n"/>
      <c r="G65" s="119" t="n"/>
      <c r="H65" s="119" t="n"/>
      <c r="I65" s="119" t="n"/>
      <c r="J65" s="119" t="n"/>
      <c r="K65" s="119" t="n"/>
      <c r="L65" s="119" t="n"/>
      <c r="M65" s="119" t="n"/>
      <c r="N65" s="119" t="n"/>
      <c r="O65" s="119" t="n"/>
      <c r="P65" s="119" t="n"/>
      <c r="Q65" s="69" t="n"/>
      <c r="R65" s="111" t="n"/>
      <c r="S65" s="111" t="n"/>
      <c r="T65" s="111" t="n"/>
      <c r="U65" s="111" t="n"/>
      <c r="V65" s="111" t="n"/>
      <c r="W65" s="111" t="n"/>
      <c r="X65" s="111" t="n"/>
      <c r="Y65" s="111" t="n"/>
      <c r="Z65" s="111" t="n"/>
      <c r="AA65" s="111" t="n"/>
      <c r="AB65" s="111" t="n"/>
      <c r="AC65" s="111" t="n"/>
      <c r="AD65" s="111" t="n"/>
      <c r="AE65" s="111" t="n"/>
      <c r="AF65" s="111" t="n"/>
      <c r="AG65" s="111" t="n"/>
      <c r="AH65" s="111" t="n"/>
      <c r="AI65" s="111" t="n"/>
      <c r="AJ65" s="111" t="n"/>
      <c r="AK65" s="111" t="n"/>
      <c r="AL65" s="111" t="n"/>
      <c r="AM65" s="111" t="n"/>
      <c r="AN65" s="111" t="n"/>
      <c r="AO65" s="111" t="n"/>
      <c r="AP65" s="111" t="n"/>
      <c r="AQ65" s="111" t="n"/>
      <c r="AR65" s="111" t="n"/>
      <c r="AS65" s="111" t="n"/>
      <c r="AT65" s="111" t="n"/>
      <c r="AU65" s="111" t="n"/>
      <c r="AV65" s="111" t="n"/>
      <c r="AW65" s="111" t="n"/>
      <c r="AX65" s="111" t="n"/>
      <c r="AY65" s="111" t="n"/>
      <c r="AZ65" s="111" t="n"/>
      <c r="BA65" s="111" t="n"/>
      <c r="BB65" s="111" t="n"/>
      <c r="BC65" s="111" t="n"/>
      <c r="BD65" s="111" t="n"/>
      <c r="BE65" s="111" t="n"/>
      <c r="BF65" s="111" t="n"/>
      <c r="BG65" s="111" t="n"/>
      <c r="BH65" s="111" t="n"/>
      <c r="BI65" s="111" t="n"/>
      <c r="BJ65" s="111" t="n"/>
      <c r="BK65" s="111" t="n"/>
      <c r="BL65" s="111" t="n"/>
      <c r="BM65" s="111" t="n"/>
      <c r="BN65" s="111" t="n"/>
      <c r="BO65" s="111" t="n"/>
      <c r="BP65" s="111" t="n"/>
      <c r="BQ65" s="111" t="n"/>
      <c r="BR65" s="111" t="n"/>
      <c r="BS65" s="111" t="n"/>
      <c r="BT65" s="111" t="n"/>
      <c r="BU65" s="111" t="n"/>
      <c r="BV65" s="111" t="n"/>
      <c r="BW65" s="111" t="n"/>
      <c r="BX65" s="111" t="n"/>
      <c r="BY65" s="111" t="n"/>
      <c r="BZ65" s="111" t="n"/>
      <c r="CA65" s="111" t="n"/>
      <c r="CB65" s="111" t="n"/>
      <c r="CC65" s="111" t="n"/>
      <c r="CD65" s="111" t="n"/>
      <c r="CE65" s="111" t="n"/>
      <c r="CF65" s="111" t="n"/>
      <c r="CG65" s="111" t="n"/>
      <c r="CH65" s="111" t="n"/>
      <c r="CI65" s="111" t="n"/>
      <c r="CJ65" s="111" t="n"/>
      <c r="CK65" s="111" t="n"/>
      <c r="CL65" s="111" t="n"/>
      <c r="CM65" s="111" t="n"/>
      <c r="CN65" s="111" t="n"/>
      <c r="CO65" s="111" t="n"/>
      <c r="CP65" s="111" t="n"/>
      <c r="CQ65" s="111" t="n"/>
      <c r="CR65" s="111" t="n"/>
      <c r="CS65" s="111" t="n"/>
      <c r="CT65" s="111" t="n"/>
      <c r="CU65" s="111" t="n"/>
      <c r="CV65" s="111" t="n"/>
      <c r="CW65" s="111" t="n"/>
      <c r="CX65" s="111" t="n"/>
      <c r="CY65" s="111" t="n"/>
      <c r="CZ65" s="111" t="n"/>
      <c r="DA65" s="111" t="n"/>
      <c r="DB65" s="111" t="n"/>
      <c r="DC65" s="111" t="n"/>
      <c r="DD65" s="111" t="n"/>
      <c r="DE65" s="111" t="n"/>
      <c r="DF65" s="111" t="n"/>
      <c r="DG65" s="111" t="n"/>
      <c r="DH65" s="111" t="n"/>
      <c r="DI65" s="111" t="n"/>
      <c r="DJ65" s="111" t="n"/>
      <c r="DK65" s="111" t="n"/>
      <c r="DL65" s="111" t="n"/>
      <c r="DM65" s="111" t="n"/>
      <c r="DN65" s="111" t="n"/>
      <c r="DO65" s="111" t="n"/>
      <c r="DP65" s="111" t="n"/>
      <c r="DQ65" s="111" t="n"/>
      <c r="DR65" s="111" t="n"/>
      <c r="DS65" s="111" t="n"/>
      <c r="DT65" s="111" t="n"/>
      <c r="DU65" s="111" t="n"/>
      <c r="DV65" s="111" t="n"/>
      <c r="DW65" s="111" t="n"/>
      <c r="DX65" s="111" t="n"/>
      <c r="DY65" s="111" t="n"/>
      <c r="DZ65" s="111" t="n"/>
      <c r="EA65" s="111" t="n"/>
      <c r="EB65" s="111" t="n"/>
      <c r="EC65" s="111" t="n"/>
      <c r="ED65" s="111" t="n"/>
      <c r="EE65" s="111" t="n"/>
      <c r="EF65" s="111" t="n"/>
      <c r="EG65" s="111" t="n"/>
      <c r="EH65" s="111" t="n"/>
      <c r="EI65" s="111" t="n"/>
      <c r="EJ65" s="111" t="n"/>
      <c r="EK65" s="111" t="n"/>
      <c r="EL65" s="111" t="n"/>
      <c r="EM65" s="111" t="n"/>
      <c r="EN65" s="111" t="n"/>
      <c r="EO65" s="111" t="n"/>
      <c r="EP65" s="111" t="n"/>
      <c r="EQ65" s="111" t="n"/>
      <c r="ER65" s="111" t="n"/>
      <c r="ES65" s="111" t="n"/>
      <c r="ET65" s="111" t="n"/>
      <c r="EU65" s="111" t="n"/>
      <c r="EV65" s="111" t="n"/>
      <c r="EW65" s="111" t="n"/>
      <c r="EX65" s="111" t="n"/>
      <c r="EY65" s="111" t="n"/>
      <c r="EZ65" s="111" t="n"/>
      <c r="FA65" s="111" t="n"/>
      <c r="FB65" s="111" t="n"/>
      <c r="FC65" s="111" t="n"/>
      <c r="FD65" s="111" t="n"/>
      <c r="FE65" s="111" t="n"/>
      <c r="FF65" s="111" t="n"/>
      <c r="FG65" s="111" t="n"/>
      <c r="FH65" s="111" t="n"/>
      <c r="FI65" s="111" t="n"/>
      <c r="FJ65" s="111" t="n"/>
      <c r="FK65" s="111" t="n"/>
      <c r="FL65" s="111" t="n"/>
      <c r="FM65" s="111" t="n"/>
      <c r="FN65" s="111" t="n"/>
      <c r="FO65" s="111" t="n"/>
      <c r="FP65" s="111" t="n"/>
      <c r="FQ65" s="111" t="n"/>
      <c r="FR65" s="111" t="n"/>
      <c r="FS65" s="111" t="n"/>
      <c r="FT65" s="111" t="n"/>
      <c r="FU65" s="111" t="n"/>
      <c r="FV65" s="111" t="n"/>
      <c r="FW65" s="111" t="n"/>
      <c r="FX65" s="111" t="n"/>
      <c r="FY65" s="111" t="n"/>
      <c r="FZ65" s="111" t="n"/>
      <c r="GA65" s="111" t="n"/>
      <c r="GB65" s="111" t="n"/>
      <c r="GC65" s="111" t="n"/>
      <c r="GD65" s="111" t="n"/>
      <c r="GE65" s="111" t="n"/>
      <c r="GF65" s="111" t="n"/>
      <c r="GG65" s="111" t="n"/>
      <c r="GH65" s="111" t="n"/>
      <c r="GI65" s="111" t="n"/>
      <c r="GJ65" s="111" t="n"/>
      <c r="GK65" s="111" t="n"/>
      <c r="GL65" s="111" t="n"/>
      <c r="GM65" s="111" t="n"/>
      <c r="GN65" s="111" t="n"/>
      <c r="GO65" s="111" t="n"/>
      <c r="GP65" s="111" t="n"/>
      <c r="GQ65" s="111" t="n"/>
      <c r="GR65" s="111" t="n"/>
      <c r="GS65" s="111" t="n"/>
      <c r="GT65" s="111" t="n"/>
      <c r="GU65" s="111" t="n"/>
      <c r="GV65" s="111" t="n"/>
      <c r="GW65" s="111" t="n"/>
      <c r="GX65" s="111" t="n"/>
      <c r="GY65" s="111" t="n"/>
      <c r="GZ65" s="111" t="n"/>
      <c r="HA65" s="111" t="n"/>
      <c r="HB65" s="111" t="n"/>
      <c r="HC65" s="111" t="n"/>
      <c r="HD65" s="111" t="n"/>
      <c r="HE65" s="111" t="n"/>
      <c r="HF65" s="111" t="n"/>
      <c r="HG65" s="111" t="n"/>
      <c r="HH65" s="111" t="n"/>
      <c r="HI65" s="111" t="n"/>
      <c r="HJ65" s="111" t="n"/>
      <c r="HK65" s="111" t="n"/>
      <c r="HL65" s="111" t="n"/>
      <c r="HM65" s="111" t="n"/>
      <c r="HN65" s="111" t="n"/>
      <c r="HO65" s="111" t="n"/>
      <c r="HP65" s="111" t="n"/>
      <c r="HQ65" s="111" t="n"/>
      <c r="HR65" s="111" t="n"/>
      <c r="HS65" s="111" t="n"/>
      <c r="HT65" s="111" t="n"/>
      <c r="HU65" s="111" t="n"/>
      <c r="HV65" s="111" t="n"/>
      <c r="HW65" s="111" t="n"/>
      <c r="HX65" s="111" t="n"/>
      <c r="HY65" s="111" t="n"/>
      <c r="HZ65" s="111" t="n"/>
      <c r="IA65" s="111" t="n"/>
      <c r="IB65" s="111" t="n"/>
      <c r="IC65" s="111" t="n"/>
      <c r="ID65" s="111" t="n"/>
      <c r="IE65" s="111" t="n"/>
      <c r="IF65" s="111" t="n"/>
      <c r="IG65" s="111" t="n"/>
      <c r="IH65" s="111" t="n"/>
      <c r="II65" s="111" t="n"/>
      <c r="IJ65" s="111" t="n"/>
      <c r="IK65" s="111" t="n"/>
      <c r="IL65" s="111" t="n"/>
      <c r="IM65" s="111" t="n"/>
      <c r="IN65" s="111" t="n"/>
      <c r="IO65" s="111" t="n"/>
      <c r="IP65" s="111" t="n"/>
      <c r="IQ65" s="111" t="n"/>
      <c r="IR65" s="111" t="n"/>
      <c r="IS65" s="111" t="n"/>
      <c r="IT65" s="111" t="n"/>
      <c r="IU65" s="111" t="n"/>
      <c r="IV65" s="111" t="n"/>
      <c r="IW65" s="111" t="n"/>
      <c r="IX65" s="111" t="n"/>
      <c r="IY65" s="111" t="n"/>
      <c r="IZ65" s="111" t="n"/>
      <c r="JA65" s="111" t="n"/>
      <c r="JB65" s="111" t="n"/>
      <c r="JC65" s="111" t="n"/>
      <c r="JD65" s="111" t="n"/>
      <c r="JE65" s="111" t="n"/>
      <c r="JF65" s="111" t="n"/>
      <c r="JG65" s="111" t="n"/>
      <c r="JH65" s="111" t="n"/>
      <c r="JI65" s="111" t="n"/>
      <c r="JJ65" s="111" t="n"/>
      <c r="JK65" s="111" t="n"/>
      <c r="JL65" s="111" t="n"/>
      <c r="JM65" s="111" t="n"/>
      <c r="JN65" s="111" t="n"/>
      <c r="JO65" s="111" t="n"/>
      <c r="JP65" s="111" t="n"/>
      <c r="JQ65" s="111" t="n"/>
      <c r="JR65" s="111" t="n"/>
      <c r="JS65" s="111" t="n"/>
      <c r="JT65" s="111" t="n"/>
      <c r="JU65" s="111" t="n"/>
      <c r="JV65" s="111" t="n"/>
      <c r="JW65" s="111" t="n"/>
      <c r="JX65" s="111" t="n"/>
      <c r="JY65" s="111" t="n"/>
      <c r="JZ65" s="111" t="n"/>
      <c r="KA65" s="111" t="n"/>
      <c r="KB65" s="111" t="n"/>
      <c r="KC65" s="111" t="n"/>
      <c r="KD65" s="111" t="n"/>
      <c r="KE65" s="111" t="n"/>
      <c r="KF65" s="111" t="n"/>
      <c r="KG65" s="111" t="n"/>
      <c r="KH65" s="111" t="n"/>
      <c r="KI65" s="111" t="n"/>
      <c r="KJ65" s="111" t="n"/>
      <c r="KK65" s="111" t="n"/>
      <c r="KL65" s="111" t="n"/>
      <c r="KM65" s="111" t="n"/>
      <c r="KN65" s="111" t="n"/>
      <c r="KO65" s="111" t="n"/>
      <c r="KP65" s="111" t="n"/>
      <c r="KQ65" s="111" t="n"/>
      <c r="KR65" s="111" t="n"/>
      <c r="KS65" s="111" t="n"/>
      <c r="KT65" s="111" t="n"/>
      <c r="KU65" s="111" t="n"/>
      <c r="KV65" s="111" t="n"/>
      <c r="KW65" s="111" t="n"/>
      <c r="KX65" s="111" t="n"/>
      <c r="KY65" s="111" t="n"/>
      <c r="KZ65" s="111" t="n"/>
      <c r="LA65" s="111" t="n"/>
      <c r="LB65" s="111" t="n"/>
      <c r="LC65" s="111" t="n"/>
      <c r="LD65" s="111" t="n"/>
      <c r="LE65" s="111" t="n"/>
      <c r="LF65" s="111" t="n"/>
      <c r="LG65" s="111" t="n"/>
      <c r="LH65" s="111" t="n"/>
      <c r="LI65" s="111" t="n"/>
      <c r="LJ65" s="111" t="n"/>
      <c r="LK65" s="111" t="n"/>
      <c r="LL65" s="111" t="n"/>
      <c r="LM65" s="111" t="n"/>
      <c r="LN65" s="111" t="n"/>
      <c r="LO65" s="111" t="n"/>
      <c r="LP65" s="111" t="n"/>
      <c r="LQ65" s="111" t="n"/>
      <c r="LR65" s="111" t="n"/>
      <c r="LS65" s="111" t="n"/>
      <c r="LT65" s="111" t="n"/>
      <c r="LU65" s="111" t="n"/>
      <c r="LV65" s="111" t="n"/>
      <c r="LW65" s="111" t="n"/>
      <c r="LX65" s="111" t="n"/>
      <c r="LY65" s="111" t="n"/>
      <c r="LZ65" s="111" t="n"/>
      <c r="MA65" s="111" t="n"/>
      <c r="MB65" s="111" t="n"/>
      <c r="MC65" s="111" t="n"/>
      <c r="MD65" s="111" t="n"/>
      <c r="ME65" s="111" t="n"/>
      <c r="MF65" s="111" t="n"/>
      <c r="MG65" s="111" t="n"/>
      <c r="MH65" s="111" t="n"/>
      <c r="MI65" s="111" t="n"/>
      <c r="MJ65" s="111" t="n"/>
      <c r="MK65" s="111" t="n"/>
      <c r="ML65" s="111" t="n"/>
      <c r="MM65" s="111" t="n"/>
      <c r="MN65" s="111" t="n"/>
      <c r="MO65" s="111" t="n"/>
      <c r="MP65" s="111" t="n"/>
      <c r="MQ65" s="111" t="n"/>
      <c r="MR65" s="111" t="n"/>
      <c r="MS65" s="111" t="n"/>
      <c r="MT65" s="111" t="n"/>
      <c r="MU65" s="111" t="n"/>
      <c r="MV65" s="111" t="n"/>
      <c r="MW65" s="111" t="n"/>
      <c r="MX65" s="111" t="n"/>
      <c r="MY65" s="111" t="n"/>
      <c r="MZ65" s="111" t="n"/>
      <c r="NA65" s="111" t="n"/>
      <c r="NB65" s="111" t="n"/>
      <c r="NC65" s="111" t="n"/>
      <c r="ND65" s="111" t="n"/>
      <c r="NE65" s="111" t="n"/>
      <c r="NF65" s="111" t="n"/>
      <c r="NG65" s="111" t="n"/>
      <c r="NH65" s="111" t="n"/>
      <c r="NI65" s="111" t="n"/>
      <c r="NJ65" s="111" t="n"/>
      <c r="NK65" s="111" t="n"/>
      <c r="NL65" s="111" t="n"/>
      <c r="NM65" s="111" t="n"/>
      <c r="NN65" s="111" t="n"/>
      <c r="NO65" s="111" t="n"/>
      <c r="NP65" s="111" t="n"/>
      <c r="NQ65" s="111" t="n"/>
    </row>
    <row r="66" ht="11.25" customFormat="1" customHeight="1" s="119">
      <c r="A66" s="119" t="inlineStr">
        <is>
          <t>To use the rows with Predecessors as the inputs, unhide columns D through F</t>
        </is>
      </c>
      <c r="B66" s="119" t="n"/>
      <c r="C66" s="119" t="n"/>
      <c r="D66" s="119" t="n"/>
      <c r="E66" s="119" t="n"/>
      <c r="F66" s="119" t="n"/>
      <c r="G66" s="119" t="n"/>
      <c r="H66" s="119" t="n"/>
      <c r="I66" s="119" t="n"/>
      <c r="J66" s="119" t="n"/>
      <c r="K66" s="119" t="n"/>
      <c r="L66" s="119" t="n"/>
      <c r="M66" s="119" t="n"/>
      <c r="N66" s="119" t="n"/>
      <c r="O66" s="119" t="n"/>
      <c r="P66" s="119" t="n"/>
      <c r="Q66" s="69" t="n"/>
      <c r="R66" s="111" t="n"/>
      <c r="S66" s="111" t="n"/>
      <c r="T66" s="111" t="n"/>
      <c r="U66" s="111" t="n"/>
      <c r="V66" s="111" t="n"/>
      <c r="W66" s="111" t="n"/>
      <c r="X66" s="111" t="n"/>
      <c r="Y66" s="111" t="n"/>
      <c r="Z66" s="111" t="n"/>
      <c r="AA66" s="111" t="n"/>
      <c r="AB66" s="111" t="n"/>
      <c r="AC66" s="111" t="n"/>
      <c r="AD66" s="111" t="n"/>
      <c r="AE66" s="111" t="n"/>
      <c r="AF66" s="111" t="n"/>
      <c r="AG66" s="111" t="n"/>
      <c r="AH66" s="111" t="n"/>
      <c r="AI66" s="111" t="n"/>
      <c r="AJ66" s="111" t="n"/>
      <c r="AK66" s="111" t="n"/>
      <c r="AL66" s="111" t="n"/>
      <c r="AM66" s="111" t="n"/>
      <c r="AN66" s="111" t="n"/>
      <c r="AO66" s="111" t="n"/>
      <c r="AP66" s="111" t="n"/>
      <c r="AQ66" s="111" t="n"/>
      <c r="AR66" s="111" t="n"/>
      <c r="AS66" s="111" t="n"/>
      <c r="AT66" s="111" t="n"/>
      <c r="AU66" s="111" t="n"/>
      <c r="AV66" s="111" t="n"/>
      <c r="AW66" s="111" t="n"/>
      <c r="AX66" s="111" t="n"/>
      <c r="AY66" s="111" t="n"/>
      <c r="AZ66" s="111" t="n"/>
      <c r="BA66" s="111" t="n"/>
      <c r="BB66" s="111" t="n"/>
      <c r="BC66" s="111" t="n"/>
      <c r="BD66" s="111" t="n"/>
      <c r="BE66" s="111" t="n"/>
      <c r="BF66" s="111" t="n"/>
      <c r="BG66" s="111" t="n"/>
      <c r="BH66" s="111" t="n"/>
      <c r="BI66" s="111" t="n"/>
      <c r="BJ66" s="111" t="n"/>
      <c r="BK66" s="111" t="n"/>
      <c r="BL66" s="111" t="n"/>
      <c r="BM66" s="111" t="n"/>
      <c r="BN66" s="111" t="n"/>
      <c r="BO66" s="111" t="n"/>
      <c r="BP66" s="111" t="n"/>
      <c r="BQ66" s="111" t="n"/>
      <c r="BR66" s="111" t="n"/>
      <c r="BS66" s="111" t="n"/>
      <c r="BT66" s="111" t="n"/>
      <c r="BU66" s="111" t="n"/>
      <c r="BV66" s="111" t="n"/>
      <c r="BW66" s="111" t="n"/>
      <c r="BX66" s="111" t="n"/>
      <c r="BY66" s="111" t="n"/>
      <c r="BZ66" s="111" t="n"/>
      <c r="CA66" s="111" t="n"/>
      <c r="CB66" s="111" t="n"/>
      <c r="CC66" s="111" t="n"/>
      <c r="CD66" s="111" t="n"/>
      <c r="CE66" s="111" t="n"/>
      <c r="CF66" s="111" t="n"/>
      <c r="CG66" s="111" t="n"/>
      <c r="CH66" s="111" t="n"/>
      <c r="CI66" s="111" t="n"/>
      <c r="CJ66" s="111" t="n"/>
      <c r="CK66" s="111" t="n"/>
      <c r="CL66" s="111" t="n"/>
      <c r="CM66" s="111" t="n"/>
      <c r="CN66" s="111" t="n"/>
      <c r="CO66" s="111" t="n"/>
      <c r="CP66" s="111" t="n"/>
      <c r="CQ66" s="111" t="n"/>
      <c r="CR66" s="111" t="n"/>
      <c r="CS66" s="111" t="n"/>
      <c r="CT66" s="111" t="n"/>
      <c r="CU66" s="111" t="n"/>
      <c r="CV66" s="111" t="n"/>
      <c r="CW66" s="111" t="n"/>
      <c r="CX66" s="111" t="n"/>
      <c r="CY66" s="111" t="n"/>
      <c r="CZ66" s="111" t="n"/>
      <c r="DA66" s="111" t="n"/>
      <c r="DB66" s="111" t="n"/>
      <c r="DC66" s="111" t="n"/>
      <c r="DD66" s="111" t="n"/>
      <c r="DE66" s="111" t="n"/>
      <c r="DF66" s="111" t="n"/>
      <c r="DG66" s="111" t="n"/>
      <c r="DH66" s="111" t="n"/>
      <c r="DI66" s="111" t="n"/>
      <c r="DJ66" s="111" t="n"/>
      <c r="DK66" s="111" t="n"/>
      <c r="DL66" s="111" t="n"/>
      <c r="DM66" s="111" t="n"/>
      <c r="DN66" s="111" t="n"/>
      <c r="DO66" s="111" t="n"/>
      <c r="DP66" s="111" t="n"/>
      <c r="DQ66" s="111" t="n"/>
      <c r="DR66" s="111" t="n"/>
      <c r="DS66" s="111" t="n"/>
      <c r="DT66" s="111" t="n"/>
      <c r="DU66" s="111" t="n"/>
      <c r="DV66" s="111" t="n"/>
      <c r="DW66" s="111" t="n"/>
      <c r="DX66" s="111" t="n"/>
      <c r="DY66" s="111" t="n"/>
      <c r="DZ66" s="111" t="n"/>
      <c r="EA66" s="111" t="n"/>
      <c r="EB66" s="111" t="n"/>
      <c r="EC66" s="111" t="n"/>
      <c r="ED66" s="111" t="n"/>
      <c r="EE66" s="111" t="n"/>
      <c r="EF66" s="111" t="n"/>
      <c r="EG66" s="111" t="n"/>
      <c r="EH66" s="111" t="n"/>
      <c r="EI66" s="111" t="n"/>
      <c r="EJ66" s="111" t="n"/>
      <c r="EK66" s="111" t="n"/>
      <c r="EL66" s="111" t="n"/>
      <c r="EM66" s="111" t="n"/>
      <c r="EN66" s="111" t="n"/>
      <c r="EO66" s="111" t="n"/>
      <c r="EP66" s="111" t="n"/>
      <c r="EQ66" s="111" t="n"/>
      <c r="ER66" s="111" t="n"/>
      <c r="ES66" s="111" t="n"/>
      <c r="ET66" s="111" t="n"/>
      <c r="EU66" s="111" t="n"/>
      <c r="EV66" s="111" t="n"/>
      <c r="EW66" s="111" t="n"/>
      <c r="EX66" s="111" t="n"/>
      <c r="EY66" s="111" t="n"/>
      <c r="EZ66" s="111" t="n"/>
      <c r="FA66" s="111" t="n"/>
      <c r="FB66" s="111" t="n"/>
      <c r="FC66" s="111" t="n"/>
      <c r="FD66" s="111" t="n"/>
      <c r="FE66" s="111" t="n"/>
      <c r="FF66" s="111" t="n"/>
      <c r="FG66" s="111" t="n"/>
      <c r="FH66" s="111" t="n"/>
      <c r="FI66" s="111" t="n"/>
      <c r="FJ66" s="111" t="n"/>
      <c r="FK66" s="111" t="n"/>
      <c r="FL66" s="111" t="n"/>
      <c r="FM66" s="111" t="n"/>
      <c r="FN66" s="111" t="n"/>
      <c r="FO66" s="111" t="n"/>
      <c r="FP66" s="111" t="n"/>
      <c r="FQ66" s="111" t="n"/>
      <c r="FR66" s="111" t="n"/>
      <c r="FS66" s="111" t="n"/>
      <c r="FT66" s="111" t="n"/>
      <c r="FU66" s="111" t="n"/>
      <c r="FV66" s="111" t="n"/>
      <c r="FW66" s="111" t="n"/>
      <c r="FX66" s="111" t="n"/>
      <c r="FY66" s="111" t="n"/>
      <c r="FZ66" s="111" t="n"/>
      <c r="GA66" s="111" t="n"/>
      <c r="GB66" s="111" t="n"/>
      <c r="GC66" s="111" t="n"/>
      <c r="GD66" s="111" t="n"/>
      <c r="GE66" s="111" t="n"/>
      <c r="GF66" s="111" t="n"/>
      <c r="GG66" s="111" t="n"/>
      <c r="GH66" s="111" t="n"/>
      <c r="GI66" s="111" t="n"/>
      <c r="GJ66" s="111" t="n"/>
      <c r="GK66" s="111" t="n"/>
      <c r="GL66" s="111" t="n"/>
      <c r="GM66" s="111" t="n"/>
      <c r="GN66" s="111" t="n"/>
      <c r="GO66" s="111" t="n"/>
      <c r="GP66" s="111" t="n"/>
      <c r="GQ66" s="111" t="n"/>
      <c r="GR66" s="111" t="n"/>
      <c r="GS66" s="111" t="n"/>
      <c r="GT66" s="111" t="n"/>
      <c r="GU66" s="111" t="n"/>
      <c r="GV66" s="111" t="n"/>
      <c r="GW66" s="111" t="n"/>
      <c r="GX66" s="111" t="n"/>
      <c r="GY66" s="111" t="n"/>
      <c r="GZ66" s="111" t="n"/>
      <c r="HA66" s="111" t="n"/>
      <c r="HB66" s="111" t="n"/>
      <c r="HC66" s="111" t="n"/>
      <c r="HD66" s="111" t="n"/>
      <c r="HE66" s="111" t="n"/>
      <c r="HF66" s="111" t="n"/>
      <c r="HG66" s="111" t="n"/>
      <c r="HH66" s="111" t="n"/>
      <c r="HI66" s="111" t="n"/>
      <c r="HJ66" s="111" t="n"/>
      <c r="HK66" s="111" t="n"/>
      <c r="HL66" s="111" t="n"/>
      <c r="HM66" s="111" t="n"/>
      <c r="HN66" s="111" t="n"/>
      <c r="HO66" s="111" t="n"/>
      <c r="HP66" s="111" t="n"/>
      <c r="HQ66" s="111" t="n"/>
      <c r="HR66" s="111" t="n"/>
      <c r="HS66" s="111" t="n"/>
      <c r="HT66" s="111" t="n"/>
      <c r="HU66" s="111" t="n"/>
      <c r="HV66" s="111" t="n"/>
      <c r="HW66" s="111" t="n"/>
      <c r="HX66" s="111" t="n"/>
      <c r="HY66" s="111" t="n"/>
      <c r="HZ66" s="111" t="n"/>
      <c r="IA66" s="111" t="n"/>
      <c r="IB66" s="111" t="n"/>
      <c r="IC66" s="111" t="n"/>
      <c r="ID66" s="111" t="n"/>
      <c r="IE66" s="111" t="n"/>
      <c r="IF66" s="111" t="n"/>
      <c r="IG66" s="111" t="n"/>
      <c r="IH66" s="111" t="n"/>
      <c r="II66" s="111" t="n"/>
      <c r="IJ66" s="111" t="n"/>
      <c r="IK66" s="111" t="n"/>
      <c r="IL66" s="111" t="n"/>
      <c r="IM66" s="111" t="n"/>
      <c r="IN66" s="111" t="n"/>
      <c r="IO66" s="111" t="n"/>
      <c r="IP66" s="111" t="n"/>
      <c r="IQ66" s="111" t="n"/>
      <c r="IR66" s="111" t="n"/>
      <c r="IS66" s="111" t="n"/>
      <c r="IT66" s="111" t="n"/>
      <c r="IU66" s="111" t="n"/>
      <c r="IV66" s="111" t="n"/>
      <c r="IW66" s="111" t="n"/>
      <c r="IX66" s="111" t="n"/>
      <c r="IY66" s="111" t="n"/>
      <c r="IZ66" s="111" t="n"/>
      <c r="JA66" s="111" t="n"/>
      <c r="JB66" s="111" t="n"/>
      <c r="JC66" s="111" t="n"/>
      <c r="JD66" s="111" t="n"/>
      <c r="JE66" s="111" t="n"/>
      <c r="JF66" s="111" t="n"/>
      <c r="JG66" s="111" t="n"/>
      <c r="JH66" s="111" t="n"/>
      <c r="JI66" s="111" t="n"/>
      <c r="JJ66" s="111" t="n"/>
      <c r="JK66" s="111" t="n"/>
      <c r="JL66" s="111" t="n"/>
      <c r="JM66" s="111" t="n"/>
      <c r="JN66" s="111" t="n"/>
      <c r="JO66" s="111" t="n"/>
      <c r="JP66" s="111" t="n"/>
      <c r="JQ66" s="111" t="n"/>
      <c r="JR66" s="111" t="n"/>
      <c r="JS66" s="111" t="n"/>
      <c r="JT66" s="111" t="n"/>
      <c r="JU66" s="111" t="n"/>
      <c r="JV66" s="111" t="n"/>
      <c r="JW66" s="111" t="n"/>
      <c r="JX66" s="111" t="n"/>
      <c r="JY66" s="111" t="n"/>
      <c r="JZ66" s="111" t="n"/>
      <c r="KA66" s="111" t="n"/>
      <c r="KB66" s="111" t="n"/>
      <c r="KC66" s="111" t="n"/>
      <c r="KD66" s="111" t="n"/>
      <c r="KE66" s="111" t="n"/>
      <c r="KF66" s="111" t="n"/>
      <c r="KG66" s="111" t="n"/>
      <c r="KH66" s="111" t="n"/>
      <c r="KI66" s="111" t="n"/>
      <c r="KJ66" s="111" t="n"/>
      <c r="KK66" s="111" t="n"/>
      <c r="KL66" s="111" t="n"/>
      <c r="KM66" s="111" t="n"/>
      <c r="KN66" s="111" t="n"/>
      <c r="KO66" s="111" t="n"/>
      <c r="KP66" s="111" t="n"/>
      <c r="KQ66" s="111" t="n"/>
      <c r="KR66" s="111" t="n"/>
      <c r="KS66" s="111" t="n"/>
      <c r="KT66" s="111" t="n"/>
      <c r="KU66" s="111" t="n"/>
      <c r="KV66" s="111" t="n"/>
      <c r="KW66" s="111" t="n"/>
      <c r="KX66" s="111" t="n"/>
      <c r="KY66" s="111" t="n"/>
      <c r="KZ66" s="111" t="n"/>
      <c r="LA66" s="111" t="n"/>
      <c r="LB66" s="111" t="n"/>
      <c r="LC66" s="111" t="n"/>
      <c r="LD66" s="111" t="n"/>
      <c r="LE66" s="111" t="n"/>
      <c r="LF66" s="111" t="n"/>
      <c r="LG66" s="111" t="n"/>
      <c r="LH66" s="111" t="n"/>
      <c r="LI66" s="111" t="n"/>
      <c r="LJ66" s="111" t="n"/>
      <c r="LK66" s="111" t="n"/>
      <c r="LL66" s="111" t="n"/>
      <c r="LM66" s="111" t="n"/>
      <c r="LN66" s="111" t="n"/>
      <c r="LO66" s="111" t="n"/>
      <c r="LP66" s="111" t="n"/>
      <c r="LQ66" s="111" t="n"/>
      <c r="LR66" s="111" t="n"/>
      <c r="LS66" s="111" t="n"/>
      <c r="LT66" s="111" t="n"/>
      <c r="LU66" s="111" t="n"/>
      <c r="LV66" s="111" t="n"/>
      <c r="LW66" s="111" t="n"/>
      <c r="LX66" s="111" t="n"/>
      <c r="LY66" s="111" t="n"/>
      <c r="LZ66" s="111" t="n"/>
      <c r="MA66" s="111" t="n"/>
      <c r="MB66" s="111" t="n"/>
      <c r="MC66" s="111" t="n"/>
      <c r="MD66" s="111" t="n"/>
      <c r="ME66" s="111" t="n"/>
      <c r="MF66" s="111" t="n"/>
      <c r="MG66" s="111" t="n"/>
      <c r="MH66" s="111" t="n"/>
      <c r="MI66" s="111" t="n"/>
      <c r="MJ66" s="111" t="n"/>
      <c r="MK66" s="111" t="n"/>
      <c r="ML66" s="111" t="n"/>
      <c r="MM66" s="111" t="n"/>
      <c r="MN66" s="111" t="n"/>
      <c r="MO66" s="111" t="n"/>
      <c r="MP66" s="111" t="n"/>
      <c r="MQ66" s="111" t="n"/>
      <c r="MR66" s="111" t="n"/>
      <c r="MS66" s="111" t="n"/>
      <c r="MT66" s="111" t="n"/>
      <c r="MU66" s="111" t="n"/>
      <c r="MV66" s="111" t="n"/>
      <c r="MW66" s="111" t="n"/>
      <c r="MX66" s="111" t="n"/>
      <c r="MY66" s="111" t="n"/>
      <c r="MZ66" s="111" t="n"/>
      <c r="NA66" s="111" t="n"/>
      <c r="NB66" s="111" t="n"/>
      <c r="NC66" s="111" t="n"/>
      <c r="ND66" s="111" t="n"/>
      <c r="NE66" s="111" t="n"/>
      <c r="NF66" s="111" t="n"/>
      <c r="NG66" s="111" t="n"/>
      <c r="NH66" s="111" t="n"/>
      <c r="NI66" s="111" t="n"/>
      <c r="NJ66" s="111" t="n"/>
      <c r="NK66" s="111" t="n"/>
      <c r="NL66" s="111" t="n"/>
      <c r="NM66" s="111" t="n"/>
      <c r="NN66" s="111" t="n"/>
      <c r="NO66" s="111" t="n"/>
      <c r="NP66" s="111" t="n"/>
      <c r="NQ66" s="111" t="n"/>
    </row>
    <row r="67" ht="11.25" customFormat="1" customHeight="1" s="69">
      <c r="A67" s="36" t="inlineStr">
        <is>
          <t>{42}</t>
        </is>
      </c>
      <c r="B67" s="69" t="n"/>
      <c r="C67" s="69" t="n"/>
      <c r="D67" s="69" t="n"/>
      <c r="E67" s="69" t="n"/>
      <c r="F67" s="69" t="n"/>
      <c r="G67" s="69" t="n"/>
      <c r="H67" s="69" t="n"/>
      <c r="I67" s="69" t="n"/>
      <c r="J67" s="69" t="n"/>
      <c r="K67" s="69" t="n"/>
      <c r="L67" s="69" t="n"/>
      <c r="M67" s="69" t="n"/>
      <c r="N67" s="69" t="n"/>
      <c r="O67" s="69" t="n"/>
      <c r="P67" s="69" t="n"/>
      <c r="R67" s="111" t="n"/>
      <c r="S67" s="111" t="n"/>
      <c r="T67" s="111" t="n"/>
      <c r="U67" s="111" t="n"/>
      <c r="V67" s="111" t="n"/>
      <c r="W67" s="111" t="n"/>
      <c r="X67" s="111" t="n"/>
      <c r="Y67" s="111" t="n"/>
      <c r="Z67" s="111" t="n"/>
      <c r="AA67" s="111" t="n"/>
      <c r="AB67" s="111" t="n"/>
      <c r="AC67" s="111" t="n"/>
      <c r="AD67" s="111" t="n"/>
      <c r="AE67" s="111" t="n"/>
      <c r="AF67" s="111" t="n"/>
      <c r="AG67" s="111" t="n"/>
      <c r="AH67" s="111" t="n"/>
      <c r="AI67" s="111" t="n"/>
      <c r="AJ67" s="111" t="n"/>
      <c r="AK67" s="111" t="n"/>
      <c r="AL67" s="111" t="n"/>
      <c r="AM67" s="111" t="n"/>
      <c r="AN67" s="111" t="n"/>
      <c r="AO67" s="111" t="n"/>
      <c r="AP67" s="111" t="n"/>
      <c r="AQ67" s="111" t="n"/>
      <c r="AR67" s="111" t="n"/>
      <c r="AS67" s="111" t="n"/>
      <c r="AT67" s="111" t="n"/>
      <c r="AU67" s="111" t="n"/>
      <c r="AV67" s="111" t="n"/>
      <c r="AW67" s="111" t="n"/>
      <c r="AX67" s="111" t="n"/>
      <c r="AY67" s="111" t="n"/>
      <c r="AZ67" s="111" t="n"/>
      <c r="BA67" s="111" t="n"/>
      <c r="BB67" s="111" t="n"/>
      <c r="BC67" s="111" t="n"/>
      <c r="BD67" s="111" t="n"/>
      <c r="BE67" s="111" t="n"/>
      <c r="BF67" s="111" t="n"/>
      <c r="BG67" s="111" t="n"/>
      <c r="BH67" s="111" t="n"/>
      <c r="BI67" s="111" t="n"/>
      <c r="BJ67" s="111" t="n"/>
      <c r="BK67" s="111" t="n"/>
      <c r="BL67" s="111" t="n"/>
      <c r="BM67" s="111" t="n"/>
      <c r="BN67" s="111" t="n"/>
      <c r="BO67" s="111" t="n"/>
      <c r="BP67" s="111" t="n"/>
      <c r="BQ67" s="111" t="n"/>
      <c r="BR67" s="111" t="n"/>
      <c r="BS67" s="111" t="n"/>
      <c r="BT67" s="111" t="n"/>
      <c r="BU67" s="111" t="n"/>
      <c r="BV67" s="111" t="n"/>
      <c r="BW67" s="111" t="n"/>
      <c r="BX67" s="111" t="n"/>
      <c r="BY67" s="111" t="n"/>
      <c r="BZ67" s="111" t="n"/>
      <c r="CA67" s="111" t="n"/>
      <c r="CB67" s="111" t="n"/>
      <c r="CC67" s="111" t="n"/>
      <c r="CD67" s="111" t="n"/>
      <c r="CE67" s="111" t="n"/>
      <c r="CF67" s="111" t="n"/>
      <c r="CG67" s="111" t="n"/>
      <c r="CH67" s="111" t="n"/>
      <c r="CI67" s="111" t="n"/>
      <c r="CJ67" s="111" t="n"/>
      <c r="CK67" s="111" t="n"/>
      <c r="CL67" s="111" t="n"/>
      <c r="CM67" s="111" t="n"/>
      <c r="CN67" s="111" t="n"/>
      <c r="CO67" s="111" t="n"/>
      <c r="CP67" s="111" t="n"/>
      <c r="CQ67" s="111" t="n"/>
      <c r="CR67" s="111" t="n"/>
      <c r="CS67" s="111" t="n"/>
      <c r="CT67" s="111" t="n"/>
      <c r="CU67" s="111" t="n"/>
      <c r="CV67" s="111" t="n"/>
      <c r="CW67" s="111" t="n"/>
      <c r="CX67" s="111" t="n"/>
      <c r="CY67" s="111" t="n"/>
      <c r="CZ67" s="111" t="n"/>
      <c r="DA67" s="111" t="n"/>
      <c r="DB67" s="111" t="n"/>
      <c r="DC67" s="111" t="n"/>
      <c r="DD67" s="111" t="n"/>
      <c r="DE67" s="111" t="n"/>
      <c r="DF67" s="111" t="n"/>
      <c r="DG67" s="111" t="n"/>
      <c r="DH67" s="111" t="n"/>
      <c r="DI67" s="111" t="n"/>
      <c r="DJ67" s="111" t="n"/>
      <c r="DK67" s="111" t="n"/>
      <c r="DL67" s="111" t="n"/>
      <c r="DM67" s="111" t="n"/>
      <c r="DN67" s="111" t="n"/>
      <c r="DO67" s="111" t="n"/>
      <c r="DP67" s="111" t="n"/>
      <c r="DQ67" s="111" t="n"/>
      <c r="DR67" s="111" t="n"/>
      <c r="DS67" s="111" t="n"/>
      <c r="DT67" s="111" t="n"/>
      <c r="DU67" s="111" t="n"/>
      <c r="DV67" s="111" t="n"/>
      <c r="DW67" s="111" t="n"/>
      <c r="DX67" s="111" t="n"/>
      <c r="DY67" s="111" t="n"/>
      <c r="DZ67" s="111" t="n"/>
      <c r="EA67" s="111" t="n"/>
      <c r="EB67" s="111" t="n"/>
      <c r="EC67" s="111" t="n"/>
      <c r="ED67" s="111" t="n"/>
      <c r="EE67" s="111" t="n"/>
      <c r="EF67" s="111" t="n"/>
      <c r="EG67" s="111" t="n"/>
      <c r="EH67" s="111" t="n"/>
      <c r="EI67" s="111" t="n"/>
      <c r="EJ67" s="111" t="n"/>
      <c r="EK67" s="111" t="n"/>
      <c r="EL67" s="111" t="n"/>
      <c r="EM67" s="111" t="n"/>
      <c r="EN67" s="111" t="n"/>
      <c r="EO67" s="111" t="n"/>
      <c r="EP67" s="111" t="n"/>
      <c r="EQ67" s="111" t="n"/>
      <c r="ER67" s="111" t="n"/>
      <c r="ES67" s="111" t="n"/>
      <c r="ET67" s="111" t="n"/>
      <c r="EU67" s="111" t="n"/>
      <c r="EV67" s="111" t="n"/>
      <c r="EW67" s="111" t="n"/>
      <c r="EX67" s="111" t="n"/>
      <c r="EY67" s="111" t="n"/>
      <c r="EZ67" s="111" t="n"/>
      <c r="FA67" s="111" t="n"/>
      <c r="FB67" s="111" t="n"/>
      <c r="FC67" s="111" t="n"/>
      <c r="FD67" s="111" t="n"/>
      <c r="FE67" s="111" t="n"/>
      <c r="FF67" s="111" t="n"/>
      <c r="FG67" s="111" t="n"/>
      <c r="FH67" s="111" t="n"/>
      <c r="FI67" s="111" t="n"/>
      <c r="FJ67" s="111" t="n"/>
      <c r="FK67" s="111" t="n"/>
      <c r="FL67" s="111" t="n"/>
      <c r="FM67" s="111" t="n"/>
      <c r="FN67" s="111" t="n"/>
      <c r="FO67" s="111" t="n"/>
      <c r="FP67" s="111" t="n"/>
      <c r="FQ67" s="111" t="n"/>
      <c r="FR67" s="111" t="n"/>
      <c r="FS67" s="111" t="n"/>
      <c r="FT67" s="111" t="n"/>
      <c r="FU67" s="111" t="n"/>
      <c r="FV67" s="111" t="n"/>
      <c r="FW67" s="111" t="n"/>
      <c r="FX67" s="111" t="n"/>
      <c r="FY67" s="111" t="n"/>
      <c r="FZ67" s="111" t="n"/>
      <c r="GA67" s="111" t="n"/>
      <c r="GB67" s="111" t="n"/>
      <c r="GC67" s="111" t="n"/>
      <c r="GD67" s="111" t="n"/>
      <c r="GE67" s="111" t="n"/>
      <c r="GF67" s="111" t="n"/>
      <c r="GG67" s="111" t="n"/>
      <c r="GH67" s="111" t="n"/>
      <c r="GI67" s="111" t="n"/>
      <c r="GJ67" s="111" t="n"/>
      <c r="GK67" s="111" t="n"/>
      <c r="GL67" s="111" t="n"/>
      <c r="GM67" s="111" t="n"/>
      <c r="GN67" s="111" t="n"/>
      <c r="GO67" s="111" t="n"/>
      <c r="GP67" s="111" t="n"/>
      <c r="GQ67" s="111" t="n"/>
      <c r="GR67" s="111" t="n"/>
      <c r="GS67" s="111" t="n"/>
      <c r="GT67" s="111" t="n"/>
      <c r="GU67" s="111" t="n"/>
      <c r="GV67" s="111" t="n"/>
      <c r="GW67" s="111" t="n"/>
      <c r="GX67" s="111" t="n"/>
      <c r="GY67" s="111" t="n"/>
      <c r="GZ67" s="111" t="n"/>
      <c r="HA67" s="111" t="n"/>
      <c r="HB67" s="111" t="n"/>
      <c r="HC67" s="111" t="n"/>
      <c r="HD67" s="111" t="n"/>
      <c r="HE67" s="111" t="n"/>
      <c r="HF67" s="111" t="n"/>
      <c r="HG67" s="111" t="n"/>
      <c r="HH67" s="111" t="n"/>
      <c r="HI67" s="111" t="n"/>
      <c r="HJ67" s="111" t="n"/>
      <c r="HK67" s="111" t="n"/>
      <c r="HL67" s="111" t="n"/>
      <c r="HM67" s="111" t="n"/>
      <c r="HN67" s="111" t="n"/>
      <c r="HO67" s="111" t="n"/>
      <c r="HP67" s="111" t="n"/>
      <c r="HQ67" s="111" t="n"/>
      <c r="HR67" s="111" t="n"/>
      <c r="HS67" s="111" t="n"/>
      <c r="HT67" s="111" t="n"/>
      <c r="HU67" s="111" t="n"/>
      <c r="HV67" s="111" t="n"/>
      <c r="HW67" s="111" t="n"/>
      <c r="HX67" s="111" t="n"/>
      <c r="HY67" s="111" t="n"/>
      <c r="HZ67" s="111" t="n"/>
      <c r="IA67" s="111" t="n"/>
      <c r="IB67" s="111" t="n"/>
      <c r="IC67" s="111" t="n"/>
      <c r="ID67" s="111" t="n"/>
      <c r="IE67" s="111" t="n"/>
      <c r="IF67" s="111" t="n"/>
      <c r="IG67" s="111" t="n"/>
      <c r="IH67" s="111" t="n"/>
      <c r="II67" s="111" t="n"/>
      <c r="IJ67" s="111" t="n"/>
      <c r="IK67" s="111" t="n"/>
      <c r="IL67" s="111" t="n"/>
      <c r="IM67" s="111" t="n"/>
      <c r="IN67" s="111" t="n"/>
      <c r="IO67" s="111" t="n"/>
      <c r="IP67" s="111" t="n"/>
      <c r="IQ67" s="111" t="n"/>
      <c r="IR67" s="111" t="n"/>
      <c r="IS67" s="111" t="n"/>
      <c r="IT67" s="111" t="n"/>
      <c r="IU67" s="111" t="n"/>
      <c r="IV67" s="111" t="n"/>
      <c r="IW67" s="111" t="n"/>
      <c r="IX67" s="111" t="n"/>
      <c r="IY67" s="111" t="n"/>
      <c r="IZ67" s="111" t="n"/>
      <c r="JA67" s="111" t="n"/>
      <c r="JB67" s="111" t="n"/>
      <c r="JC67" s="111" t="n"/>
      <c r="JD67" s="111" t="n"/>
      <c r="JE67" s="111" t="n"/>
      <c r="JF67" s="111" t="n"/>
      <c r="JG67" s="111" t="n"/>
      <c r="JH67" s="111" t="n"/>
      <c r="JI67" s="111" t="n"/>
      <c r="JJ67" s="111" t="n"/>
      <c r="JK67" s="111" t="n"/>
      <c r="JL67" s="111" t="n"/>
      <c r="JM67" s="111" t="n"/>
      <c r="JN67" s="111" t="n"/>
      <c r="JO67" s="111" t="n"/>
      <c r="JP67" s="111" t="n"/>
      <c r="JQ67" s="111" t="n"/>
      <c r="JR67" s="111" t="n"/>
      <c r="JS67" s="111" t="n"/>
      <c r="JT67" s="111" t="n"/>
      <c r="JU67" s="111" t="n"/>
      <c r="JV67" s="111" t="n"/>
      <c r="JW67" s="111" t="n"/>
      <c r="JX67" s="111" t="n"/>
      <c r="JY67" s="111" t="n"/>
      <c r="JZ67" s="111" t="n"/>
      <c r="KA67" s="111" t="n"/>
      <c r="KB67" s="111" t="n"/>
      <c r="KC67" s="111" t="n"/>
      <c r="KD67" s="111" t="n"/>
      <c r="KE67" s="111" t="n"/>
      <c r="KF67" s="111" t="n"/>
      <c r="KG67" s="111" t="n"/>
      <c r="KH67" s="111" t="n"/>
      <c r="KI67" s="111" t="n"/>
      <c r="KJ67" s="111" t="n"/>
      <c r="KK67" s="111" t="n"/>
      <c r="KL67" s="111" t="n"/>
      <c r="KM67" s="111" t="n"/>
      <c r="KN67" s="111" t="n"/>
      <c r="KO67" s="111" t="n"/>
      <c r="KP67" s="111" t="n"/>
      <c r="KQ67" s="111" t="n"/>
      <c r="KR67" s="111" t="n"/>
      <c r="KS67" s="111" t="n"/>
      <c r="KT67" s="111" t="n"/>
      <c r="KU67" s="111" t="n"/>
      <c r="KV67" s="111" t="n"/>
      <c r="KW67" s="111" t="n"/>
      <c r="KX67" s="111" t="n"/>
      <c r="KY67" s="111" t="n"/>
      <c r="KZ67" s="111" t="n"/>
      <c r="LA67" s="111" t="n"/>
      <c r="LB67" s="111" t="n"/>
      <c r="LC67" s="111" t="n"/>
      <c r="LD67" s="111" t="n"/>
      <c r="LE67" s="111" t="n"/>
      <c r="LF67" s="111" t="n"/>
      <c r="LG67" s="111" t="n"/>
      <c r="LH67" s="111" t="n"/>
      <c r="LI67" s="111" t="n"/>
      <c r="LJ67" s="111" t="n"/>
      <c r="LK67" s="111" t="n"/>
      <c r="LL67" s="111" t="n"/>
      <c r="LM67" s="111" t="n"/>
      <c r="LN67" s="111" t="n"/>
      <c r="LO67" s="111" t="n"/>
      <c r="LP67" s="111" t="n"/>
      <c r="LQ67" s="111" t="n"/>
      <c r="LR67" s="111" t="n"/>
      <c r="LS67" s="111" t="n"/>
      <c r="LT67" s="111" t="n"/>
      <c r="LU67" s="111" t="n"/>
      <c r="LV67" s="111" t="n"/>
      <c r="LW67" s="111" t="n"/>
      <c r="LX67" s="111" t="n"/>
      <c r="LY67" s="111" t="n"/>
      <c r="LZ67" s="111" t="n"/>
      <c r="MA67" s="111" t="n"/>
      <c r="MB67" s="111" t="n"/>
      <c r="MC67" s="111" t="n"/>
      <c r="MD67" s="111" t="n"/>
      <c r="ME67" s="111" t="n"/>
      <c r="MF67" s="111" t="n"/>
      <c r="MG67" s="111" t="n"/>
      <c r="MH67" s="111" t="n"/>
      <c r="MI67" s="111" t="n"/>
      <c r="MJ67" s="111" t="n"/>
      <c r="MK67" s="111" t="n"/>
      <c r="ML67" s="111" t="n"/>
      <c r="MM67" s="111" t="n"/>
      <c r="MN67" s="111" t="n"/>
      <c r="MO67" s="111" t="n"/>
      <c r="MP67" s="111" t="n"/>
      <c r="MQ67" s="111" t="n"/>
      <c r="MR67" s="111" t="n"/>
      <c r="MS67" s="111" t="n"/>
      <c r="MT67" s="111" t="n"/>
      <c r="MU67" s="111" t="n"/>
      <c r="MV67" s="111" t="n"/>
      <c r="MW67" s="111" t="n"/>
      <c r="MX67" s="111" t="n"/>
      <c r="MY67" s="111" t="n"/>
      <c r="MZ67" s="111" t="n"/>
      <c r="NA67" s="111" t="n"/>
      <c r="NB67" s="111" t="n"/>
      <c r="NC67" s="111" t="n"/>
      <c r="ND67" s="111" t="n"/>
      <c r="NE67" s="111" t="n"/>
      <c r="NF67" s="111" t="n"/>
      <c r="NG67" s="111" t="n"/>
      <c r="NH67" s="111" t="n"/>
      <c r="NI67" s="111" t="n"/>
      <c r="NJ67" s="111" t="n"/>
      <c r="NK67" s="111" t="n"/>
      <c r="NL67" s="111" t="n"/>
      <c r="NM67" s="111" t="n"/>
      <c r="NN67" s="111" t="n"/>
      <c r="NO67" s="111" t="n"/>
      <c r="NP67" s="111" t="n"/>
      <c r="NQ67" s="111" t="n"/>
    </row>
    <row r="68" ht="11.25" customFormat="1" customHeight="1" s="69">
      <c r="A68" s="86" t="inlineStr">
        <is>
          <t>WBS Numbering &amp; Label-only Rows</t>
        </is>
      </c>
      <c r="B68" s="88" t="n"/>
      <c r="C68" s="88" t="n"/>
      <c r="D68" s="88" t="n"/>
      <c r="E68" s="88" t="n"/>
      <c r="F68" s="88" t="n"/>
      <c r="G68" s="88" t="n"/>
      <c r="H68" s="88" t="n"/>
      <c r="I68" s="88" t="n"/>
      <c r="J68" s="88" t="n"/>
      <c r="K68" s="88" t="n"/>
      <c r="L68" s="88" t="n"/>
      <c r="M68" s="88" t="n"/>
      <c r="N68" s="88" t="n"/>
      <c r="O68" s="88" t="n"/>
      <c r="P68" s="88" t="n"/>
      <c r="Q68" s="69" t="n"/>
      <c r="R68" s="111" t="n"/>
      <c r="S68" s="111" t="n"/>
      <c r="T68" s="111" t="n"/>
      <c r="U68" s="111" t="n"/>
      <c r="V68" s="111" t="n"/>
      <c r="W68" s="111" t="n"/>
      <c r="X68" s="111" t="n"/>
      <c r="Y68" s="111" t="n"/>
      <c r="Z68" s="111" t="n"/>
      <c r="AA68" s="111" t="n"/>
      <c r="AB68" s="111" t="n"/>
      <c r="AC68" s="111" t="n"/>
      <c r="AD68" s="111" t="n"/>
      <c r="AE68" s="111" t="n"/>
      <c r="AF68" s="111" t="n"/>
      <c r="AG68" s="111" t="n"/>
      <c r="AH68" s="111" t="n"/>
      <c r="AI68" s="111" t="n"/>
      <c r="AJ68" s="111" t="n"/>
      <c r="AK68" s="111" t="n"/>
      <c r="AL68" s="111" t="n"/>
      <c r="AM68" s="111" t="n"/>
      <c r="AN68" s="111" t="n"/>
      <c r="AO68" s="111" t="n"/>
      <c r="AP68" s="111" t="n"/>
      <c r="AQ68" s="111" t="n"/>
      <c r="AR68" s="111" t="n"/>
      <c r="AS68" s="111" t="n"/>
      <c r="AT68" s="111" t="n"/>
      <c r="AU68" s="111" t="n"/>
      <c r="AV68" s="111" t="n"/>
      <c r="AW68" s="111" t="n"/>
      <c r="AX68" s="111" t="n"/>
      <c r="AY68" s="111" t="n"/>
      <c r="AZ68" s="111" t="n"/>
      <c r="BA68" s="111" t="n"/>
      <c r="BB68" s="111" t="n"/>
      <c r="BC68" s="111" t="n"/>
      <c r="BD68" s="111" t="n"/>
      <c r="BE68" s="111" t="n"/>
      <c r="BF68" s="111" t="n"/>
      <c r="BG68" s="111" t="n"/>
      <c r="BH68" s="111" t="n"/>
      <c r="BI68" s="111" t="n"/>
      <c r="BJ68" s="111" t="n"/>
      <c r="BK68" s="111" t="n"/>
      <c r="BL68" s="111" t="n"/>
      <c r="BM68" s="111" t="n"/>
      <c r="BN68" s="111" t="n"/>
      <c r="BO68" s="111" t="n"/>
      <c r="BP68" s="111" t="n"/>
      <c r="BQ68" s="111" t="n"/>
      <c r="BR68" s="111" t="n"/>
      <c r="BS68" s="111" t="n"/>
      <c r="BT68" s="111" t="n"/>
      <c r="BU68" s="111" t="n"/>
      <c r="BV68" s="111" t="n"/>
      <c r="BW68" s="111" t="n"/>
      <c r="BX68" s="111" t="n"/>
      <c r="BY68" s="111" t="n"/>
      <c r="BZ68" s="111" t="n"/>
      <c r="CA68" s="111" t="n"/>
      <c r="CB68" s="111" t="n"/>
      <c r="CC68" s="111" t="n"/>
      <c r="CD68" s="111" t="n"/>
      <c r="CE68" s="111" t="n"/>
      <c r="CF68" s="111" t="n"/>
      <c r="CG68" s="111" t="n"/>
      <c r="CH68" s="111" t="n"/>
      <c r="CI68" s="111" t="n"/>
      <c r="CJ68" s="111" t="n"/>
      <c r="CK68" s="111" t="n"/>
      <c r="CL68" s="111" t="n"/>
      <c r="CM68" s="111" t="n"/>
      <c r="CN68" s="111" t="n"/>
      <c r="CO68" s="111" t="n"/>
      <c r="CP68" s="111" t="n"/>
      <c r="CQ68" s="111" t="n"/>
      <c r="CR68" s="111" t="n"/>
      <c r="CS68" s="111" t="n"/>
      <c r="CT68" s="111" t="n"/>
      <c r="CU68" s="111" t="n"/>
      <c r="CV68" s="111" t="n"/>
      <c r="CW68" s="111" t="n"/>
      <c r="CX68" s="111" t="n"/>
      <c r="CY68" s="111" t="n"/>
      <c r="CZ68" s="111" t="n"/>
      <c r="DA68" s="111" t="n"/>
      <c r="DB68" s="111" t="n"/>
      <c r="DC68" s="111" t="n"/>
      <c r="DD68" s="111" t="n"/>
      <c r="DE68" s="111" t="n"/>
      <c r="DF68" s="111" t="n"/>
      <c r="DG68" s="111" t="n"/>
      <c r="DH68" s="111" t="n"/>
      <c r="DI68" s="111" t="n"/>
      <c r="DJ68" s="111" t="n"/>
      <c r="DK68" s="111" t="n"/>
      <c r="DL68" s="111" t="n"/>
      <c r="DM68" s="111" t="n"/>
      <c r="DN68" s="111" t="n"/>
      <c r="DO68" s="111" t="n"/>
      <c r="DP68" s="111" t="n"/>
      <c r="DQ68" s="111" t="n"/>
      <c r="DR68" s="111" t="n"/>
      <c r="DS68" s="111" t="n"/>
      <c r="DT68" s="111" t="n"/>
      <c r="DU68" s="111" t="n"/>
      <c r="DV68" s="111" t="n"/>
      <c r="DW68" s="111" t="n"/>
      <c r="DX68" s="111" t="n"/>
      <c r="DY68" s="111" t="n"/>
      <c r="DZ68" s="111" t="n"/>
      <c r="EA68" s="111" t="n"/>
      <c r="EB68" s="111" t="n"/>
      <c r="EC68" s="111" t="n"/>
      <c r="ED68" s="111" t="n"/>
      <c r="EE68" s="111" t="n"/>
      <c r="EF68" s="111" t="n"/>
      <c r="EG68" s="111" t="n"/>
      <c r="EH68" s="111" t="n"/>
      <c r="EI68" s="111" t="n"/>
      <c r="EJ68" s="111" t="n"/>
      <c r="EK68" s="111" t="n"/>
      <c r="EL68" s="111" t="n"/>
      <c r="EM68" s="111" t="n"/>
      <c r="EN68" s="111" t="n"/>
      <c r="EO68" s="111" t="n"/>
      <c r="EP68" s="111" t="n"/>
      <c r="EQ68" s="111" t="n"/>
      <c r="ER68" s="111" t="n"/>
      <c r="ES68" s="111" t="n"/>
      <c r="ET68" s="111" t="n"/>
      <c r="EU68" s="111" t="n"/>
      <c r="EV68" s="111" t="n"/>
      <c r="EW68" s="111" t="n"/>
      <c r="EX68" s="111" t="n"/>
      <c r="EY68" s="111" t="n"/>
      <c r="EZ68" s="111" t="n"/>
      <c r="FA68" s="111" t="n"/>
      <c r="FB68" s="111" t="n"/>
      <c r="FC68" s="111" t="n"/>
      <c r="FD68" s="111" t="n"/>
      <c r="FE68" s="111" t="n"/>
      <c r="FF68" s="111" t="n"/>
      <c r="FG68" s="111" t="n"/>
      <c r="FH68" s="111" t="n"/>
      <c r="FI68" s="111" t="n"/>
      <c r="FJ68" s="111" t="n"/>
      <c r="FK68" s="111" t="n"/>
      <c r="FL68" s="111" t="n"/>
      <c r="FM68" s="111" t="n"/>
      <c r="FN68" s="111" t="n"/>
      <c r="FO68" s="111" t="n"/>
      <c r="FP68" s="111" t="n"/>
      <c r="FQ68" s="111" t="n"/>
      <c r="FR68" s="111" t="n"/>
      <c r="FS68" s="111" t="n"/>
      <c r="FT68" s="111" t="n"/>
      <c r="FU68" s="111" t="n"/>
      <c r="FV68" s="111" t="n"/>
      <c r="FW68" s="111" t="n"/>
      <c r="FX68" s="111" t="n"/>
      <c r="FY68" s="111" t="n"/>
      <c r="FZ68" s="111" t="n"/>
      <c r="GA68" s="111" t="n"/>
      <c r="GB68" s="111" t="n"/>
      <c r="GC68" s="111" t="n"/>
      <c r="GD68" s="111" t="n"/>
      <c r="GE68" s="111" t="n"/>
      <c r="GF68" s="111" t="n"/>
      <c r="GG68" s="111" t="n"/>
      <c r="GH68" s="111" t="n"/>
      <c r="GI68" s="111" t="n"/>
      <c r="GJ68" s="111" t="n"/>
      <c r="GK68" s="111" t="n"/>
      <c r="GL68" s="111" t="n"/>
      <c r="GM68" s="111" t="n"/>
      <c r="GN68" s="111" t="n"/>
      <c r="GO68" s="111" t="n"/>
      <c r="GP68" s="111" t="n"/>
      <c r="GQ68" s="111" t="n"/>
      <c r="GR68" s="111" t="n"/>
      <c r="GS68" s="111" t="n"/>
      <c r="GT68" s="111" t="n"/>
      <c r="GU68" s="111" t="n"/>
      <c r="GV68" s="111" t="n"/>
      <c r="GW68" s="111" t="n"/>
      <c r="GX68" s="111" t="n"/>
      <c r="GY68" s="111" t="n"/>
      <c r="GZ68" s="111" t="n"/>
      <c r="HA68" s="111" t="n"/>
      <c r="HB68" s="111" t="n"/>
      <c r="HC68" s="111" t="n"/>
      <c r="HD68" s="111" t="n"/>
      <c r="HE68" s="111" t="n"/>
      <c r="HF68" s="111" t="n"/>
      <c r="HG68" s="111" t="n"/>
      <c r="HH68" s="111" t="n"/>
      <c r="HI68" s="111" t="n"/>
      <c r="HJ68" s="111" t="n"/>
      <c r="HK68" s="111" t="n"/>
      <c r="HL68" s="111" t="n"/>
      <c r="HM68" s="111" t="n"/>
      <c r="HN68" s="111" t="n"/>
      <c r="HO68" s="111" t="n"/>
      <c r="HP68" s="111" t="n"/>
      <c r="HQ68" s="111" t="n"/>
      <c r="HR68" s="111" t="n"/>
      <c r="HS68" s="111" t="n"/>
      <c r="HT68" s="111" t="n"/>
      <c r="HU68" s="111" t="n"/>
      <c r="HV68" s="111" t="n"/>
      <c r="HW68" s="111" t="n"/>
      <c r="HX68" s="111" t="n"/>
      <c r="HY68" s="111" t="n"/>
      <c r="HZ68" s="111" t="n"/>
      <c r="IA68" s="111" t="n"/>
      <c r="IB68" s="111" t="n"/>
      <c r="IC68" s="111" t="n"/>
      <c r="ID68" s="111" t="n"/>
      <c r="IE68" s="111" t="n"/>
      <c r="IF68" s="111" t="n"/>
      <c r="IG68" s="111" t="n"/>
      <c r="IH68" s="111" t="n"/>
      <c r="II68" s="111" t="n"/>
      <c r="IJ68" s="111" t="n"/>
      <c r="IK68" s="111" t="n"/>
      <c r="IL68" s="111" t="n"/>
      <c r="IM68" s="111" t="n"/>
      <c r="IN68" s="111" t="n"/>
      <c r="IO68" s="111" t="n"/>
      <c r="IP68" s="111" t="n"/>
      <c r="IQ68" s="111" t="n"/>
      <c r="IR68" s="111" t="n"/>
      <c r="IS68" s="111" t="n"/>
      <c r="IT68" s="111" t="n"/>
      <c r="IU68" s="111" t="n"/>
      <c r="IV68" s="111" t="n"/>
      <c r="IW68" s="111" t="n"/>
      <c r="IX68" s="111" t="n"/>
      <c r="IY68" s="111" t="n"/>
      <c r="IZ68" s="111" t="n"/>
      <c r="JA68" s="111" t="n"/>
      <c r="JB68" s="111" t="n"/>
      <c r="JC68" s="111" t="n"/>
      <c r="JD68" s="111" t="n"/>
      <c r="JE68" s="111" t="n"/>
      <c r="JF68" s="111" t="n"/>
      <c r="JG68" s="111" t="n"/>
      <c r="JH68" s="111" t="n"/>
      <c r="JI68" s="111" t="n"/>
      <c r="JJ68" s="111" t="n"/>
      <c r="JK68" s="111" t="n"/>
      <c r="JL68" s="111" t="n"/>
      <c r="JM68" s="111" t="n"/>
      <c r="JN68" s="111" t="n"/>
      <c r="JO68" s="111" t="n"/>
      <c r="JP68" s="111" t="n"/>
      <c r="JQ68" s="111" t="n"/>
      <c r="JR68" s="111" t="n"/>
      <c r="JS68" s="111" t="n"/>
      <c r="JT68" s="111" t="n"/>
      <c r="JU68" s="111" t="n"/>
      <c r="JV68" s="111" t="n"/>
      <c r="JW68" s="111" t="n"/>
      <c r="JX68" s="111" t="n"/>
      <c r="JY68" s="111" t="n"/>
      <c r="JZ68" s="111" t="n"/>
      <c r="KA68" s="111" t="n"/>
      <c r="KB68" s="111" t="n"/>
      <c r="KC68" s="111" t="n"/>
      <c r="KD68" s="111" t="n"/>
      <c r="KE68" s="111" t="n"/>
      <c r="KF68" s="111" t="n"/>
      <c r="KG68" s="111" t="n"/>
      <c r="KH68" s="111" t="n"/>
      <c r="KI68" s="111" t="n"/>
      <c r="KJ68" s="111" t="n"/>
      <c r="KK68" s="111" t="n"/>
      <c r="KL68" s="111" t="n"/>
      <c r="KM68" s="111" t="n"/>
      <c r="KN68" s="111" t="n"/>
      <c r="KO68" s="111" t="n"/>
      <c r="KP68" s="111" t="n"/>
      <c r="KQ68" s="111" t="n"/>
      <c r="KR68" s="111" t="n"/>
      <c r="KS68" s="111" t="n"/>
      <c r="KT68" s="111" t="n"/>
      <c r="KU68" s="111" t="n"/>
      <c r="KV68" s="111" t="n"/>
      <c r="KW68" s="111" t="n"/>
      <c r="KX68" s="111" t="n"/>
      <c r="KY68" s="111" t="n"/>
      <c r="KZ68" s="111" t="n"/>
      <c r="LA68" s="111" t="n"/>
      <c r="LB68" s="111" t="n"/>
      <c r="LC68" s="111" t="n"/>
      <c r="LD68" s="111" t="n"/>
      <c r="LE68" s="111" t="n"/>
      <c r="LF68" s="111" t="n"/>
      <c r="LG68" s="111" t="n"/>
      <c r="LH68" s="111" t="n"/>
      <c r="LI68" s="111" t="n"/>
      <c r="LJ68" s="111" t="n"/>
      <c r="LK68" s="111" t="n"/>
      <c r="LL68" s="111" t="n"/>
      <c r="LM68" s="111" t="n"/>
      <c r="LN68" s="111" t="n"/>
      <c r="LO68" s="111" t="n"/>
      <c r="LP68" s="111" t="n"/>
      <c r="LQ68" s="111" t="n"/>
      <c r="LR68" s="111" t="n"/>
      <c r="LS68" s="111" t="n"/>
      <c r="LT68" s="111" t="n"/>
      <c r="LU68" s="111" t="n"/>
      <c r="LV68" s="111" t="n"/>
      <c r="LW68" s="111" t="n"/>
      <c r="LX68" s="111" t="n"/>
      <c r="LY68" s="111" t="n"/>
      <c r="LZ68" s="111" t="n"/>
      <c r="MA68" s="111" t="n"/>
      <c r="MB68" s="111" t="n"/>
      <c r="MC68" s="111" t="n"/>
      <c r="MD68" s="111" t="n"/>
      <c r="ME68" s="111" t="n"/>
      <c r="MF68" s="111" t="n"/>
      <c r="MG68" s="111" t="n"/>
      <c r="MH68" s="111" t="n"/>
      <c r="MI68" s="111" t="n"/>
      <c r="MJ68" s="111" t="n"/>
      <c r="MK68" s="111" t="n"/>
      <c r="ML68" s="111" t="n"/>
      <c r="MM68" s="111" t="n"/>
      <c r="MN68" s="111" t="n"/>
      <c r="MO68" s="111" t="n"/>
      <c r="MP68" s="111" t="n"/>
      <c r="MQ68" s="111" t="n"/>
      <c r="MR68" s="111" t="n"/>
      <c r="MS68" s="111" t="n"/>
      <c r="MT68" s="111" t="n"/>
      <c r="MU68" s="111" t="n"/>
      <c r="MV68" s="111" t="n"/>
      <c r="MW68" s="111" t="n"/>
      <c r="MX68" s="111" t="n"/>
      <c r="MY68" s="111" t="n"/>
      <c r="MZ68" s="111" t="n"/>
      <c r="NA68" s="111" t="n"/>
      <c r="NB68" s="111" t="n"/>
      <c r="NC68" s="111" t="n"/>
      <c r="ND68" s="111" t="n"/>
      <c r="NE68" s="111" t="n"/>
      <c r="NF68" s="111" t="n"/>
      <c r="NG68" s="111" t="n"/>
      <c r="NH68" s="111" t="n"/>
      <c r="NI68" s="111" t="n"/>
      <c r="NJ68" s="111" t="n"/>
      <c r="NK68" s="111" t="n"/>
      <c r="NL68" s="111" t="n"/>
      <c r="NM68" s="111" t="n"/>
      <c r="NN68" s="111" t="n"/>
      <c r="NO68" s="111" t="n"/>
      <c r="NP68" s="111" t="n"/>
      <c r="NQ68" s="111" t="n"/>
    </row>
    <row r="69" customFormat="1" s="17">
      <c r="A69" s="77">
        <f>IF(ISERROR(VALUE(SUBSTITUTE(OFFSET(A69,-1,0,1,1),".",""))),"1",IF(ISERROR(FIND("`",SUBSTITUTE(OFFSET(A69,-1,0,1,1),".","`",1))),TEXT(VALUE(OFFSET(A69,-1,0,1,1))+1,"#"),TEXT(VALUE(LEFT(OFFSET(A69,-1,0,1,1),FIND("`",SUBSTITUTE(OFFSET(A69,-1,0,1,1),".","`",1))-1))+1,"#")))</f>
        <v/>
      </c>
      <c r="B69" s="85" t="inlineStr">
        <is>
          <t>[ Task Category ]</t>
        </is>
      </c>
      <c r="C69" s="11" t="n"/>
      <c r="D69" s="37" t="n"/>
      <c r="E69" s="37" t="n"/>
      <c r="F69" s="37" t="n"/>
      <c r="G69" s="275" t="n"/>
      <c r="H69" s="275" t="n"/>
      <c r="I69" s="275" t="n"/>
      <c r="J69" s="275" t="n"/>
      <c r="K69" s="21" t="n"/>
      <c r="L69" s="22" t="n"/>
      <c r="M69" s="15" t="n"/>
      <c r="N69" s="15" t="n"/>
      <c r="O69" s="14" t="n"/>
      <c r="P69" s="14" t="n"/>
      <c r="R69" s="111" t="n"/>
      <c r="S69" s="111" t="n"/>
      <c r="T69" s="111" t="n"/>
      <c r="U69" s="111" t="n"/>
      <c r="V69" s="111" t="n"/>
      <c r="W69" s="111" t="n"/>
      <c r="X69" s="111" t="n"/>
      <c r="Y69" s="111" t="n"/>
      <c r="Z69" s="111" t="n"/>
      <c r="AA69" s="111" t="n"/>
      <c r="AB69" s="111" t="n"/>
      <c r="AC69" s="111" t="n"/>
      <c r="AD69" s="111" t="n"/>
      <c r="AE69" s="111" t="n"/>
      <c r="AF69" s="111" t="n"/>
      <c r="AG69" s="111" t="n"/>
      <c r="AH69" s="111" t="n"/>
      <c r="AI69" s="111" t="n"/>
      <c r="AJ69" s="111" t="n"/>
      <c r="AK69" s="111" t="n"/>
      <c r="AL69" s="111" t="n"/>
      <c r="AM69" s="111" t="n"/>
      <c r="AN69" s="111" t="n"/>
      <c r="AO69" s="111" t="n"/>
      <c r="AP69" s="111" t="n"/>
      <c r="AQ69" s="111" t="n"/>
      <c r="AR69" s="111" t="n"/>
      <c r="AS69" s="111" t="n"/>
      <c r="AT69" s="111" t="n"/>
      <c r="AU69" s="111" t="n"/>
      <c r="AV69" s="111" t="n"/>
      <c r="AW69" s="111" t="n"/>
      <c r="AX69" s="111" t="n"/>
      <c r="AY69" s="111" t="n"/>
      <c r="AZ69" s="111" t="n"/>
      <c r="BA69" s="111" t="n"/>
      <c r="BB69" s="111" t="n"/>
      <c r="BC69" s="111" t="n"/>
      <c r="BD69" s="111" t="n"/>
      <c r="BE69" s="111" t="n"/>
      <c r="BF69" s="111" t="n"/>
      <c r="BG69" s="111" t="n"/>
      <c r="BH69" s="111" t="n"/>
      <c r="BI69" s="111" t="n"/>
      <c r="BJ69" s="111" t="n"/>
      <c r="BK69" s="111" t="n"/>
      <c r="BL69" s="111" t="n"/>
      <c r="BM69" s="111" t="n"/>
      <c r="BN69" s="111" t="n"/>
      <c r="BO69" s="111" t="n"/>
      <c r="BP69" s="111" t="n"/>
      <c r="BQ69" s="111" t="n"/>
      <c r="BR69" s="111" t="n"/>
      <c r="BS69" s="111" t="n"/>
      <c r="BT69" s="111" t="n"/>
      <c r="BU69" s="111" t="n"/>
      <c r="BV69" s="111" t="n"/>
      <c r="BW69" s="111" t="n"/>
      <c r="BX69" s="111" t="n"/>
      <c r="BY69" s="111" t="n"/>
      <c r="BZ69" s="111" t="n"/>
      <c r="CA69" s="111" t="n"/>
      <c r="CB69" s="111" t="n"/>
      <c r="CC69" s="111" t="n"/>
      <c r="CD69" s="111" t="n"/>
      <c r="CE69" s="111" t="n"/>
      <c r="CF69" s="111" t="n"/>
      <c r="CG69" s="111" t="n"/>
      <c r="CH69" s="111" t="n"/>
      <c r="CI69" s="111" t="n"/>
      <c r="CJ69" s="111" t="n"/>
      <c r="CK69" s="111" t="n"/>
      <c r="CL69" s="111" t="n"/>
      <c r="CM69" s="111" t="n"/>
      <c r="CN69" s="111" t="n"/>
      <c r="CO69" s="111" t="n"/>
      <c r="CP69" s="111" t="n"/>
      <c r="CQ69" s="111" t="n"/>
      <c r="CR69" s="111" t="n"/>
      <c r="CS69" s="111" t="n"/>
      <c r="CT69" s="111" t="n"/>
      <c r="CU69" s="111" t="n"/>
      <c r="CV69" s="111" t="n"/>
      <c r="CW69" s="111" t="n"/>
      <c r="CX69" s="111" t="n"/>
      <c r="CY69" s="111" t="n"/>
      <c r="CZ69" s="111" t="n"/>
      <c r="DA69" s="111" t="n"/>
      <c r="DB69" s="111" t="n"/>
      <c r="DC69" s="111" t="n"/>
      <c r="DD69" s="111" t="n"/>
      <c r="DE69" s="111" t="n"/>
      <c r="DF69" s="111" t="n"/>
      <c r="DG69" s="111" t="n"/>
      <c r="DH69" s="111" t="n"/>
      <c r="DI69" s="111" t="n"/>
      <c r="DJ69" s="111" t="n"/>
      <c r="DK69" s="111" t="n"/>
      <c r="DL69" s="111" t="n"/>
      <c r="DM69" s="111" t="n"/>
      <c r="DN69" s="111" t="n"/>
      <c r="DO69" s="111" t="n"/>
      <c r="DP69" s="111" t="n"/>
      <c r="DQ69" s="111" t="n"/>
      <c r="DR69" s="111" t="n"/>
      <c r="DS69" s="111" t="n"/>
      <c r="DT69" s="111" t="n"/>
      <c r="DU69" s="111" t="n"/>
      <c r="DV69" s="111" t="n"/>
      <c r="DW69" s="111" t="n"/>
      <c r="DX69" s="111" t="n"/>
      <c r="DY69" s="111" t="n"/>
      <c r="DZ69" s="111" t="n"/>
      <c r="EA69" s="111" t="n"/>
      <c r="EB69" s="111" t="n"/>
      <c r="EC69" s="111" t="n"/>
      <c r="ED69" s="111" t="n"/>
      <c r="EE69" s="111" t="n"/>
      <c r="EF69" s="111" t="n"/>
      <c r="EG69" s="111" t="n"/>
      <c r="EH69" s="111" t="n"/>
      <c r="EI69" s="111" t="n"/>
      <c r="EJ69" s="111" t="n"/>
      <c r="EK69" s="111" t="n"/>
      <c r="EL69" s="111" t="n"/>
      <c r="EM69" s="111" t="n"/>
      <c r="EN69" s="111" t="n"/>
      <c r="EO69" s="111" t="n"/>
      <c r="EP69" s="111" t="n"/>
      <c r="EQ69" s="111" t="n"/>
      <c r="ER69" s="111" t="n"/>
      <c r="ES69" s="111" t="n"/>
      <c r="ET69" s="111" t="n"/>
      <c r="EU69" s="111" t="n"/>
      <c r="EV69" s="111" t="n"/>
      <c r="EW69" s="111" t="n"/>
      <c r="EX69" s="111" t="n"/>
      <c r="EY69" s="111" t="n"/>
      <c r="EZ69" s="111" t="n"/>
      <c r="FA69" s="111" t="n"/>
      <c r="FB69" s="111" t="n"/>
      <c r="FC69" s="111" t="n"/>
      <c r="FD69" s="111" t="n"/>
      <c r="FE69" s="111" t="n"/>
      <c r="FF69" s="111" t="n"/>
      <c r="FG69" s="111" t="n"/>
      <c r="FH69" s="111" t="n"/>
      <c r="FI69" s="111" t="n"/>
      <c r="FJ69" s="111" t="n"/>
      <c r="FK69" s="111" t="n"/>
      <c r="FL69" s="111" t="n"/>
      <c r="FM69" s="111" t="n"/>
      <c r="FN69" s="111" t="n"/>
      <c r="FO69" s="111" t="n"/>
      <c r="FP69" s="111" t="n"/>
      <c r="FQ69" s="111" t="n"/>
      <c r="FR69" s="111" t="n"/>
      <c r="FS69" s="111" t="n"/>
      <c r="FT69" s="111" t="n"/>
      <c r="FU69" s="111" t="n"/>
      <c r="FV69" s="111" t="n"/>
      <c r="FW69" s="111" t="n"/>
      <c r="FX69" s="111" t="n"/>
      <c r="FY69" s="111" t="n"/>
      <c r="FZ69" s="111" t="n"/>
      <c r="GA69" s="111" t="n"/>
      <c r="GB69" s="111" t="n"/>
      <c r="GC69" s="111" t="n"/>
      <c r="GD69" s="111" t="n"/>
      <c r="GE69" s="111" t="n"/>
      <c r="GF69" s="111" t="n"/>
      <c r="GG69" s="111" t="n"/>
      <c r="GH69" s="111" t="n"/>
      <c r="GI69" s="111" t="n"/>
      <c r="GJ69" s="111" t="n"/>
      <c r="GK69" s="111" t="n"/>
      <c r="GL69" s="111" t="n"/>
      <c r="GM69" s="111" t="n"/>
      <c r="GN69" s="111" t="n"/>
      <c r="GO69" s="111" t="n"/>
      <c r="GP69" s="111" t="n"/>
      <c r="GQ69" s="111" t="n"/>
      <c r="GR69" s="111" t="n"/>
      <c r="GS69" s="111" t="n"/>
      <c r="GT69" s="111" t="n"/>
      <c r="GU69" s="111" t="n"/>
      <c r="GV69" s="111" t="n"/>
      <c r="GW69" s="111" t="n"/>
      <c r="GX69" s="111" t="n"/>
      <c r="GY69" s="111" t="n"/>
      <c r="GZ69" s="111" t="n"/>
      <c r="HA69" s="111" t="n"/>
      <c r="HB69" s="111" t="n"/>
      <c r="HC69" s="111" t="n"/>
      <c r="HD69" s="111" t="n"/>
      <c r="HE69" s="111" t="n"/>
      <c r="HF69" s="111" t="n"/>
      <c r="HG69" s="111" t="n"/>
      <c r="HH69" s="111" t="n"/>
      <c r="HI69" s="111" t="n"/>
      <c r="HJ69" s="111" t="n"/>
      <c r="HK69" s="111" t="n"/>
      <c r="HL69" s="111" t="n"/>
      <c r="HM69" s="111" t="n"/>
      <c r="HN69" s="111" t="n"/>
      <c r="HO69" s="111" t="n"/>
      <c r="HP69" s="111" t="n"/>
      <c r="HQ69" s="111" t="n"/>
      <c r="HR69" s="111" t="n"/>
      <c r="HS69" s="111" t="n"/>
      <c r="HT69" s="111" t="n"/>
      <c r="HU69" s="111" t="n"/>
      <c r="HV69" s="111" t="n"/>
      <c r="HW69" s="111" t="n"/>
      <c r="HX69" s="111" t="n"/>
      <c r="HY69" s="111" t="n"/>
      <c r="HZ69" s="111" t="n"/>
      <c r="IA69" s="111" t="n"/>
      <c r="IB69" s="111" t="n"/>
      <c r="IC69" s="111" t="n"/>
      <c r="ID69" s="111" t="n"/>
      <c r="IE69" s="111" t="n"/>
      <c r="IF69" s="111" t="n"/>
      <c r="IG69" s="111" t="n"/>
      <c r="IH69" s="111" t="n"/>
      <c r="II69" s="111" t="n"/>
      <c r="IJ69" s="111" t="n"/>
      <c r="IK69" s="111" t="n"/>
      <c r="IL69" s="111" t="n"/>
      <c r="IM69" s="111" t="n"/>
      <c r="IN69" s="111" t="n"/>
      <c r="IO69" s="111" t="n"/>
      <c r="IP69" s="111" t="n"/>
      <c r="IQ69" s="111" t="n"/>
      <c r="IR69" s="111" t="n"/>
      <c r="IS69" s="111" t="n"/>
      <c r="IT69" s="111" t="n"/>
      <c r="IU69" s="111" t="n"/>
      <c r="IV69" s="111" t="n"/>
      <c r="IW69" s="111" t="n"/>
      <c r="IX69" s="111" t="n"/>
      <c r="IY69" s="111" t="n"/>
      <c r="IZ69" s="111" t="n"/>
      <c r="JA69" s="111" t="n"/>
      <c r="JB69" s="111" t="n"/>
      <c r="JC69" s="111" t="n"/>
      <c r="JD69" s="111" t="n"/>
      <c r="JE69" s="111" t="n"/>
      <c r="JF69" s="111" t="n"/>
      <c r="JG69" s="111" t="n"/>
      <c r="JH69" s="111" t="n"/>
      <c r="JI69" s="111" t="n"/>
      <c r="JJ69" s="111" t="n"/>
      <c r="JK69" s="111" t="n"/>
      <c r="JL69" s="111" t="n"/>
      <c r="JM69" s="111" t="n"/>
      <c r="JN69" s="111" t="n"/>
      <c r="JO69" s="111" t="n"/>
      <c r="JP69" s="111" t="n"/>
      <c r="JQ69" s="111" t="n"/>
      <c r="JR69" s="111" t="n"/>
      <c r="JS69" s="111" t="n"/>
      <c r="JT69" s="111" t="n"/>
      <c r="JU69" s="111" t="n"/>
      <c r="JV69" s="111" t="n"/>
      <c r="JW69" s="111" t="n"/>
      <c r="JX69" s="111" t="n"/>
      <c r="JY69" s="111" t="n"/>
      <c r="JZ69" s="111" t="n"/>
      <c r="KA69" s="111" t="n"/>
      <c r="KB69" s="111" t="n"/>
      <c r="KC69" s="111" t="n"/>
      <c r="KD69" s="111" t="n"/>
      <c r="KE69" s="111" t="n"/>
      <c r="KF69" s="111" t="n"/>
      <c r="KG69" s="111" t="n"/>
      <c r="KH69" s="111" t="n"/>
      <c r="KI69" s="111" t="n"/>
      <c r="KJ69" s="111" t="n"/>
      <c r="KK69" s="111" t="n"/>
      <c r="KL69" s="111" t="n"/>
      <c r="KM69" s="111" t="n"/>
      <c r="KN69" s="111" t="n"/>
      <c r="KO69" s="111" t="n"/>
      <c r="KP69" s="111" t="n"/>
      <c r="KQ69" s="111" t="n"/>
      <c r="KR69" s="111" t="n"/>
      <c r="KS69" s="111" t="n"/>
      <c r="KT69" s="111" t="n"/>
      <c r="KU69" s="111" t="n"/>
      <c r="KV69" s="111" t="n"/>
      <c r="KW69" s="111" t="n"/>
      <c r="KX69" s="111" t="n"/>
      <c r="KY69" s="111" t="n"/>
      <c r="KZ69" s="111" t="n"/>
      <c r="LA69" s="111" t="n"/>
      <c r="LB69" s="111" t="n"/>
      <c r="LC69" s="111" t="n"/>
      <c r="LD69" s="111" t="n"/>
      <c r="LE69" s="111" t="n"/>
      <c r="LF69" s="111" t="n"/>
      <c r="LG69" s="111" t="n"/>
      <c r="LH69" s="111" t="n"/>
      <c r="LI69" s="111" t="n"/>
      <c r="LJ69" s="111" t="n"/>
      <c r="LK69" s="111" t="n"/>
      <c r="LL69" s="111" t="n"/>
      <c r="LM69" s="111" t="n"/>
      <c r="LN69" s="111" t="n"/>
      <c r="LO69" s="111" t="n"/>
      <c r="LP69" s="111" t="n"/>
      <c r="LQ69" s="111" t="n"/>
      <c r="LR69" s="111" t="n"/>
      <c r="LS69" s="111" t="n"/>
      <c r="LT69" s="111" t="n"/>
      <c r="LU69" s="111" t="n"/>
      <c r="LV69" s="111" t="n"/>
      <c r="LW69" s="111" t="n"/>
      <c r="LX69" s="111" t="n"/>
      <c r="LY69" s="111" t="n"/>
      <c r="LZ69" s="111" t="n"/>
      <c r="MA69" s="111" t="n"/>
      <c r="MB69" s="111" t="n"/>
      <c r="MC69" s="111" t="n"/>
      <c r="MD69" s="111" t="n"/>
      <c r="ME69" s="111" t="n"/>
      <c r="MF69" s="111" t="n"/>
      <c r="MG69" s="111" t="n"/>
      <c r="MH69" s="111" t="n"/>
      <c r="MI69" s="111" t="n"/>
      <c r="MJ69" s="111" t="n"/>
      <c r="MK69" s="111" t="n"/>
      <c r="ML69" s="111" t="n"/>
      <c r="MM69" s="111" t="n"/>
      <c r="MN69" s="111" t="n"/>
      <c r="MO69" s="111" t="n"/>
      <c r="MP69" s="111" t="n"/>
      <c r="MQ69" s="111" t="n"/>
      <c r="MR69" s="111" t="n"/>
      <c r="MS69" s="111" t="n"/>
      <c r="MT69" s="111" t="n"/>
      <c r="MU69" s="111" t="n"/>
      <c r="MV69" s="111" t="n"/>
      <c r="MW69" s="111" t="n"/>
      <c r="MX69" s="111" t="n"/>
      <c r="MY69" s="111" t="n"/>
      <c r="MZ69" s="111" t="n"/>
      <c r="NA69" s="111" t="n"/>
      <c r="NB69" s="111" t="n"/>
      <c r="NC69" s="111" t="n"/>
      <c r="ND69" s="111" t="n"/>
      <c r="NE69" s="111" t="n"/>
      <c r="NF69" s="111" t="n"/>
      <c r="NG69" s="111" t="n"/>
      <c r="NH69" s="111" t="n"/>
      <c r="NI69" s="111" t="n"/>
      <c r="NJ69" s="111" t="n"/>
      <c r="NK69" s="111" t="n"/>
      <c r="NL69" s="111" t="n"/>
      <c r="NM69" s="111" t="n"/>
      <c r="NN69" s="111" t="n"/>
      <c r="NO69" s="111" t="n"/>
      <c r="NP69" s="111" t="n"/>
      <c r="NQ69" s="111" t="n"/>
    </row>
    <row r="70" customFormat="1" s="17">
      <c r="A70" s="33">
        <f>IF(ISERROR(VALUE(SUBSTITUTE(OFFSET(A70,-1,0,1,1),".",""))),"0.1",IF(ISERROR(FIND("`",SUBSTITUTE(OFFSET(A70,-1,0,1,1),".","`",1))),OFFSET(A70,-1,0,1,1)&amp;".1",LEFT(OFFSET(A70,-1,0,1,1),FIND("`",SUBSTITUTE(OFFSET(A70,-1,0,1,1),".","`",1)))&amp;IF(ISERROR(FIND("`",SUBSTITUTE(OFFSET(A70,-1,0,1,1),".","`",2))),VALUE(RIGHT(OFFSET(A70,-1,0,1,1),LEN(OFFSET(A70,-1,0,1,1))-FIND("`",SUBSTITUTE(OFFSET(A70,-1,0,1,1),".","`",1))))+1,VALUE(MID(OFFSET(A70,-1,0,1,1),FIND("`",SUBSTITUTE(OFFSET(A70,-1,0,1,1),".","`",1))+1,(FIND("`",SUBSTITUTE(OFFSET(A70,-1,0,1,1),".","`",2))-FIND("`",SUBSTITUTE(OFFSET(A70,-1,0,1,1),".","`",1))-1)))+1)))</f>
        <v/>
      </c>
      <c r="B70" s="10" t="inlineStr">
        <is>
          <t>[ Level 2 Task (label only) ]</t>
        </is>
      </c>
      <c r="C70" s="11" t="n"/>
      <c r="D70" s="37" t="n"/>
      <c r="E70" s="37" t="n"/>
      <c r="F70" s="37" t="n"/>
      <c r="G70" s="275" t="n"/>
      <c r="H70" s="275" t="n"/>
      <c r="I70" s="275" t="n"/>
      <c r="J70" s="275" t="n"/>
      <c r="K70" s="21" t="n"/>
      <c r="L70" s="22" t="n"/>
      <c r="M70" s="15" t="n"/>
      <c r="N70" s="15" t="n"/>
      <c r="O70" s="14" t="n"/>
      <c r="P70" s="14" t="n"/>
      <c r="Q70" s="17" t="n"/>
      <c r="R70" s="111" t="n"/>
      <c r="S70" s="111" t="n"/>
      <c r="T70" s="111" t="n"/>
      <c r="U70" s="111" t="n"/>
      <c r="V70" s="111" t="n"/>
      <c r="W70" s="111" t="n"/>
      <c r="X70" s="111" t="n"/>
      <c r="Y70" s="111" t="n"/>
      <c r="Z70" s="111" t="n"/>
      <c r="AA70" s="111" t="n"/>
      <c r="AB70" s="111" t="n"/>
      <c r="AC70" s="111" t="n"/>
      <c r="AD70" s="111" t="n"/>
      <c r="AE70" s="111" t="n"/>
      <c r="AF70" s="111" t="n"/>
      <c r="AG70" s="111" t="n"/>
      <c r="AH70" s="111" t="n"/>
      <c r="AI70" s="111" t="n"/>
      <c r="AJ70" s="111" t="n"/>
      <c r="AK70" s="111" t="n"/>
      <c r="AL70" s="111" t="n"/>
      <c r="AM70" s="111" t="n"/>
      <c r="AN70" s="111" t="n"/>
      <c r="AO70" s="111" t="n"/>
      <c r="AP70" s="111" t="n"/>
      <c r="AQ70" s="111" t="n"/>
      <c r="AR70" s="111" t="n"/>
      <c r="AS70" s="111" t="n"/>
      <c r="AT70" s="111" t="n"/>
      <c r="AU70" s="111" t="n"/>
      <c r="AV70" s="111" t="n"/>
      <c r="AW70" s="111" t="n"/>
      <c r="AX70" s="111" t="n"/>
      <c r="AY70" s="111" t="n"/>
      <c r="AZ70" s="111" t="n"/>
      <c r="BA70" s="111" t="n"/>
      <c r="BB70" s="111" t="n"/>
      <c r="BC70" s="111" t="n"/>
      <c r="BD70" s="111" t="n"/>
      <c r="BE70" s="111" t="n"/>
      <c r="BF70" s="111" t="n"/>
      <c r="BG70" s="111" t="n"/>
      <c r="BH70" s="111" t="n"/>
      <c r="BI70" s="111" t="n"/>
      <c r="BJ70" s="111" t="n"/>
      <c r="BK70" s="111" t="n"/>
      <c r="BL70" s="111" t="n"/>
      <c r="BM70" s="111" t="n"/>
      <c r="BN70" s="111" t="n"/>
      <c r="BO70" s="111" t="n"/>
      <c r="BP70" s="111" t="n"/>
      <c r="BQ70" s="111" t="n"/>
      <c r="BR70" s="111" t="n"/>
      <c r="BS70" s="111" t="n"/>
      <c r="BT70" s="111" t="n"/>
      <c r="BU70" s="111" t="n"/>
      <c r="BV70" s="111" t="n"/>
      <c r="BW70" s="111" t="n"/>
      <c r="BX70" s="111" t="n"/>
      <c r="BY70" s="111" t="n"/>
      <c r="BZ70" s="111" t="n"/>
      <c r="CA70" s="111" t="n"/>
      <c r="CB70" s="111" t="n"/>
      <c r="CC70" s="111" t="n"/>
      <c r="CD70" s="111" t="n"/>
      <c r="CE70" s="111" t="n"/>
      <c r="CF70" s="111" t="n"/>
      <c r="CG70" s="111" t="n"/>
      <c r="CH70" s="111" t="n"/>
      <c r="CI70" s="111" t="n"/>
      <c r="CJ70" s="111" t="n"/>
      <c r="CK70" s="111" t="n"/>
      <c r="CL70" s="111" t="n"/>
      <c r="CM70" s="111" t="n"/>
      <c r="CN70" s="111" t="n"/>
      <c r="CO70" s="111" t="n"/>
      <c r="CP70" s="111" t="n"/>
      <c r="CQ70" s="111" t="n"/>
      <c r="CR70" s="111" t="n"/>
      <c r="CS70" s="111" t="n"/>
      <c r="CT70" s="111" t="n"/>
      <c r="CU70" s="111" t="n"/>
      <c r="CV70" s="111" t="n"/>
      <c r="CW70" s="111" t="n"/>
      <c r="CX70" s="111" t="n"/>
      <c r="CY70" s="111" t="n"/>
      <c r="CZ70" s="111" t="n"/>
      <c r="DA70" s="111" t="n"/>
      <c r="DB70" s="111" t="n"/>
      <c r="DC70" s="111" t="n"/>
      <c r="DD70" s="111" t="n"/>
      <c r="DE70" s="111" t="n"/>
      <c r="DF70" s="111" t="n"/>
      <c r="DG70" s="111" t="n"/>
      <c r="DH70" s="111" t="n"/>
      <c r="DI70" s="111" t="n"/>
      <c r="DJ70" s="111" t="n"/>
      <c r="DK70" s="111" t="n"/>
      <c r="DL70" s="111" t="n"/>
      <c r="DM70" s="111" t="n"/>
      <c r="DN70" s="111" t="n"/>
      <c r="DO70" s="111" t="n"/>
      <c r="DP70" s="111" t="n"/>
      <c r="DQ70" s="111" t="n"/>
      <c r="DR70" s="111" t="n"/>
      <c r="DS70" s="111" t="n"/>
      <c r="DT70" s="111" t="n"/>
      <c r="DU70" s="111" t="n"/>
      <c r="DV70" s="111" t="n"/>
      <c r="DW70" s="111" t="n"/>
      <c r="DX70" s="111" t="n"/>
      <c r="DY70" s="111" t="n"/>
      <c r="DZ70" s="111" t="n"/>
      <c r="EA70" s="111" t="n"/>
      <c r="EB70" s="111" t="n"/>
      <c r="EC70" s="111" t="n"/>
      <c r="ED70" s="111" t="n"/>
      <c r="EE70" s="111" t="n"/>
      <c r="EF70" s="111" t="n"/>
      <c r="EG70" s="111" t="n"/>
      <c r="EH70" s="111" t="n"/>
      <c r="EI70" s="111" t="n"/>
      <c r="EJ70" s="111" t="n"/>
      <c r="EK70" s="111" t="n"/>
      <c r="EL70" s="111" t="n"/>
      <c r="EM70" s="111" t="n"/>
      <c r="EN70" s="111" t="n"/>
      <c r="EO70" s="111" t="n"/>
      <c r="EP70" s="111" t="n"/>
      <c r="EQ70" s="111" t="n"/>
      <c r="ER70" s="111" t="n"/>
      <c r="ES70" s="111" t="n"/>
      <c r="ET70" s="111" t="n"/>
      <c r="EU70" s="111" t="n"/>
      <c r="EV70" s="111" t="n"/>
      <c r="EW70" s="111" t="n"/>
      <c r="EX70" s="111" t="n"/>
      <c r="EY70" s="111" t="n"/>
      <c r="EZ70" s="111" t="n"/>
      <c r="FA70" s="111" t="n"/>
      <c r="FB70" s="111" t="n"/>
      <c r="FC70" s="111" t="n"/>
      <c r="FD70" s="111" t="n"/>
      <c r="FE70" s="111" t="n"/>
      <c r="FF70" s="111" t="n"/>
      <c r="FG70" s="111" t="n"/>
      <c r="FH70" s="111" t="n"/>
      <c r="FI70" s="111" t="n"/>
      <c r="FJ70" s="111" t="n"/>
      <c r="FK70" s="111" t="n"/>
      <c r="FL70" s="111" t="n"/>
      <c r="FM70" s="111" t="n"/>
      <c r="FN70" s="111" t="n"/>
      <c r="FO70" s="111" t="n"/>
      <c r="FP70" s="111" t="n"/>
      <c r="FQ70" s="111" t="n"/>
      <c r="FR70" s="111" t="n"/>
      <c r="FS70" s="111" t="n"/>
      <c r="FT70" s="111" t="n"/>
      <c r="FU70" s="111" t="n"/>
      <c r="FV70" s="111" t="n"/>
      <c r="FW70" s="111" t="n"/>
      <c r="FX70" s="111" t="n"/>
      <c r="FY70" s="111" t="n"/>
      <c r="FZ70" s="111" t="n"/>
      <c r="GA70" s="111" t="n"/>
      <c r="GB70" s="111" t="n"/>
      <c r="GC70" s="111" t="n"/>
      <c r="GD70" s="111" t="n"/>
      <c r="GE70" s="111" t="n"/>
      <c r="GF70" s="111" t="n"/>
      <c r="GG70" s="111" t="n"/>
      <c r="GH70" s="111" t="n"/>
      <c r="GI70" s="111" t="n"/>
      <c r="GJ70" s="111" t="n"/>
      <c r="GK70" s="111" t="n"/>
      <c r="GL70" s="111" t="n"/>
      <c r="GM70" s="111" t="n"/>
      <c r="GN70" s="111" t="n"/>
      <c r="GO70" s="111" t="n"/>
      <c r="GP70" s="111" t="n"/>
      <c r="GQ70" s="111" t="n"/>
      <c r="GR70" s="111" t="n"/>
      <c r="GS70" s="111" t="n"/>
      <c r="GT70" s="111" t="n"/>
      <c r="GU70" s="111" t="n"/>
      <c r="GV70" s="111" t="n"/>
      <c r="GW70" s="111" t="n"/>
      <c r="GX70" s="111" t="n"/>
      <c r="GY70" s="111" t="n"/>
      <c r="GZ70" s="111" t="n"/>
      <c r="HA70" s="111" t="n"/>
      <c r="HB70" s="111" t="n"/>
      <c r="HC70" s="111" t="n"/>
      <c r="HD70" s="111" t="n"/>
      <c r="HE70" s="111" t="n"/>
      <c r="HF70" s="111" t="n"/>
      <c r="HG70" s="111" t="n"/>
      <c r="HH70" s="111" t="n"/>
      <c r="HI70" s="111" t="n"/>
      <c r="HJ70" s="111" t="n"/>
      <c r="HK70" s="111" t="n"/>
      <c r="HL70" s="111" t="n"/>
      <c r="HM70" s="111" t="n"/>
      <c r="HN70" s="111" t="n"/>
      <c r="HO70" s="111" t="n"/>
      <c r="HP70" s="111" t="n"/>
      <c r="HQ70" s="111" t="n"/>
      <c r="HR70" s="111" t="n"/>
      <c r="HS70" s="111" t="n"/>
      <c r="HT70" s="111" t="n"/>
      <c r="HU70" s="111" t="n"/>
      <c r="HV70" s="111" t="n"/>
      <c r="HW70" s="111" t="n"/>
      <c r="HX70" s="111" t="n"/>
      <c r="HY70" s="111" t="n"/>
      <c r="HZ70" s="111" t="n"/>
      <c r="IA70" s="111" t="n"/>
      <c r="IB70" s="111" t="n"/>
      <c r="IC70" s="111" t="n"/>
      <c r="ID70" s="111" t="n"/>
      <c r="IE70" s="111" t="n"/>
      <c r="IF70" s="111" t="n"/>
      <c r="IG70" s="111" t="n"/>
      <c r="IH70" s="111" t="n"/>
      <c r="II70" s="111" t="n"/>
      <c r="IJ70" s="111" t="n"/>
      <c r="IK70" s="111" t="n"/>
      <c r="IL70" s="111" t="n"/>
      <c r="IM70" s="111" t="n"/>
      <c r="IN70" s="111" t="n"/>
      <c r="IO70" s="111" t="n"/>
      <c r="IP70" s="111" t="n"/>
      <c r="IQ70" s="111" t="n"/>
      <c r="IR70" s="111" t="n"/>
      <c r="IS70" s="111" t="n"/>
      <c r="IT70" s="111" t="n"/>
      <c r="IU70" s="111" t="n"/>
      <c r="IV70" s="111" t="n"/>
      <c r="IW70" s="111" t="n"/>
      <c r="IX70" s="111" t="n"/>
      <c r="IY70" s="111" t="n"/>
      <c r="IZ70" s="111" t="n"/>
      <c r="JA70" s="111" t="n"/>
      <c r="JB70" s="111" t="n"/>
      <c r="JC70" s="111" t="n"/>
      <c r="JD70" s="111" t="n"/>
      <c r="JE70" s="111" t="n"/>
      <c r="JF70" s="111" t="n"/>
      <c r="JG70" s="111" t="n"/>
      <c r="JH70" s="111" t="n"/>
      <c r="JI70" s="111" t="n"/>
      <c r="JJ70" s="111" t="n"/>
      <c r="JK70" s="111" t="n"/>
      <c r="JL70" s="111" t="n"/>
      <c r="JM70" s="111" t="n"/>
      <c r="JN70" s="111" t="n"/>
      <c r="JO70" s="111" t="n"/>
      <c r="JP70" s="111" t="n"/>
      <c r="JQ70" s="111" t="n"/>
      <c r="JR70" s="111" t="n"/>
      <c r="JS70" s="111" t="n"/>
      <c r="JT70" s="111" t="n"/>
      <c r="JU70" s="111" t="n"/>
      <c r="JV70" s="111" t="n"/>
      <c r="JW70" s="111" t="n"/>
      <c r="JX70" s="111" t="n"/>
      <c r="JY70" s="111" t="n"/>
      <c r="JZ70" s="111" t="n"/>
      <c r="KA70" s="111" t="n"/>
      <c r="KB70" s="111" t="n"/>
      <c r="KC70" s="111" t="n"/>
      <c r="KD70" s="111" t="n"/>
      <c r="KE70" s="111" t="n"/>
      <c r="KF70" s="111" t="n"/>
      <c r="KG70" s="111" t="n"/>
      <c r="KH70" s="111" t="n"/>
      <c r="KI70" s="111" t="n"/>
      <c r="KJ70" s="111" t="n"/>
      <c r="KK70" s="111" t="n"/>
      <c r="KL70" s="111" t="n"/>
      <c r="KM70" s="111" t="n"/>
      <c r="KN70" s="111" t="n"/>
      <c r="KO70" s="111" t="n"/>
      <c r="KP70" s="111" t="n"/>
      <c r="KQ70" s="111" t="n"/>
      <c r="KR70" s="111" t="n"/>
      <c r="KS70" s="111" t="n"/>
      <c r="KT70" s="111" t="n"/>
      <c r="KU70" s="111" t="n"/>
      <c r="KV70" s="111" t="n"/>
      <c r="KW70" s="111" t="n"/>
      <c r="KX70" s="111" t="n"/>
      <c r="KY70" s="111" t="n"/>
      <c r="KZ70" s="111" t="n"/>
      <c r="LA70" s="111" t="n"/>
      <c r="LB70" s="111" t="n"/>
      <c r="LC70" s="111" t="n"/>
      <c r="LD70" s="111" t="n"/>
      <c r="LE70" s="111" t="n"/>
      <c r="LF70" s="111" t="n"/>
      <c r="LG70" s="111" t="n"/>
      <c r="LH70" s="111" t="n"/>
      <c r="LI70" s="111" t="n"/>
      <c r="LJ70" s="111" t="n"/>
      <c r="LK70" s="111" t="n"/>
      <c r="LL70" s="111" t="n"/>
      <c r="LM70" s="111" t="n"/>
      <c r="LN70" s="111" t="n"/>
      <c r="LO70" s="111" t="n"/>
      <c r="LP70" s="111" t="n"/>
      <c r="LQ70" s="111" t="n"/>
      <c r="LR70" s="111" t="n"/>
      <c r="LS70" s="111" t="n"/>
      <c r="LT70" s="111" t="n"/>
      <c r="LU70" s="111" t="n"/>
      <c r="LV70" s="111" t="n"/>
      <c r="LW70" s="111" t="n"/>
      <c r="LX70" s="111" t="n"/>
      <c r="LY70" s="111" t="n"/>
      <c r="LZ70" s="111" t="n"/>
      <c r="MA70" s="111" t="n"/>
      <c r="MB70" s="111" t="n"/>
      <c r="MC70" s="111" t="n"/>
      <c r="MD70" s="111" t="n"/>
      <c r="ME70" s="111" t="n"/>
      <c r="MF70" s="111" t="n"/>
      <c r="MG70" s="111" t="n"/>
      <c r="MH70" s="111" t="n"/>
      <c r="MI70" s="111" t="n"/>
      <c r="MJ70" s="111" t="n"/>
      <c r="MK70" s="111" t="n"/>
      <c r="ML70" s="111" t="n"/>
      <c r="MM70" s="111" t="n"/>
      <c r="MN70" s="111" t="n"/>
      <c r="MO70" s="111" t="n"/>
      <c r="MP70" s="111" t="n"/>
      <c r="MQ70" s="111" t="n"/>
      <c r="MR70" s="111" t="n"/>
      <c r="MS70" s="111" t="n"/>
      <c r="MT70" s="111" t="n"/>
      <c r="MU70" s="111" t="n"/>
      <c r="MV70" s="111" t="n"/>
      <c r="MW70" s="111" t="n"/>
      <c r="MX70" s="111" t="n"/>
      <c r="MY70" s="111" t="n"/>
      <c r="MZ70" s="111" t="n"/>
      <c r="NA70" s="111" t="n"/>
      <c r="NB70" s="111" t="n"/>
      <c r="NC70" s="111" t="n"/>
      <c r="ND70" s="111" t="n"/>
      <c r="NE70" s="111" t="n"/>
      <c r="NF70" s="111" t="n"/>
      <c r="NG70" s="111" t="n"/>
      <c r="NH70" s="111" t="n"/>
      <c r="NI70" s="111" t="n"/>
      <c r="NJ70" s="111" t="n"/>
      <c r="NK70" s="111" t="n"/>
      <c r="NL70" s="111" t="n"/>
      <c r="NM70" s="111" t="n"/>
      <c r="NN70" s="111" t="n"/>
      <c r="NO70" s="111" t="n"/>
      <c r="NP70" s="111" t="n"/>
      <c r="NQ70" s="111" t="n"/>
    </row>
    <row r="71" customFormat="1" s="17">
      <c r="A71" s="33">
        <f>IF(ISERROR(VALUE(SUBSTITUTE(OFFSET(A71,-1,0,1,1),".",""))),"0.0.1",IF(ISERROR(FIND("`",SUBSTITUTE(OFFSET(A71,-1,0,1,1),".","`",2))),OFFSET(A71,-1,0,1,1)&amp;".1",LEFT(OFFSET(A71,-1,0,1,1),FIND("`",SUBSTITUTE(OFFSET(A71,-1,0,1,1),".","`",2)))&amp;IF(ISERROR(FIND("`",SUBSTITUTE(OFFSET(A71,-1,0,1,1),".","`",3))),VALUE(RIGHT(OFFSET(A71,-1,0,1,1),LEN(OFFSET(A71,-1,0,1,1))-FIND("`",SUBSTITUTE(OFFSET(A71,-1,0,1,1),".","`",2))))+1,VALUE(MID(OFFSET(A71,-1,0,1,1),FIND("`",SUBSTITUTE(OFFSET(A71,-1,0,1,1),".","`",2))+1,(FIND("`",SUBSTITUTE(OFFSET(A71,-1,0,1,1),".","`",3))-FIND("`",SUBSTITUTE(OFFSET(A71,-1,0,1,1),".","`",2))-1)))+1)))</f>
        <v/>
      </c>
      <c r="B71" s="18" t="inlineStr">
        <is>
          <t>[ Level 3 Task (label only) ]</t>
        </is>
      </c>
      <c r="C71" s="11" t="n"/>
      <c r="D71" s="37" t="n"/>
      <c r="E71" s="37" t="n"/>
      <c r="F71" s="37" t="n"/>
      <c r="G71" s="275" t="n"/>
      <c r="H71" s="275" t="n"/>
      <c r="I71" s="275" t="n"/>
      <c r="J71" s="275" t="n"/>
      <c r="K71" s="21" t="n"/>
      <c r="L71" s="22" t="n"/>
      <c r="M71" s="15" t="n"/>
      <c r="N71" s="15" t="n"/>
      <c r="O71" s="14" t="n"/>
      <c r="P71" s="14" t="n"/>
      <c r="Q71" s="17" t="n"/>
      <c r="R71" s="111" t="n"/>
      <c r="S71" s="111" t="n"/>
      <c r="T71" s="111" t="n"/>
      <c r="U71" s="111" t="n"/>
      <c r="V71" s="111" t="n"/>
      <c r="W71" s="111" t="n"/>
      <c r="X71" s="111" t="n"/>
      <c r="Y71" s="111" t="n"/>
      <c r="Z71" s="111" t="n"/>
      <c r="AA71" s="111" t="n"/>
      <c r="AB71" s="111" t="n"/>
      <c r="AC71" s="111" t="n"/>
      <c r="AD71" s="111" t="n"/>
      <c r="AE71" s="111" t="n"/>
      <c r="AF71" s="111" t="n"/>
      <c r="AG71" s="111" t="n"/>
      <c r="AH71" s="111" t="n"/>
      <c r="AI71" s="111" t="n"/>
      <c r="AJ71" s="111" t="n"/>
      <c r="AK71" s="111" t="n"/>
      <c r="AL71" s="111" t="n"/>
      <c r="AM71" s="111" t="n"/>
      <c r="AN71" s="111" t="n"/>
      <c r="AO71" s="111" t="n"/>
      <c r="AP71" s="111" t="n"/>
      <c r="AQ71" s="111" t="n"/>
      <c r="AR71" s="111" t="n"/>
      <c r="AS71" s="111" t="n"/>
      <c r="AT71" s="111" t="n"/>
      <c r="AU71" s="111" t="n"/>
      <c r="AV71" s="111" t="n"/>
      <c r="AW71" s="111" t="n"/>
      <c r="AX71" s="111" t="n"/>
      <c r="AY71" s="111" t="n"/>
      <c r="AZ71" s="111" t="n"/>
      <c r="BA71" s="111" t="n"/>
      <c r="BB71" s="111" t="n"/>
      <c r="BC71" s="111" t="n"/>
      <c r="BD71" s="111" t="n"/>
      <c r="BE71" s="111" t="n"/>
      <c r="BF71" s="111" t="n"/>
      <c r="BG71" s="111" t="n"/>
      <c r="BH71" s="111" t="n"/>
      <c r="BI71" s="111"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1" t="n"/>
      <c r="CC71" s="111" t="n"/>
      <c r="CD71" s="111" t="n"/>
      <c r="CE71" s="111" t="n"/>
      <c r="CF71" s="111" t="n"/>
      <c r="CG71" s="111" t="n"/>
      <c r="CH71" s="111" t="n"/>
      <c r="CI71" s="111" t="n"/>
      <c r="CJ71" s="111" t="n"/>
      <c r="CK71" s="111" t="n"/>
      <c r="CL71" s="111" t="n"/>
      <c r="CM71" s="111" t="n"/>
      <c r="CN71" s="111" t="n"/>
      <c r="CO71" s="111" t="n"/>
      <c r="CP71" s="111" t="n"/>
      <c r="CQ71" s="111" t="n"/>
      <c r="CR71" s="111" t="n"/>
      <c r="CS71" s="111" t="n"/>
      <c r="CT71" s="111" t="n"/>
      <c r="CU71" s="111" t="n"/>
      <c r="CV71" s="111" t="n"/>
      <c r="CW71" s="111" t="n"/>
      <c r="CX71" s="111" t="n"/>
      <c r="CY71" s="111" t="n"/>
      <c r="CZ71" s="111" t="n"/>
      <c r="DA71" s="111" t="n"/>
      <c r="DB71" s="111" t="n"/>
      <c r="DC71" s="111" t="n"/>
      <c r="DD71" s="111" t="n"/>
      <c r="DE71" s="111" t="n"/>
      <c r="DF71" s="111" t="n"/>
      <c r="DG71" s="111" t="n"/>
      <c r="DH71" s="111" t="n"/>
      <c r="DI71" s="111" t="n"/>
      <c r="DJ71" s="111" t="n"/>
      <c r="DK71" s="111" t="n"/>
      <c r="DL71" s="111" t="n"/>
      <c r="DM71" s="111" t="n"/>
      <c r="DN71" s="111" t="n"/>
      <c r="DO71" s="111" t="n"/>
      <c r="DP71" s="111" t="n"/>
      <c r="DQ71" s="111" t="n"/>
      <c r="DR71" s="111" t="n"/>
      <c r="DS71" s="111" t="n"/>
      <c r="DT71" s="111" t="n"/>
      <c r="DU71" s="111" t="n"/>
      <c r="DV71" s="111" t="n"/>
      <c r="DW71" s="111" t="n"/>
      <c r="DX71" s="111" t="n"/>
      <c r="DY71" s="111" t="n"/>
      <c r="DZ71" s="111" t="n"/>
      <c r="EA71" s="111" t="n"/>
      <c r="EB71" s="111" t="n"/>
      <c r="EC71" s="111" t="n"/>
      <c r="ED71" s="111" t="n"/>
      <c r="EE71" s="111" t="n"/>
      <c r="EF71" s="111" t="n"/>
      <c r="EG71" s="111" t="n"/>
      <c r="EH71" s="111" t="n"/>
      <c r="EI71" s="111" t="n"/>
      <c r="EJ71" s="111" t="n"/>
      <c r="EK71" s="111" t="n"/>
      <c r="EL71" s="111" t="n"/>
      <c r="EM71" s="111" t="n"/>
      <c r="EN71" s="111" t="n"/>
      <c r="EO71" s="111" t="n"/>
      <c r="EP71" s="111" t="n"/>
      <c r="EQ71" s="111" t="n"/>
      <c r="ER71" s="111" t="n"/>
      <c r="ES71" s="111" t="n"/>
      <c r="ET71" s="111" t="n"/>
      <c r="EU71" s="111" t="n"/>
      <c r="EV71" s="111" t="n"/>
      <c r="EW71" s="111" t="n"/>
      <c r="EX71" s="111" t="n"/>
      <c r="EY71" s="111" t="n"/>
      <c r="EZ71" s="111" t="n"/>
      <c r="FA71" s="111" t="n"/>
      <c r="FB71" s="111" t="n"/>
      <c r="FC71" s="111" t="n"/>
      <c r="FD71" s="111" t="n"/>
      <c r="FE71" s="111" t="n"/>
      <c r="FF71" s="111" t="n"/>
      <c r="FG71" s="111" t="n"/>
      <c r="FH71" s="111" t="n"/>
      <c r="FI71" s="111" t="n"/>
      <c r="FJ71" s="111" t="n"/>
      <c r="FK71" s="111" t="n"/>
      <c r="FL71" s="111" t="n"/>
      <c r="FM71" s="111" t="n"/>
      <c r="FN71" s="111" t="n"/>
      <c r="FO71" s="111" t="n"/>
      <c r="FP71" s="111" t="n"/>
      <c r="FQ71" s="111" t="n"/>
      <c r="FR71" s="111" t="n"/>
      <c r="FS71" s="111" t="n"/>
      <c r="FT71" s="111" t="n"/>
      <c r="FU71" s="111" t="n"/>
      <c r="FV71" s="111" t="n"/>
      <c r="FW71" s="111" t="n"/>
      <c r="FX71" s="111" t="n"/>
      <c r="FY71" s="111" t="n"/>
      <c r="FZ71" s="111" t="n"/>
      <c r="GA71" s="111" t="n"/>
      <c r="GB71" s="111" t="n"/>
      <c r="GC71" s="111" t="n"/>
      <c r="GD71" s="111" t="n"/>
      <c r="GE71" s="111" t="n"/>
      <c r="GF71" s="111" t="n"/>
      <c r="GG71" s="111" t="n"/>
      <c r="GH71" s="111" t="n"/>
      <c r="GI71" s="111" t="n"/>
      <c r="GJ71" s="111" t="n"/>
      <c r="GK71" s="111" t="n"/>
      <c r="GL71" s="111" t="n"/>
      <c r="GM71" s="111" t="n"/>
      <c r="GN71" s="111" t="n"/>
      <c r="GO71" s="111" t="n"/>
      <c r="GP71" s="111" t="n"/>
      <c r="GQ71" s="111" t="n"/>
      <c r="GR71" s="111" t="n"/>
      <c r="GS71" s="111" t="n"/>
      <c r="GT71" s="111" t="n"/>
      <c r="GU71" s="111" t="n"/>
      <c r="GV71" s="111" t="n"/>
      <c r="GW71" s="111" t="n"/>
      <c r="GX71" s="111" t="n"/>
      <c r="GY71" s="111" t="n"/>
      <c r="GZ71" s="111" t="n"/>
      <c r="HA71" s="111" t="n"/>
      <c r="HB71" s="111" t="n"/>
      <c r="HC71" s="111" t="n"/>
      <c r="HD71" s="111" t="n"/>
      <c r="HE71" s="111" t="n"/>
      <c r="HF71" s="111" t="n"/>
      <c r="HG71" s="111" t="n"/>
      <c r="HH71" s="111" t="n"/>
      <c r="HI71" s="111" t="n"/>
      <c r="HJ71" s="111" t="n"/>
      <c r="HK71" s="111" t="n"/>
      <c r="HL71" s="111" t="n"/>
      <c r="HM71" s="111" t="n"/>
      <c r="HN71" s="111" t="n"/>
      <c r="HO71" s="111" t="n"/>
      <c r="HP71" s="111" t="n"/>
      <c r="HQ71" s="111" t="n"/>
      <c r="HR71" s="111" t="n"/>
      <c r="HS71" s="111" t="n"/>
      <c r="HT71" s="111" t="n"/>
      <c r="HU71" s="111" t="n"/>
      <c r="HV71" s="111" t="n"/>
      <c r="HW71" s="111" t="n"/>
      <c r="HX71" s="111" t="n"/>
      <c r="HY71" s="111" t="n"/>
      <c r="HZ71" s="111" t="n"/>
      <c r="IA71" s="111" t="n"/>
      <c r="IB71" s="111" t="n"/>
      <c r="IC71" s="111" t="n"/>
      <c r="ID71" s="111" t="n"/>
      <c r="IE71" s="111" t="n"/>
      <c r="IF71" s="111" t="n"/>
      <c r="IG71" s="111" t="n"/>
      <c r="IH71" s="111" t="n"/>
      <c r="II71" s="111" t="n"/>
      <c r="IJ71" s="111" t="n"/>
      <c r="IK71" s="111" t="n"/>
      <c r="IL71" s="111" t="n"/>
      <c r="IM71" s="111" t="n"/>
      <c r="IN71" s="111" t="n"/>
      <c r="IO71" s="111" t="n"/>
      <c r="IP71" s="111" t="n"/>
      <c r="IQ71" s="111" t="n"/>
      <c r="IR71" s="111" t="n"/>
      <c r="IS71" s="111" t="n"/>
      <c r="IT71" s="111" t="n"/>
      <c r="IU71" s="111" t="n"/>
      <c r="IV71" s="111" t="n"/>
      <c r="IW71" s="111" t="n"/>
      <c r="IX71" s="111" t="n"/>
      <c r="IY71" s="111" t="n"/>
      <c r="IZ71" s="111" t="n"/>
      <c r="JA71" s="111" t="n"/>
      <c r="JB71" s="111" t="n"/>
      <c r="JC71" s="111" t="n"/>
      <c r="JD71" s="111" t="n"/>
      <c r="JE71" s="111" t="n"/>
      <c r="JF71" s="111" t="n"/>
      <c r="JG71" s="111" t="n"/>
      <c r="JH71" s="111" t="n"/>
      <c r="JI71" s="111" t="n"/>
      <c r="JJ71" s="111" t="n"/>
      <c r="JK71" s="111" t="n"/>
      <c r="JL71" s="111" t="n"/>
      <c r="JM71" s="111" t="n"/>
      <c r="JN71" s="111" t="n"/>
      <c r="JO71" s="111" t="n"/>
      <c r="JP71" s="111" t="n"/>
      <c r="JQ71" s="111" t="n"/>
      <c r="JR71" s="111" t="n"/>
      <c r="JS71" s="111" t="n"/>
      <c r="JT71" s="111" t="n"/>
      <c r="JU71" s="111" t="n"/>
      <c r="JV71" s="111" t="n"/>
      <c r="JW71" s="111" t="n"/>
      <c r="JX71" s="111" t="n"/>
      <c r="JY71" s="111" t="n"/>
      <c r="JZ71" s="111" t="n"/>
      <c r="KA71" s="111" t="n"/>
      <c r="KB71" s="111" t="n"/>
      <c r="KC71" s="111" t="n"/>
      <c r="KD71" s="111" t="n"/>
      <c r="KE71" s="111" t="n"/>
      <c r="KF71" s="111" t="n"/>
      <c r="KG71" s="111" t="n"/>
      <c r="KH71" s="111" t="n"/>
      <c r="KI71" s="111" t="n"/>
      <c r="KJ71" s="111" t="n"/>
      <c r="KK71" s="111" t="n"/>
      <c r="KL71" s="111" t="n"/>
      <c r="KM71" s="111" t="n"/>
      <c r="KN71" s="111" t="n"/>
      <c r="KO71" s="111" t="n"/>
      <c r="KP71" s="111" t="n"/>
      <c r="KQ71" s="111" t="n"/>
      <c r="KR71" s="111" t="n"/>
      <c r="KS71" s="111" t="n"/>
      <c r="KT71" s="111" t="n"/>
      <c r="KU71" s="111" t="n"/>
      <c r="KV71" s="111" t="n"/>
      <c r="KW71" s="111" t="n"/>
      <c r="KX71" s="111" t="n"/>
      <c r="KY71" s="111" t="n"/>
      <c r="KZ71" s="111" t="n"/>
      <c r="LA71" s="111" t="n"/>
      <c r="LB71" s="111" t="n"/>
      <c r="LC71" s="111" t="n"/>
      <c r="LD71" s="111" t="n"/>
      <c r="LE71" s="111" t="n"/>
      <c r="LF71" s="111" t="n"/>
      <c r="LG71" s="111" t="n"/>
      <c r="LH71" s="111" t="n"/>
      <c r="LI71" s="111" t="n"/>
      <c r="LJ71" s="111" t="n"/>
      <c r="LK71" s="111" t="n"/>
      <c r="LL71" s="111" t="n"/>
      <c r="LM71" s="111" t="n"/>
      <c r="LN71" s="111" t="n"/>
      <c r="LO71" s="111" t="n"/>
      <c r="LP71" s="111" t="n"/>
      <c r="LQ71" s="111" t="n"/>
      <c r="LR71" s="111" t="n"/>
      <c r="LS71" s="111" t="n"/>
      <c r="LT71" s="111" t="n"/>
      <c r="LU71" s="111" t="n"/>
      <c r="LV71" s="111" t="n"/>
      <c r="LW71" s="111" t="n"/>
      <c r="LX71" s="111" t="n"/>
      <c r="LY71" s="111" t="n"/>
      <c r="LZ71" s="111" t="n"/>
      <c r="MA71" s="111" t="n"/>
      <c r="MB71" s="111" t="n"/>
      <c r="MC71" s="111" t="n"/>
      <c r="MD71" s="111" t="n"/>
      <c r="ME71" s="111" t="n"/>
      <c r="MF71" s="111" t="n"/>
      <c r="MG71" s="111" t="n"/>
      <c r="MH71" s="111" t="n"/>
      <c r="MI71" s="111" t="n"/>
      <c r="MJ71" s="111" t="n"/>
      <c r="MK71" s="111" t="n"/>
      <c r="ML71" s="111" t="n"/>
      <c r="MM71" s="111" t="n"/>
      <c r="MN71" s="111" t="n"/>
      <c r="MO71" s="111" t="n"/>
      <c r="MP71" s="111" t="n"/>
      <c r="MQ71" s="111" t="n"/>
      <c r="MR71" s="111" t="n"/>
      <c r="MS71" s="111" t="n"/>
      <c r="MT71" s="111" t="n"/>
      <c r="MU71" s="111" t="n"/>
      <c r="MV71" s="111" t="n"/>
      <c r="MW71" s="111" t="n"/>
      <c r="MX71" s="111" t="n"/>
      <c r="MY71" s="111" t="n"/>
      <c r="MZ71" s="111" t="n"/>
      <c r="NA71" s="111" t="n"/>
      <c r="NB71" s="111" t="n"/>
      <c r="NC71" s="111" t="n"/>
      <c r="ND71" s="111" t="n"/>
      <c r="NE71" s="111" t="n"/>
      <c r="NF71" s="111" t="n"/>
      <c r="NG71" s="111" t="n"/>
      <c r="NH71" s="111" t="n"/>
      <c r="NI71" s="111" t="n"/>
      <c r="NJ71" s="111" t="n"/>
      <c r="NK71" s="111" t="n"/>
      <c r="NL71" s="111" t="n"/>
      <c r="NM71" s="111" t="n"/>
      <c r="NN71" s="111" t="n"/>
      <c r="NO71" s="111" t="n"/>
      <c r="NP71" s="111" t="n"/>
      <c r="NQ71" s="111" t="n"/>
    </row>
    <row r="72" customFormat="1" s="17">
      <c r="A72" s="33">
        <f>IF(ISERROR(VALUE(SUBSTITUTE(OFFSET(A72,-1,0,1,1),".",""))),"0.0.0.1",IF(ISERROR(FIND("`",SUBSTITUTE(OFFSET(A72,-1,0,1,1),".","`",3))),OFFSET(A72,-1,0,1,1)&amp;".1",LEFT(OFFSET(A72,-1,0,1,1),FIND("`",SUBSTITUTE(OFFSET(A72,-1,0,1,1),".","`",3)))&amp;IF(ISERROR(FIND("`",SUBSTITUTE(OFFSET(A72,-1,0,1,1),".","`",4))),VALUE(RIGHT(OFFSET(A72,-1,0,1,1),LEN(OFFSET(A72,-1,0,1,1))-FIND("`",SUBSTITUTE(OFFSET(A72,-1,0,1,1),".","`",3))))+1,VALUE(MID(OFFSET(A72,-1,0,1,1),FIND("`",SUBSTITUTE(OFFSET(A72,-1,0,1,1),".","`",3))+1,(FIND("`",SUBSTITUTE(OFFSET(A72,-1,0,1,1),".","`",4))-FIND("`",SUBSTITUTE(OFFSET(A72,-1,0,1,1),".","`",3))-1)))+1)))</f>
        <v/>
      </c>
      <c r="B72" s="19" t="inlineStr">
        <is>
          <t>[ Level 4 task (label only) ]</t>
        </is>
      </c>
      <c r="C72" s="11" t="n"/>
      <c r="D72" s="37" t="n"/>
      <c r="E72" s="37" t="n"/>
      <c r="F72" s="37" t="n"/>
      <c r="G72" s="275" t="n"/>
      <c r="H72" s="275" t="n"/>
      <c r="I72" s="275" t="n"/>
      <c r="J72" s="275" t="n"/>
      <c r="K72" s="21" t="n"/>
      <c r="L72" s="22" t="n"/>
      <c r="M72" s="15" t="n"/>
      <c r="N72" s="15" t="n"/>
      <c r="O72" s="14" t="n"/>
      <c r="P72" s="14" t="n"/>
      <c r="Q72" s="17" t="n"/>
      <c r="R72" s="111" t="n"/>
      <c r="S72" s="111" t="n"/>
      <c r="T72" s="111" t="n"/>
      <c r="U72" s="111" t="n"/>
      <c r="V72" s="111" t="n"/>
      <c r="W72" s="111" t="n"/>
      <c r="X72" s="111" t="n"/>
      <c r="Y72" s="111" t="n"/>
      <c r="Z72" s="111" t="n"/>
      <c r="AA72" s="111" t="n"/>
      <c r="AB72" s="111" t="n"/>
      <c r="AC72" s="111" t="n"/>
      <c r="AD72" s="111" t="n"/>
      <c r="AE72" s="111" t="n"/>
      <c r="AF72" s="111" t="n"/>
      <c r="AG72" s="111" t="n"/>
      <c r="AH72" s="111" t="n"/>
      <c r="AI72" s="111" t="n"/>
      <c r="AJ72" s="111" t="n"/>
      <c r="AK72" s="111" t="n"/>
      <c r="AL72" s="111" t="n"/>
      <c r="AM72" s="111" t="n"/>
      <c r="AN72" s="111" t="n"/>
      <c r="AO72" s="111" t="n"/>
      <c r="AP72" s="111" t="n"/>
      <c r="AQ72" s="111" t="n"/>
      <c r="AR72" s="111" t="n"/>
      <c r="AS72" s="111" t="n"/>
      <c r="AT72" s="111" t="n"/>
      <c r="AU72" s="111" t="n"/>
      <c r="AV72" s="111" t="n"/>
      <c r="AW72" s="111" t="n"/>
      <c r="AX72" s="111" t="n"/>
      <c r="AY72" s="111" t="n"/>
      <c r="AZ72" s="111" t="n"/>
      <c r="BA72" s="111" t="n"/>
      <c r="BB72" s="111" t="n"/>
      <c r="BC72" s="111" t="n"/>
      <c r="BD72" s="111" t="n"/>
      <c r="BE72" s="111" t="n"/>
      <c r="BF72" s="111" t="n"/>
      <c r="BG72" s="111" t="n"/>
      <c r="BH72" s="111" t="n"/>
      <c r="BI72" s="111" t="n"/>
      <c r="BJ72" s="111" t="n"/>
      <c r="BK72" s="111" t="n"/>
      <c r="BL72" s="111" t="n"/>
      <c r="BM72" s="111" t="n"/>
      <c r="BN72" s="111" t="n"/>
      <c r="BO72" s="111" t="n"/>
      <c r="BP72" s="111" t="n"/>
      <c r="BQ72" s="111" t="n"/>
      <c r="BR72" s="111" t="n"/>
      <c r="BS72" s="111" t="n"/>
      <c r="BT72" s="111" t="n"/>
      <c r="BU72" s="111" t="n"/>
      <c r="BV72" s="111" t="n"/>
      <c r="BW72" s="111" t="n"/>
      <c r="BX72" s="111" t="n"/>
      <c r="BY72" s="111" t="n"/>
      <c r="BZ72" s="111" t="n"/>
      <c r="CA72" s="111" t="n"/>
      <c r="CB72" s="111" t="n"/>
      <c r="CC72" s="111" t="n"/>
      <c r="CD72" s="111" t="n"/>
      <c r="CE72" s="111" t="n"/>
      <c r="CF72" s="111" t="n"/>
      <c r="CG72" s="111" t="n"/>
      <c r="CH72" s="111" t="n"/>
      <c r="CI72" s="111" t="n"/>
      <c r="CJ72" s="111" t="n"/>
      <c r="CK72" s="111" t="n"/>
      <c r="CL72" s="111" t="n"/>
      <c r="CM72" s="111" t="n"/>
      <c r="CN72" s="111" t="n"/>
      <c r="CO72" s="111" t="n"/>
      <c r="CP72" s="111" t="n"/>
      <c r="CQ72" s="111" t="n"/>
      <c r="CR72" s="111" t="n"/>
      <c r="CS72" s="111" t="n"/>
      <c r="CT72" s="111" t="n"/>
      <c r="CU72" s="111" t="n"/>
      <c r="CV72" s="111" t="n"/>
      <c r="CW72" s="111" t="n"/>
      <c r="CX72" s="111" t="n"/>
      <c r="CY72" s="111" t="n"/>
      <c r="CZ72" s="111" t="n"/>
      <c r="DA72" s="111" t="n"/>
      <c r="DB72" s="111" t="n"/>
      <c r="DC72" s="111" t="n"/>
      <c r="DD72" s="111" t="n"/>
      <c r="DE72" s="111" t="n"/>
      <c r="DF72" s="111" t="n"/>
      <c r="DG72" s="111" t="n"/>
      <c r="DH72" s="111" t="n"/>
      <c r="DI72" s="111" t="n"/>
      <c r="DJ72" s="111" t="n"/>
      <c r="DK72" s="111" t="n"/>
      <c r="DL72" s="111" t="n"/>
      <c r="DM72" s="111" t="n"/>
      <c r="DN72" s="111" t="n"/>
      <c r="DO72" s="111" t="n"/>
      <c r="DP72" s="111" t="n"/>
      <c r="DQ72" s="111" t="n"/>
      <c r="DR72" s="111" t="n"/>
      <c r="DS72" s="111" t="n"/>
      <c r="DT72" s="111" t="n"/>
      <c r="DU72" s="111" t="n"/>
      <c r="DV72" s="111" t="n"/>
      <c r="DW72" s="111" t="n"/>
      <c r="DX72" s="111" t="n"/>
      <c r="DY72" s="111" t="n"/>
      <c r="DZ72" s="111" t="n"/>
      <c r="EA72" s="111" t="n"/>
      <c r="EB72" s="111" t="n"/>
      <c r="EC72" s="111" t="n"/>
      <c r="ED72" s="111" t="n"/>
      <c r="EE72" s="111" t="n"/>
      <c r="EF72" s="111" t="n"/>
      <c r="EG72" s="111" t="n"/>
      <c r="EH72" s="111" t="n"/>
      <c r="EI72" s="111" t="n"/>
      <c r="EJ72" s="111" t="n"/>
      <c r="EK72" s="111" t="n"/>
      <c r="EL72" s="111" t="n"/>
      <c r="EM72" s="111" t="n"/>
      <c r="EN72" s="111" t="n"/>
      <c r="EO72" s="111" t="n"/>
      <c r="EP72" s="111" t="n"/>
      <c r="EQ72" s="111" t="n"/>
      <c r="ER72" s="111" t="n"/>
      <c r="ES72" s="111" t="n"/>
      <c r="ET72" s="111" t="n"/>
      <c r="EU72" s="111" t="n"/>
      <c r="EV72" s="111" t="n"/>
      <c r="EW72" s="111" t="n"/>
      <c r="EX72" s="111" t="n"/>
      <c r="EY72" s="111" t="n"/>
      <c r="EZ72" s="111" t="n"/>
      <c r="FA72" s="111" t="n"/>
      <c r="FB72" s="111" t="n"/>
      <c r="FC72" s="111" t="n"/>
      <c r="FD72" s="111" t="n"/>
      <c r="FE72" s="111" t="n"/>
      <c r="FF72" s="111" t="n"/>
      <c r="FG72" s="111" t="n"/>
      <c r="FH72" s="111" t="n"/>
      <c r="FI72" s="111" t="n"/>
      <c r="FJ72" s="111" t="n"/>
      <c r="FK72" s="111" t="n"/>
      <c r="FL72" s="111" t="n"/>
      <c r="FM72" s="111" t="n"/>
      <c r="FN72" s="111" t="n"/>
      <c r="FO72" s="111" t="n"/>
      <c r="FP72" s="111" t="n"/>
      <c r="FQ72" s="111" t="n"/>
      <c r="FR72" s="111" t="n"/>
      <c r="FS72" s="111" t="n"/>
      <c r="FT72" s="111" t="n"/>
      <c r="FU72" s="111" t="n"/>
      <c r="FV72" s="111" t="n"/>
      <c r="FW72" s="111" t="n"/>
      <c r="FX72" s="111" t="n"/>
      <c r="FY72" s="111" t="n"/>
      <c r="FZ72" s="111" t="n"/>
      <c r="GA72" s="111" t="n"/>
      <c r="GB72" s="111" t="n"/>
      <c r="GC72" s="111" t="n"/>
      <c r="GD72" s="111" t="n"/>
      <c r="GE72" s="111" t="n"/>
      <c r="GF72" s="111" t="n"/>
      <c r="GG72" s="111" t="n"/>
      <c r="GH72" s="111" t="n"/>
      <c r="GI72" s="111" t="n"/>
      <c r="GJ72" s="111" t="n"/>
      <c r="GK72" s="111" t="n"/>
      <c r="GL72" s="111" t="n"/>
      <c r="GM72" s="111" t="n"/>
      <c r="GN72" s="111" t="n"/>
      <c r="GO72" s="111" t="n"/>
      <c r="GP72" s="111" t="n"/>
      <c r="GQ72" s="111" t="n"/>
      <c r="GR72" s="111" t="n"/>
      <c r="GS72" s="111" t="n"/>
      <c r="GT72" s="111" t="n"/>
      <c r="GU72" s="111" t="n"/>
      <c r="GV72" s="111" t="n"/>
      <c r="GW72" s="111" t="n"/>
      <c r="GX72" s="111" t="n"/>
      <c r="GY72" s="111" t="n"/>
      <c r="GZ72" s="111" t="n"/>
      <c r="HA72" s="111" t="n"/>
      <c r="HB72" s="111" t="n"/>
      <c r="HC72" s="111" t="n"/>
      <c r="HD72" s="111" t="n"/>
      <c r="HE72" s="111" t="n"/>
      <c r="HF72" s="111" t="n"/>
      <c r="HG72" s="111" t="n"/>
      <c r="HH72" s="111" t="n"/>
      <c r="HI72" s="111" t="n"/>
      <c r="HJ72" s="111" t="n"/>
      <c r="HK72" s="111" t="n"/>
      <c r="HL72" s="111" t="n"/>
      <c r="HM72" s="111" t="n"/>
      <c r="HN72" s="111" t="n"/>
      <c r="HO72" s="111" t="n"/>
      <c r="HP72" s="111" t="n"/>
      <c r="HQ72" s="111" t="n"/>
      <c r="HR72" s="111" t="n"/>
      <c r="HS72" s="111" t="n"/>
      <c r="HT72" s="111" t="n"/>
      <c r="HU72" s="111" t="n"/>
      <c r="HV72" s="111" t="n"/>
      <c r="HW72" s="111" t="n"/>
      <c r="HX72" s="111" t="n"/>
      <c r="HY72" s="111" t="n"/>
      <c r="HZ72" s="111" t="n"/>
      <c r="IA72" s="111" t="n"/>
      <c r="IB72" s="111" t="n"/>
      <c r="IC72" s="111" t="n"/>
      <c r="ID72" s="111" t="n"/>
      <c r="IE72" s="111" t="n"/>
      <c r="IF72" s="111" t="n"/>
      <c r="IG72" s="111" t="n"/>
      <c r="IH72" s="111" t="n"/>
      <c r="II72" s="111" t="n"/>
      <c r="IJ72" s="111" t="n"/>
      <c r="IK72" s="111" t="n"/>
      <c r="IL72" s="111" t="n"/>
      <c r="IM72" s="111" t="n"/>
      <c r="IN72" s="111" t="n"/>
      <c r="IO72" s="111" t="n"/>
      <c r="IP72" s="111" t="n"/>
      <c r="IQ72" s="111" t="n"/>
      <c r="IR72" s="111" t="n"/>
      <c r="IS72" s="111" t="n"/>
      <c r="IT72" s="111" t="n"/>
      <c r="IU72" s="111" t="n"/>
      <c r="IV72" s="111" t="n"/>
      <c r="IW72" s="111" t="n"/>
      <c r="IX72" s="111" t="n"/>
      <c r="IY72" s="111" t="n"/>
      <c r="IZ72" s="111" t="n"/>
      <c r="JA72" s="111" t="n"/>
      <c r="JB72" s="111" t="n"/>
      <c r="JC72" s="111" t="n"/>
      <c r="JD72" s="111" t="n"/>
      <c r="JE72" s="111" t="n"/>
      <c r="JF72" s="111" t="n"/>
      <c r="JG72" s="111" t="n"/>
      <c r="JH72" s="111" t="n"/>
      <c r="JI72" s="111" t="n"/>
      <c r="JJ72" s="111" t="n"/>
      <c r="JK72" s="111" t="n"/>
      <c r="JL72" s="111" t="n"/>
      <c r="JM72" s="111" t="n"/>
      <c r="JN72" s="111" t="n"/>
      <c r="JO72" s="111" t="n"/>
      <c r="JP72" s="111" t="n"/>
      <c r="JQ72" s="111" t="n"/>
      <c r="JR72" s="111" t="n"/>
      <c r="JS72" s="111" t="n"/>
      <c r="JT72" s="111" t="n"/>
      <c r="JU72" s="111" t="n"/>
      <c r="JV72" s="111" t="n"/>
      <c r="JW72" s="111" t="n"/>
      <c r="JX72" s="111" t="n"/>
      <c r="JY72" s="111" t="n"/>
      <c r="JZ72" s="111" t="n"/>
      <c r="KA72" s="111" t="n"/>
      <c r="KB72" s="111" t="n"/>
      <c r="KC72" s="111" t="n"/>
      <c r="KD72" s="111" t="n"/>
      <c r="KE72" s="111" t="n"/>
      <c r="KF72" s="111" t="n"/>
      <c r="KG72" s="111" t="n"/>
      <c r="KH72" s="111" t="n"/>
      <c r="KI72" s="111" t="n"/>
      <c r="KJ72" s="111" t="n"/>
      <c r="KK72" s="111" t="n"/>
      <c r="KL72" s="111" t="n"/>
      <c r="KM72" s="111" t="n"/>
      <c r="KN72" s="111" t="n"/>
      <c r="KO72" s="111" t="n"/>
      <c r="KP72" s="111" t="n"/>
      <c r="KQ72" s="111" t="n"/>
      <c r="KR72" s="111" t="n"/>
      <c r="KS72" s="111" t="n"/>
      <c r="KT72" s="111" t="n"/>
      <c r="KU72" s="111" t="n"/>
      <c r="KV72" s="111" t="n"/>
      <c r="KW72" s="111" t="n"/>
      <c r="KX72" s="111" t="n"/>
      <c r="KY72" s="111" t="n"/>
      <c r="KZ72" s="111" t="n"/>
      <c r="LA72" s="111" t="n"/>
      <c r="LB72" s="111" t="n"/>
      <c r="LC72" s="111" t="n"/>
      <c r="LD72" s="111" t="n"/>
      <c r="LE72" s="111" t="n"/>
      <c r="LF72" s="111" t="n"/>
      <c r="LG72" s="111" t="n"/>
      <c r="LH72" s="111" t="n"/>
      <c r="LI72" s="111" t="n"/>
      <c r="LJ72" s="111" t="n"/>
      <c r="LK72" s="111" t="n"/>
      <c r="LL72" s="111" t="n"/>
      <c r="LM72" s="111" t="n"/>
      <c r="LN72" s="111" t="n"/>
      <c r="LO72" s="111" t="n"/>
      <c r="LP72" s="111" t="n"/>
      <c r="LQ72" s="111" t="n"/>
      <c r="LR72" s="111" t="n"/>
      <c r="LS72" s="111" t="n"/>
      <c r="LT72" s="111" t="n"/>
      <c r="LU72" s="111" t="n"/>
      <c r="LV72" s="111" t="n"/>
      <c r="LW72" s="111" t="n"/>
      <c r="LX72" s="111" t="n"/>
      <c r="LY72" s="111" t="n"/>
      <c r="LZ72" s="111" t="n"/>
      <c r="MA72" s="111" t="n"/>
      <c r="MB72" s="111" t="n"/>
      <c r="MC72" s="111" t="n"/>
      <c r="MD72" s="111" t="n"/>
      <c r="ME72" s="111" t="n"/>
      <c r="MF72" s="111" t="n"/>
      <c r="MG72" s="111" t="n"/>
      <c r="MH72" s="111" t="n"/>
      <c r="MI72" s="111" t="n"/>
      <c r="MJ72" s="111" t="n"/>
      <c r="MK72" s="111" t="n"/>
      <c r="ML72" s="111" t="n"/>
      <c r="MM72" s="111" t="n"/>
      <c r="MN72" s="111" t="n"/>
      <c r="MO72" s="111" t="n"/>
      <c r="MP72" s="111" t="n"/>
      <c r="MQ72" s="111" t="n"/>
      <c r="MR72" s="111" t="n"/>
      <c r="MS72" s="111" t="n"/>
      <c r="MT72" s="111" t="n"/>
      <c r="MU72" s="111" t="n"/>
      <c r="MV72" s="111" t="n"/>
      <c r="MW72" s="111" t="n"/>
      <c r="MX72" s="111" t="n"/>
      <c r="MY72" s="111" t="n"/>
      <c r="MZ72" s="111" t="n"/>
      <c r="NA72" s="111" t="n"/>
      <c r="NB72" s="111" t="n"/>
      <c r="NC72" s="111" t="n"/>
      <c r="ND72" s="111" t="n"/>
      <c r="NE72" s="111" t="n"/>
      <c r="NF72" s="111" t="n"/>
      <c r="NG72" s="111" t="n"/>
      <c r="NH72" s="111" t="n"/>
      <c r="NI72" s="111" t="n"/>
      <c r="NJ72" s="111" t="n"/>
      <c r="NK72" s="111" t="n"/>
      <c r="NL72" s="111" t="n"/>
      <c r="NM72" s="111" t="n"/>
      <c r="NN72" s="111" t="n"/>
      <c r="NO72" s="111" t="n"/>
      <c r="NP72" s="111" t="n"/>
      <c r="NQ72" s="111" t="n"/>
    </row>
    <row r="73" ht="11.25" customFormat="1" customHeight="1" s="69">
      <c r="A73" s="86" t="inlineStr">
        <is>
          <t>WORK DAYS: These rows are used to exclude weekends and holidays</t>
        </is>
      </c>
      <c r="B73" s="88" t="n"/>
      <c r="C73" s="88" t="n"/>
      <c r="D73" s="88" t="n"/>
      <c r="E73" s="88" t="n"/>
      <c r="F73" s="88" t="n"/>
      <c r="G73" s="88" t="n"/>
      <c r="H73" s="88" t="n"/>
      <c r="I73" s="272" t="n"/>
      <c r="J73" s="272" t="n"/>
      <c r="K73" s="88" t="n"/>
      <c r="L73" s="88" t="n"/>
      <c r="M73" s="88" t="n"/>
      <c r="N73" s="88" t="n"/>
      <c r="O73" s="88" t="n"/>
      <c r="P73" s="88" t="n"/>
      <c r="Q73" s="69" t="n"/>
      <c r="R73" s="111" t="n"/>
      <c r="S73" s="111" t="n"/>
      <c r="T73" s="111" t="n"/>
      <c r="U73" s="111" t="n"/>
      <c r="V73" s="111" t="n"/>
      <c r="W73" s="111" t="n"/>
      <c r="X73" s="111" t="n"/>
      <c r="Y73" s="111" t="n"/>
      <c r="Z73" s="111" t="n"/>
      <c r="AA73" s="111" t="n"/>
      <c r="AB73" s="111" t="n"/>
      <c r="AC73" s="111" t="n"/>
      <c r="AD73" s="111" t="n"/>
      <c r="AE73" s="111" t="n"/>
      <c r="AF73" s="111" t="n"/>
      <c r="AG73" s="111" t="n"/>
      <c r="AH73" s="111" t="n"/>
      <c r="AI73" s="111" t="n"/>
      <c r="AJ73" s="111" t="n"/>
      <c r="AK73" s="111" t="n"/>
      <c r="AL73" s="111" t="n"/>
      <c r="AM73" s="111" t="n"/>
      <c r="AN73" s="111" t="n"/>
      <c r="AO73" s="111" t="n"/>
      <c r="AP73" s="111" t="n"/>
      <c r="AQ73" s="111" t="n"/>
      <c r="AR73" s="111" t="n"/>
      <c r="AS73" s="111" t="n"/>
      <c r="AT73" s="111" t="n"/>
      <c r="AU73" s="111" t="n"/>
      <c r="AV73" s="111" t="n"/>
      <c r="AW73" s="111" t="n"/>
      <c r="AX73" s="111" t="n"/>
      <c r="AY73" s="111" t="n"/>
      <c r="AZ73" s="111" t="n"/>
      <c r="BA73" s="111" t="n"/>
      <c r="BB73" s="111" t="n"/>
      <c r="BC73" s="111" t="n"/>
      <c r="BD73" s="111" t="n"/>
      <c r="BE73" s="111" t="n"/>
      <c r="BF73" s="111" t="n"/>
      <c r="BG73" s="111" t="n"/>
      <c r="BH73" s="111" t="n"/>
      <c r="BI73" s="111" t="n"/>
      <c r="BJ73" s="111" t="n"/>
      <c r="BK73" s="111" t="n"/>
      <c r="BL73" s="111" t="n"/>
      <c r="BM73" s="111" t="n"/>
      <c r="BN73" s="111" t="n"/>
      <c r="BO73" s="111" t="n"/>
      <c r="BP73" s="111" t="n"/>
      <c r="BQ73" s="111" t="n"/>
      <c r="BR73" s="111" t="n"/>
      <c r="BS73" s="111" t="n"/>
      <c r="BT73" s="111" t="n"/>
      <c r="BU73" s="111" t="n"/>
      <c r="BV73" s="111" t="n"/>
      <c r="BW73" s="111" t="n"/>
      <c r="BX73" s="111" t="n"/>
      <c r="BY73" s="111" t="n"/>
      <c r="BZ73" s="111" t="n"/>
      <c r="CA73" s="111" t="n"/>
      <c r="CB73" s="111" t="n"/>
      <c r="CC73" s="111" t="n"/>
      <c r="CD73" s="111" t="n"/>
      <c r="CE73" s="111" t="n"/>
      <c r="CF73" s="111" t="n"/>
      <c r="CG73" s="111" t="n"/>
      <c r="CH73" s="111" t="n"/>
      <c r="CI73" s="111" t="n"/>
      <c r="CJ73" s="111" t="n"/>
      <c r="CK73" s="111" t="n"/>
      <c r="CL73" s="111" t="n"/>
      <c r="CM73" s="111" t="n"/>
      <c r="CN73" s="111" t="n"/>
      <c r="CO73" s="111" t="n"/>
      <c r="CP73" s="111" t="n"/>
      <c r="CQ73" s="111" t="n"/>
      <c r="CR73" s="111" t="n"/>
      <c r="CS73" s="111" t="n"/>
      <c r="CT73" s="111" t="n"/>
      <c r="CU73" s="111" t="n"/>
      <c r="CV73" s="111" t="n"/>
      <c r="CW73" s="111" t="n"/>
      <c r="CX73" s="111" t="n"/>
      <c r="CY73" s="111" t="n"/>
      <c r="CZ73" s="111" t="n"/>
      <c r="DA73" s="111" t="n"/>
      <c r="DB73" s="111" t="n"/>
      <c r="DC73" s="111" t="n"/>
      <c r="DD73" s="111" t="n"/>
      <c r="DE73" s="111" t="n"/>
      <c r="DF73" s="111" t="n"/>
      <c r="DG73" s="111" t="n"/>
      <c r="DH73" s="111" t="n"/>
      <c r="DI73" s="111" t="n"/>
      <c r="DJ73" s="111" t="n"/>
      <c r="DK73" s="111" t="n"/>
      <c r="DL73" s="111" t="n"/>
      <c r="DM73" s="111" t="n"/>
      <c r="DN73" s="111" t="n"/>
      <c r="DO73" s="111" t="n"/>
      <c r="DP73" s="111" t="n"/>
      <c r="DQ73" s="111" t="n"/>
      <c r="DR73" s="111" t="n"/>
      <c r="DS73" s="111" t="n"/>
      <c r="DT73" s="111" t="n"/>
      <c r="DU73" s="111" t="n"/>
      <c r="DV73" s="111" t="n"/>
      <c r="DW73" s="111" t="n"/>
      <c r="DX73" s="111" t="n"/>
      <c r="DY73" s="111" t="n"/>
      <c r="DZ73" s="111" t="n"/>
      <c r="EA73" s="111" t="n"/>
      <c r="EB73" s="111" t="n"/>
      <c r="EC73" s="111" t="n"/>
      <c r="ED73" s="111" t="n"/>
      <c r="EE73" s="111" t="n"/>
      <c r="EF73" s="111" t="n"/>
      <c r="EG73" s="111" t="n"/>
      <c r="EH73" s="111" t="n"/>
      <c r="EI73" s="111" t="n"/>
      <c r="EJ73" s="111" t="n"/>
      <c r="EK73" s="111" t="n"/>
      <c r="EL73" s="111" t="n"/>
      <c r="EM73" s="111" t="n"/>
      <c r="EN73" s="111" t="n"/>
      <c r="EO73" s="111" t="n"/>
      <c r="EP73" s="111" t="n"/>
      <c r="EQ73" s="111" t="n"/>
      <c r="ER73" s="111" t="n"/>
      <c r="ES73" s="111" t="n"/>
      <c r="ET73" s="111" t="n"/>
      <c r="EU73" s="111" t="n"/>
      <c r="EV73" s="111" t="n"/>
      <c r="EW73" s="111" t="n"/>
      <c r="EX73" s="111" t="n"/>
      <c r="EY73" s="111" t="n"/>
      <c r="EZ73" s="111" t="n"/>
      <c r="FA73" s="111" t="n"/>
      <c r="FB73" s="111" t="n"/>
      <c r="FC73" s="111" t="n"/>
      <c r="FD73" s="111" t="n"/>
      <c r="FE73" s="111" t="n"/>
      <c r="FF73" s="111" t="n"/>
      <c r="FG73" s="111" t="n"/>
      <c r="FH73" s="111" t="n"/>
      <c r="FI73" s="111" t="n"/>
      <c r="FJ73" s="111" t="n"/>
      <c r="FK73" s="111" t="n"/>
      <c r="FL73" s="111" t="n"/>
      <c r="FM73" s="111" t="n"/>
      <c r="FN73" s="111" t="n"/>
      <c r="FO73" s="111" t="n"/>
      <c r="FP73" s="111" t="n"/>
      <c r="FQ73" s="111" t="n"/>
      <c r="FR73" s="111" t="n"/>
      <c r="FS73" s="111" t="n"/>
      <c r="FT73" s="111" t="n"/>
      <c r="FU73" s="111" t="n"/>
      <c r="FV73" s="111" t="n"/>
      <c r="FW73" s="111" t="n"/>
      <c r="FX73" s="111" t="n"/>
      <c r="FY73" s="111" t="n"/>
      <c r="FZ73" s="111" t="n"/>
      <c r="GA73" s="111" t="n"/>
      <c r="GB73" s="111" t="n"/>
      <c r="GC73" s="111" t="n"/>
      <c r="GD73" s="111" t="n"/>
      <c r="GE73" s="111" t="n"/>
      <c r="GF73" s="111" t="n"/>
      <c r="GG73" s="111" t="n"/>
      <c r="GH73" s="111" t="n"/>
      <c r="GI73" s="111" t="n"/>
      <c r="GJ73" s="111" t="n"/>
      <c r="GK73" s="111" t="n"/>
      <c r="GL73" s="111" t="n"/>
      <c r="GM73" s="111" t="n"/>
      <c r="GN73" s="111" t="n"/>
      <c r="GO73" s="111" t="n"/>
      <c r="GP73" s="111" t="n"/>
      <c r="GQ73" s="111" t="n"/>
      <c r="GR73" s="111" t="n"/>
      <c r="GS73" s="111" t="n"/>
      <c r="GT73" s="111" t="n"/>
      <c r="GU73" s="111" t="n"/>
      <c r="GV73" s="111" t="n"/>
      <c r="GW73" s="111" t="n"/>
      <c r="GX73" s="111" t="n"/>
      <c r="GY73" s="111" t="n"/>
      <c r="GZ73" s="111" t="n"/>
      <c r="HA73" s="111" t="n"/>
      <c r="HB73" s="111" t="n"/>
      <c r="HC73" s="111" t="n"/>
      <c r="HD73" s="111" t="n"/>
      <c r="HE73" s="111" t="n"/>
      <c r="HF73" s="111" t="n"/>
      <c r="HG73" s="111" t="n"/>
      <c r="HH73" s="111" t="n"/>
      <c r="HI73" s="111" t="n"/>
      <c r="HJ73" s="111" t="n"/>
      <c r="HK73" s="111" t="n"/>
      <c r="HL73" s="111" t="n"/>
      <c r="HM73" s="111" t="n"/>
      <c r="HN73" s="111" t="n"/>
      <c r="HO73" s="111" t="n"/>
      <c r="HP73" s="111" t="n"/>
      <c r="HQ73" s="111" t="n"/>
      <c r="HR73" s="111" t="n"/>
      <c r="HS73" s="111" t="n"/>
      <c r="HT73" s="111" t="n"/>
      <c r="HU73" s="111" t="n"/>
      <c r="HV73" s="111" t="n"/>
      <c r="HW73" s="111" t="n"/>
      <c r="HX73" s="111" t="n"/>
      <c r="HY73" s="111" t="n"/>
      <c r="HZ73" s="111" t="n"/>
      <c r="IA73" s="111" t="n"/>
      <c r="IB73" s="111" t="n"/>
      <c r="IC73" s="111" t="n"/>
      <c r="ID73" s="111" t="n"/>
      <c r="IE73" s="111" t="n"/>
      <c r="IF73" s="111" t="n"/>
      <c r="IG73" s="111" t="n"/>
      <c r="IH73" s="111" t="n"/>
      <c r="II73" s="111" t="n"/>
      <c r="IJ73" s="111" t="n"/>
      <c r="IK73" s="111" t="n"/>
      <c r="IL73" s="111" t="n"/>
      <c r="IM73" s="111" t="n"/>
      <c r="IN73" s="111" t="n"/>
      <c r="IO73" s="111" t="n"/>
      <c r="IP73" s="111" t="n"/>
      <c r="IQ73" s="111" t="n"/>
      <c r="IR73" s="111" t="n"/>
      <c r="IS73" s="111" t="n"/>
      <c r="IT73" s="111" t="n"/>
      <c r="IU73" s="111" t="n"/>
      <c r="IV73" s="111" t="n"/>
      <c r="IW73" s="111" t="n"/>
      <c r="IX73" s="111" t="n"/>
      <c r="IY73" s="111" t="n"/>
      <c r="IZ73" s="111" t="n"/>
      <c r="JA73" s="111" t="n"/>
      <c r="JB73" s="111" t="n"/>
      <c r="JC73" s="111" t="n"/>
      <c r="JD73" s="111" t="n"/>
      <c r="JE73" s="111" t="n"/>
      <c r="JF73" s="111" t="n"/>
      <c r="JG73" s="111" t="n"/>
      <c r="JH73" s="111" t="n"/>
      <c r="JI73" s="111" t="n"/>
      <c r="JJ73" s="111" t="n"/>
      <c r="JK73" s="111" t="n"/>
      <c r="JL73" s="111" t="n"/>
      <c r="JM73" s="111" t="n"/>
      <c r="JN73" s="111" t="n"/>
      <c r="JO73" s="111" t="n"/>
      <c r="JP73" s="111" t="n"/>
      <c r="JQ73" s="111" t="n"/>
      <c r="JR73" s="111" t="n"/>
      <c r="JS73" s="111" t="n"/>
      <c r="JT73" s="111" t="n"/>
      <c r="JU73" s="111" t="n"/>
      <c r="JV73" s="111" t="n"/>
      <c r="JW73" s="111" t="n"/>
      <c r="JX73" s="111" t="n"/>
      <c r="JY73" s="111" t="n"/>
      <c r="JZ73" s="111" t="n"/>
      <c r="KA73" s="111" t="n"/>
      <c r="KB73" s="111" t="n"/>
      <c r="KC73" s="111" t="n"/>
      <c r="KD73" s="111" t="n"/>
      <c r="KE73" s="111" t="n"/>
      <c r="KF73" s="111" t="n"/>
      <c r="KG73" s="111" t="n"/>
      <c r="KH73" s="111" t="n"/>
      <c r="KI73" s="111" t="n"/>
      <c r="KJ73" s="111" t="n"/>
      <c r="KK73" s="111" t="n"/>
      <c r="KL73" s="111" t="n"/>
      <c r="KM73" s="111" t="n"/>
      <c r="KN73" s="111" t="n"/>
      <c r="KO73" s="111" t="n"/>
      <c r="KP73" s="111" t="n"/>
      <c r="KQ73" s="111" t="n"/>
      <c r="KR73" s="111" t="n"/>
      <c r="KS73" s="111" t="n"/>
      <c r="KT73" s="111" t="n"/>
      <c r="KU73" s="111" t="n"/>
      <c r="KV73" s="111" t="n"/>
      <c r="KW73" s="111" t="n"/>
      <c r="KX73" s="111" t="n"/>
      <c r="KY73" s="111" t="n"/>
      <c r="KZ73" s="111" t="n"/>
      <c r="LA73" s="111" t="n"/>
      <c r="LB73" s="111" t="n"/>
      <c r="LC73" s="111" t="n"/>
      <c r="LD73" s="111" t="n"/>
      <c r="LE73" s="111" t="n"/>
      <c r="LF73" s="111" t="n"/>
      <c r="LG73" s="111" t="n"/>
      <c r="LH73" s="111" t="n"/>
      <c r="LI73" s="111" t="n"/>
      <c r="LJ73" s="111" t="n"/>
      <c r="LK73" s="111" t="n"/>
      <c r="LL73" s="111" t="n"/>
      <c r="LM73" s="111" t="n"/>
      <c r="LN73" s="111" t="n"/>
      <c r="LO73" s="111" t="n"/>
      <c r="LP73" s="111" t="n"/>
      <c r="LQ73" s="111" t="n"/>
      <c r="LR73" s="111" t="n"/>
      <c r="LS73" s="111" t="n"/>
      <c r="LT73" s="111" t="n"/>
      <c r="LU73" s="111" t="n"/>
      <c r="LV73" s="111" t="n"/>
      <c r="LW73" s="111" t="n"/>
      <c r="LX73" s="111" t="n"/>
      <c r="LY73" s="111" t="n"/>
      <c r="LZ73" s="111" t="n"/>
      <c r="MA73" s="111" t="n"/>
      <c r="MB73" s="111" t="n"/>
      <c r="MC73" s="111" t="n"/>
      <c r="MD73" s="111" t="n"/>
      <c r="ME73" s="111" t="n"/>
      <c r="MF73" s="111" t="n"/>
      <c r="MG73" s="111" t="n"/>
      <c r="MH73" s="111" t="n"/>
      <c r="MI73" s="111" t="n"/>
      <c r="MJ73" s="111" t="n"/>
      <c r="MK73" s="111" t="n"/>
      <c r="ML73" s="111" t="n"/>
      <c r="MM73" s="111" t="n"/>
      <c r="MN73" s="111" t="n"/>
      <c r="MO73" s="111" t="n"/>
      <c r="MP73" s="111" t="n"/>
      <c r="MQ73" s="111" t="n"/>
      <c r="MR73" s="111" t="n"/>
      <c r="MS73" s="111" t="n"/>
      <c r="MT73" s="111" t="n"/>
      <c r="MU73" s="111" t="n"/>
      <c r="MV73" s="111" t="n"/>
      <c r="MW73" s="111" t="n"/>
      <c r="MX73" s="111" t="n"/>
      <c r="MY73" s="111" t="n"/>
      <c r="MZ73" s="111" t="n"/>
      <c r="NA73" s="111" t="n"/>
      <c r="NB73" s="111" t="n"/>
      <c r="NC73" s="111" t="n"/>
      <c r="ND73" s="111" t="n"/>
      <c r="NE73" s="111" t="n"/>
      <c r="NF73" s="111" t="n"/>
      <c r="NG73" s="111" t="n"/>
      <c r="NH73" s="111" t="n"/>
      <c r="NI73" s="111" t="n"/>
      <c r="NJ73" s="111" t="n"/>
      <c r="NK73" s="111" t="n"/>
      <c r="NL73" s="111" t="n"/>
      <c r="NM73" s="111" t="n"/>
      <c r="NN73" s="111" t="n"/>
      <c r="NO73" s="111" t="n"/>
      <c r="NP73" s="111" t="n"/>
      <c r="NQ73" s="111" t="n"/>
    </row>
    <row r="74" customFormat="1" s="17">
      <c r="A74" s="77">
        <f>IF(ISERROR(VALUE(SUBSTITUTE(OFFSET(A74,-1,0,1,1),".",""))),"1",IF(ISERROR(FIND("`",SUBSTITUTE(OFFSET(A74,-1,0,1,1),".","`",1))),TEXT(VALUE(OFFSET(A74,-1,0,1,1))+1,"#"),TEXT(VALUE(LEFT(OFFSET(A74,-1,0,1,1),FIND("`",SUBSTITUTE(OFFSET(A74,-1,0,1,1),".","`",1))-1))+1,"#")))</f>
        <v/>
      </c>
      <c r="B74" s="85" t="inlineStr">
        <is>
          <t>[ Task Summary ]</t>
        </is>
      </c>
      <c r="C74" s="11" t="inlineStr">
        <is>
          <t>[ name ]</t>
        </is>
      </c>
      <c r="D74" s="37" t="n"/>
      <c r="E74" s="37" t="n"/>
      <c r="F74" s="37" t="n"/>
      <c r="G74" s="273">
        <f>MIN(G75:G78)</f>
        <v/>
      </c>
      <c r="H74" s="273">
        <f>MAX(H75:H78)</f>
        <v/>
      </c>
      <c r="I74" s="272" t="n"/>
      <c r="J74" s="272" t="n"/>
      <c r="K74" s="14">
        <f>IF(OR(G74=0,H74=0),0,NETWORKDAYS(G74,H74,holidays))</f>
        <v/>
      </c>
      <c r="L74" s="83">
        <f>IFERROR(SUMPRODUCT(K75:K84,L75:L84)/SUM(K75:K84),0)</f>
        <v/>
      </c>
      <c r="M74" s="14">
        <f>IF(OR(G74=0,H74=0),0,H74-G74+1)</f>
        <v/>
      </c>
      <c r="N74" s="15">
        <f>WORKDAY(G74,ROUNDDOWN(L74*K74,0),holidays)-G74</f>
        <v/>
      </c>
      <c r="O74" s="14">
        <f>M74-N74</f>
        <v/>
      </c>
      <c r="P74" s="113" t="n"/>
      <c r="R74" s="111" t="n"/>
      <c r="S74" s="111" t="n"/>
      <c r="T74" s="111" t="n"/>
      <c r="U74" s="111" t="n"/>
      <c r="V74" s="111" t="n"/>
      <c r="W74" s="111" t="n"/>
      <c r="X74" s="111" t="n"/>
      <c r="Y74" s="111" t="n"/>
      <c r="Z74" s="111" t="n"/>
      <c r="AA74" s="111" t="n"/>
      <c r="AB74" s="111" t="n"/>
      <c r="AC74" s="111" t="n"/>
      <c r="AD74" s="111" t="n"/>
      <c r="AE74" s="111" t="n"/>
      <c r="AF74" s="111" t="n"/>
      <c r="AG74" s="111" t="n"/>
      <c r="AH74" s="111" t="n"/>
      <c r="AI74" s="111" t="n"/>
      <c r="AJ74" s="111" t="n"/>
      <c r="AK74" s="111" t="n"/>
      <c r="AL74" s="111" t="n"/>
      <c r="AM74" s="111" t="n"/>
      <c r="AN74" s="111" t="n"/>
      <c r="AO74" s="111" t="n"/>
      <c r="AP74" s="111" t="n"/>
      <c r="AQ74" s="111" t="n"/>
      <c r="AR74" s="111" t="n"/>
      <c r="AS74" s="111" t="n"/>
      <c r="AT74" s="111" t="n"/>
      <c r="AU74" s="111" t="n"/>
      <c r="AV74" s="111" t="n"/>
      <c r="AW74" s="111" t="n"/>
      <c r="AX74" s="111" t="n"/>
      <c r="AY74" s="111" t="n"/>
      <c r="AZ74" s="111" t="n"/>
      <c r="BA74" s="111" t="n"/>
      <c r="BB74" s="111" t="n"/>
      <c r="BC74" s="111" t="n"/>
      <c r="BD74" s="111" t="n"/>
      <c r="BE74" s="111" t="n"/>
      <c r="BF74" s="111" t="n"/>
      <c r="BG74" s="111" t="n"/>
      <c r="BH74" s="111" t="n"/>
      <c r="BI74" s="111" t="n"/>
      <c r="BJ74" s="111" t="n"/>
      <c r="BK74" s="111" t="n"/>
      <c r="BL74" s="111" t="n"/>
      <c r="BM74" s="111" t="n"/>
      <c r="BN74" s="111" t="n"/>
      <c r="BO74" s="111" t="n"/>
      <c r="BP74" s="111" t="n"/>
      <c r="BQ74" s="111" t="n"/>
      <c r="BR74" s="111" t="n"/>
      <c r="BS74" s="111" t="n"/>
      <c r="BT74" s="111" t="n"/>
      <c r="BU74" s="111" t="n"/>
      <c r="BV74" s="111" t="n"/>
      <c r="BW74" s="111" t="n"/>
      <c r="BX74" s="111" t="n"/>
      <c r="BY74" s="111" t="n"/>
      <c r="BZ74" s="111" t="n"/>
      <c r="CA74" s="111" t="n"/>
      <c r="CB74" s="111" t="n"/>
      <c r="CC74" s="111" t="n"/>
      <c r="CD74" s="111" t="n"/>
      <c r="CE74" s="111" t="n"/>
      <c r="CF74" s="111" t="n"/>
      <c r="CG74" s="111" t="n"/>
      <c r="CH74" s="111" t="n"/>
      <c r="CI74" s="111" t="n"/>
      <c r="CJ74" s="111" t="n"/>
      <c r="CK74" s="111" t="n"/>
      <c r="CL74" s="111" t="n"/>
      <c r="CM74" s="111" t="n"/>
      <c r="CN74" s="111" t="n"/>
      <c r="CO74" s="111" t="n"/>
      <c r="CP74" s="111" t="n"/>
      <c r="CQ74" s="111" t="n"/>
      <c r="CR74" s="111" t="n"/>
      <c r="CS74" s="111" t="n"/>
      <c r="CT74" s="111" t="n"/>
      <c r="CU74" s="111" t="n"/>
      <c r="CV74" s="111" t="n"/>
      <c r="CW74" s="111" t="n"/>
      <c r="CX74" s="111" t="n"/>
      <c r="CY74" s="111" t="n"/>
      <c r="CZ74" s="111" t="n"/>
      <c r="DA74" s="111" t="n"/>
      <c r="DB74" s="111" t="n"/>
      <c r="DC74" s="111" t="n"/>
      <c r="DD74" s="111" t="n"/>
      <c r="DE74" s="111" t="n"/>
      <c r="DF74" s="111" t="n"/>
      <c r="DG74" s="111" t="n"/>
      <c r="DH74" s="111" t="n"/>
      <c r="DI74" s="111" t="n"/>
      <c r="DJ74" s="111" t="n"/>
      <c r="DK74" s="111" t="n"/>
      <c r="DL74" s="111" t="n"/>
      <c r="DM74" s="111" t="n"/>
      <c r="DN74" s="111" t="n"/>
      <c r="DO74" s="111" t="n"/>
      <c r="DP74" s="111" t="n"/>
      <c r="DQ74" s="111" t="n"/>
      <c r="DR74" s="111" t="n"/>
      <c r="DS74" s="111" t="n"/>
      <c r="DT74" s="111" t="n"/>
      <c r="DU74" s="111" t="n"/>
      <c r="DV74" s="111" t="n"/>
      <c r="DW74" s="111" t="n"/>
      <c r="DX74" s="111" t="n"/>
      <c r="DY74" s="111" t="n"/>
      <c r="DZ74" s="111" t="n"/>
      <c r="EA74" s="111" t="n"/>
      <c r="EB74" s="111" t="n"/>
      <c r="EC74" s="111" t="n"/>
      <c r="ED74" s="111" t="n"/>
      <c r="EE74" s="111" t="n"/>
      <c r="EF74" s="111" t="n"/>
      <c r="EG74" s="111" t="n"/>
      <c r="EH74" s="111" t="n"/>
      <c r="EI74" s="111" t="n"/>
      <c r="EJ74" s="111" t="n"/>
      <c r="EK74" s="111" t="n"/>
      <c r="EL74" s="111" t="n"/>
      <c r="EM74" s="111" t="n"/>
      <c r="EN74" s="111" t="n"/>
      <c r="EO74" s="111" t="n"/>
      <c r="EP74" s="111" t="n"/>
      <c r="EQ74" s="111" t="n"/>
      <c r="ER74" s="111" t="n"/>
      <c r="ES74" s="111" t="n"/>
      <c r="ET74" s="111" t="n"/>
      <c r="EU74" s="111" t="n"/>
      <c r="EV74" s="111" t="n"/>
      <c r="EW74" s="111" t="n"/>
      <c r="EX74" s="111" t="n"/>
      <c r="EY74" s="111" t="n"/>
      <c r="EZ74" s="111" t="n"/>
      <c r="FA74" s="111" t="n"/>
      <c r="FB74" s="111" t="n"/>
      <c r="FC74" s="111" t="n"/>
      <c r="FD74" s="111" t="n"/>
      <c r="FE74" s="111" t="n"/>
      <c r="FF74" s="111" t="n"/>
      <c r="FG74" s="111" t="n"/>
      <c r="FH74" s="111" t="n"/>
      <c r="FI74" s="111" t="n"/>
      <c r="FJ74" s="111" t="n"/>
      <c r="FK74" s="111" t="n"/>
      <c r="FL74" s="111" t="n"/>
      <c r="FM74" s="111" t="n"/>
      <c r="FN74" s="111" t="n"/>
      <c r="FO74" s="111" t="n"/>
      <c r="FP74" s="111" t="n"/>
      <c r="FQ74" s="111" t="n"/>
      <c r="FR74" s="111" t="n"/>
      <c r="FS74" s="111" t="n"/>
      <c r="FT74" s="111" t="n"/>
      <c r="FU74" s="111" t="n"/>
      <c r="FV74" s="111" t="n"/>
      <c r="FW74" s="111" t="n"/>
      <c r="FX74" s="111" t="n"/>
      <c r="FY74" s="111" t="n"/>
      <c r="FZ74" s="111" t="n"/>
      <c r="GA74" s="111" t="n"/>
      <c r="GB74" s="111" t="n"/>
      <c r="GC74" s="111" t="n"/>
      <c r="GD74" s="111" t="n"/>
      <c r="GE74" s="111" t="n"/>
      <c r="GF74" s="111" t="n"/>
      <c r="GG74" s="111" t="n"/>
      <c r="GH74" s="111" t="n"/>
      <c r="GI74" s="111" t="n"/>
      <c r="GJ74" s="111" t="n"/>
      <c r="GK74" s="111" t="n"/>
      <c r="GL74" s="111" t="n"/>
      <c r="GM74" s="111" t="n"/>
      <c r="GN74" s="111" t="n"/>
      <c r="GO74" s="111" t="n"/>
      <c r="GP74" s="111" t="n"/>
      <c r="GQ74" s="111" t="n"/>
      <c r="GR74" s="111" t="n"/>
      <c r="GS74" s="111" t="n"/>
      <c r="GT74" s="111" t="n"/>
      <c r="GU74" s="111" t="n"/>
      <c r="GV74" s="111" t="n"/>
      <c r="GW74" s="111" t="n"/>
      <c r="GX74" s="111" t="n"/>
      <c r="GY74" s="111" t="n"/>
      <c r="GZ74" s="111" t="n"/>
      <c r="HA74" s="111" t="n"/>
      <c r="HB74" s="111" t="n"/>
      <c r="HC74" s="111" t="n"/>
      <c r="HD74" s="111" t="n"/>
      <c r="HE74" s="111" t="n"/>
      <c r="HF74" s="111" t="n"/>
      <c r="HG74" s="111" t="n"/>
      <c r="HH74" s="111" t="n"/>
      <c r="HI74" s="111" t="n"/>
      <c r="HJ74" s="111" t="n"/>
      <c r="HK74" s="111" t="n"/>
      <c r="HL74" s="111" t="n"/>
      <c r="HM74" s="111" t="n"/>
      <c r="HN74" s="111" t="n"/>
      <c r="HO74" s="111" t="n"/>
      <c r="HP74" s="111" t="n"/>
      <c r="HQ74" s="111" t="n"/>
      <c r="HR74" s="111" t="n"/>
      <c r="HS74" s="111" t="n"/>
      <c r="HT74" s="111" t="n"/>
      <c r="HU74" s="111" t="n"/>
      <c r="HV74" s="111" t="n"/>
      <c r="HW74" s="111" t="n"/>
      <c r="HX74" s="111" t="n"/>
      <c r="HY74" s="111" t="n"/>
      <c r="HZ74" s="111" t="n"/>
      <c r="IA74" s="111" t="n"/>
      <c r="IB74" s="111" t="n"/>
      <c r="IC74" s="111" t="n"/>
      <c r="ID74" s="111" t="n"/>
      <c r="IE74" s="111" t="n"/>
      <c r="IF74" s="111" t="n"/>
      <c r="IG74" s="111" t="n"/>
      <c r="IH74" s="111" t="n"/>
      <c r="II74" s="111" t="n"/>
      <c r="IJ74" s="111" t="n"/>
      <c r="IK74" s="111" t="n"/>
      <c r="IL74" s="111" t="n"/>
      <c r="IM74" s="111" t="n"/>
      <c r="IN74" s="111" t="n"/>
      <c r="IO74" s="111" t="n"/>
      <c r="IP74" s="111" t="n"/>
      <c r="IQ74" s="111" t="n"/>
      <c r="IR74" s="111" t="n"/>
      <c r="IS74" s="111" t="n"/>
      <c r="IT74" s="111" t="n"/>
      <c r="IU74" s="111" t="n"/>
      <c r="IV74" s="111" t="n"/>
      <c r="IW74" s="111" t="n"/>
      <c r="IX74" s="111" t="n"/>
      <c r="IY74" s="111" t="n"/>
      <c r="IZ74" s="111" t="n"/>
      <c r="JA74" s="111" t="n"/>
      <c r="JB74" s="111" t="n"/>
      <c r="JC74" s="111" t="n"/>
      <c r="JD74" s="111" t="n"/>
      <c r="JE74" s="111" t="n"/>
      <c r="JF74" s="111" t="n"/>
      <c r="JG74" s="111" t="n"/>
      <c r="JH74" s="111" t="n"/>
      <c r="JI74" s="111" t="n"/>
      <c r="JJ74" s="111" t="n"/>
      <c r="JK74" s="111" t="n"/>
      <c r="JL74" s="111" t="n"/>
      <c r="JM74" s="111" t="n"/>
      <c r="JN74" s="111" t="n"/>
      <c r="JO74" s="111" t="n"/>
      <c r="JP74" s="111" t="n"/>
      <c r="JQ74" s="111" t="n"/>
      <c r="JR74" s="111" t="n"/>
      <c r="JS74" s="111" t="n"/>
      <c r="JT74" s="111" t="n"/>
      <c r="JU74" s="111" t="n"/>
      <c r="JV74" s="111" t="n"/>
      <c r="JW74" s="111" t="n"/>
      <c r="JX74" s="111" t="n"/>
      <c r="JY74" s="111" t="n"/>
      <c r="JZ74" s="111" t="n"/>
      <c r="KA74" s="111" t="n"/>
      <c r="KB74" s="111" t="n"/>
      <c r="KC74" s="111" t="n"/>
      <c r="KD74" s="111" t="n"/>
      <c r="KE74" s="111" t="n"/>
      <c r="KF74" s="111" t="n"/>
      <c r="KG74" s="111" t="n"/>
      <c r="KH74" s="111" t="n"/>
      <c r="KI74" s="111" t="n"/>
      <c r="KJ74" s="111" t="n"/>
      <c r="KK74" s="111" t="n"/>
      <c r="KL74" s="111" t="n"/>
      <c r="KM74" s="111" t="n"/>
      <c r="KN74" s="111" t="n"/>
      <c r="KO74" s="111" t="n"/>
      <c r="KP74" s="111" t="n"/>
      <c r="KQ74" s="111" t="n"/>
      <c r="KR74" s="111" t="n"/>
      <c r="KS74" s="111" t="n"/>
      <c r="KT74" s="111" t="n"/>
      <c r="KU74" s="111" t="n"/>
      <c r="KV74" s="111" t="n"/>
      <c r="KW74" s="111" t="n"/>
      <c r="KX74" s="111" t="n"/>
      <c r="KY74" s="111" t="n"/>
      <c r="KZ74" s="111" t="n"/>
      <c r="LA74" s="111" t="n"/>
      <c r="LB74" s="111" t="n"/>
      <c r="LC74" s="111" t="n"/>
      <c r="LD74" s="111" t="n"/>
      <c r="LE74" s="111" t="n"/>
      <c r="LF74" s="111" t="n"/>
      <c r="LG74" s="111" t="n"/>
      <c r="LH74" s="111" t="n"/>
      <c r="LI74" s="111" t="n"/>
      <c r="LJ74" s="111" t="n"/>
      <c r="LK74" s="111" t="n"/>
      <c r="LL74" s="111" t="n"/>
      <c r="LM74" s="111" t="n"/>
      <c r="LN74" s="111" t="n"/>
      <c r="LO74" s="111" t="n"/>
      <c r="LP74" s="111" t="n"/>
      <c r="LQ74" s="111" t="n"/>
      <c r="LR74" s="111" t="n"/>
      <c r="LS74" s="111" t="n"/>
      <c r="LT74" s="111" t="n"/>
      <c r="LU74" s="111" t="n"/>
      <c r="LV74" s="111" t="n"/>
      <c r="LW74" s="111" t="n"/>
      <c r="LX74" s="111" t="n"/>
      <c r="LY74" s="111" t="n"/>
      <c r="LZ74" s="111" t="n"/>
      <c r="MA74" s="111" t="n"/>
      <c r="MB74" s="111" t="n"/>
      <c r="MC74" s="111" t="n"/>
      <c r="MD74" s="111" t="n"/>
      <c r="ME74" s="111" t="n"/>
      <c r="MF74" s="111" t="n"/>
      <c r="MG74" s="111" t="n"/>
      <c r="MH74" s="111" t="n"/>
      <c r="MI74" s="111" t="n"/>
      <c r="MJ74" s="111" t="n"/>
      <c r="MK74" s="111" t="n"/>
      <c r="ML74" s="111" t="n"/>
      <c r="MM74" s="111" t="n"/>
      <c r="MN74" s="111" t="n"/>
      <c r="MO74" s="111" t="n"/>
      <c r="MP74" s="111" t="n"/>
      <c r="MQ74" s="111" t="n"/>
      <c r="MR74" s="111" t="n"/>
      <c r="MS74" s="111" t="n"/>
      <c r="MT74" s="111" t="n"/>
      <c r="MU74" s="111" t="n"/>
      <c r="MV74" s="111" t="n"/>
      <c r="MW74" s="111" t="n"/>
      <c r="MX74" s="111" t="n"/>
      <c r="MY74" s="111" t="n"/>
      <c r="MZ74" s="111" t="n"/>
      <c r="NA74" s="111" t="n"/>
      <c r="NB74" s="111" t="n"/>
      <c r="NC74" s="111" t="n"/>
      <c r="ND74" s="111" t="n"/>
      <c r="NE74" s="111" t="n"/>
      <c r="NF74" s="111" t="n"/>
      <c r="NG74" s="111" t="n"/>
      <c r="NH74" s="111" t="n"/>
      <c r="NI74" s="111" t="n"/>
      <c r="NJ74" s="111" t="n"/>
      <c r="NK74" s="111" t="n"/>
      <c r="NL74" s="111" t="n"/>
      <c r="NM74" s="111" t="n"/>
      <c r="NN74" s="111" t="n"/>
      <c r="NO74" s="111" t="n"/>
      <c r="NP74" s="111" t="n"/>
      <c r="NQ74" s="111" t="n"/>
    </row>
    <row r="75" customFormat="1" s="17">
      <c r="A75" s="33">
        <f>IF(ISERROR(VALUE(SUBSTITUTE(OFFSET(A75,-1,0,1,1),".",""))),"0.1",IF(ISERROR(FIND("`",SUBSTITUTE(OFFSET(A75,-1,0,1,1),".","`",1))),OFFSET(A75,-1,0,1,1)&amp;".1",LEFT(OFFSET(A75,-1,0,1,1),FIND("`",SUBSTITUTE(OFFSET(A75,-1,0,1,1),".","`",1)))&amp;IF(ISERROR(FIND("`",SUBSTITUTE(OFFSET(A75,-1,0,1,1),".","`",2))),VALUE(RIGHT(OFFSET(A75,-1,0,1,1),LEN(OFFSET(A75,-1,0,1,1))-FIND("`",SUBSTITUTE(OFFSET(A75,-1,0,1,1),".","`",1))))+1,VALUE(MID(OFFSET(A75,-1,0,1,1),FIND("`",SUBSTITUTE(OFFSET(A75,-1,0,1,1),".","`",1))+1,(FIND("`",SUBSTITUTE(OFFSET(A75,-1,0,1,1),".","`",2))-FIND("`",SUBSTITUTE(OFFSET(A75,-1,0,1,1),".","`",1))-1)))+1)))</f>
        <v/>
      </c>
      <c r="B75" s="238" t="inlineStr">
        <is>
          <t>[ Start date and End date ]</t>
        </is>
      </c>
      <c r="C75" s="11" t="n"/>
      <c r="D75" s="37" t="n"/>
      <c r="E75" s="37" t="n"/>
      <c r="F75" s="37" t="n"/>
      <c r="G75" s="274" t="n"/>
      <c r="H75" s="274" t="n"/>
      <c r="I75" s="272" t="n"/>
      <c r="J75" s="272" t="n"/>
      <c r="K75" s="14">
        <f>IF(OR(G75=0,H75=0),0,NETWORKDAYS(G75,H75,holidays))</f>
        <v/>
      </c>
      <c r="L75" s="80" t="n"/>
      <c r="M75" s="14">
        <f>IF(OR(G75=0,H75=0),0,H75-G75+1)</f>
        <v/>
      </c>
      <c r="N75" s="15">
        <f>WORKDAY(G75,ROUNDDOWN(L75*K75,0),holidays)-G75</f>
        <v/>
      </c>
      <c r="O75" s="14">
        <f>M75-N75</f>
        <v/>
      </c>
      <c r="P75" s="113" t="inlineStr">
        <is>
          <t>k</t>
        </is>
      </c>
      <c r="R75" s="111" t="n"/>
      <c r="S75" s="111" t="n"/>
      <c r="T75" s="111" t="n"/>
      <c r="U75" s="111" t="n"/>
      <c r="V75" s="111" t="n"/>
      <c r="W75" s="111" t="n"/>
      <c r="X75" s="111" t="n"/>
      <c r="Y75" s="111" t="n"/>
      <c r="Z75" s="111" t="n"/>
      <c r="AA75" s="111" t="n"/>
      <c r="AB75" s="111" t="n"/>
      <c r="AC75" s="111" t="n"/>
      <c r="AD75" s="111" t="n"/>
      <c r="AE75" s="111" t="n"/>
      <c r="AF75" s="111" t="n"/>
      <c r="AG75" s="111" t="n"/>
      <c r="AH75" s="111" t="n"/>
      <c r="AI75" s="111" t="n"/>
      <c r="AJ75" s="111" t="n"/>
      <c r="AK75" s="111" t="n"/>
      <c r="AL75" s="111" t="n"/>
      <c r="AM75" s="111" t="n"/>
      <c r="AN75" s="111" t="n"/>
      <c r="AO75" s="111" t="n"/>
      <c r="AP75" s="111" t="n"/>
      <c r="AQ75" s="111" t="n"/>
      <c r="AR75" s="111" t="n"/>
      <c r="AS75" s="111" t="n"/>
      <c r="AT75" s="111" t="n"/>
      <c r="AU75" s="111" t="n"/>
      <c r="AV75" s="111" t="n"/>
      <c r="AW75" s="111" t="n"/>
      <c r="AX75" s="111" t="n"/>
      <c r="AY75" s="111" t="n"/>
      <c r="AZ75" s="111" t="n"/>
      <c r="BA75" s="111" t="n"/>
      <c r="BB75" s="111" t="n"/>
      <c r="BC75" s="111" t="n"/>
      <c r="BD75" s="111" t="n"/>
      <c r="BE75" s="111" t="n"/>
      <c r="BF75" s="111" t="n"/>
      <c r="BG75" s="111" t="n"/>
      <c r="BH75" s="111" t="n"/>
      <c r="BI75" s="111" t="n"/>
      <c r="BJ75" s="111" t="n"/>
      <c r="BK75" s="111" t="n"/>
      <c r="BL75" s="111" t="n"/>
      <c r="BM75" s="111" t="n"/>
      <c r="BN75" s="111" t="n"/>
      <c r="BO75" s="111" t="n"/>
      <c r="BP75" s="111" t="n"/>
      <c r="BQ75" s="111" t="n"/>
      <c r="BR75" s="111" t="n"/>
      <c r="BS75" s="111" t="n"/>
      <c r="BT75" s="111" t="n"/>
      <c r="BU75" s="111" t="n"/>
      <c r="BV75" s="111" t="n"/>
      <c r="BW75" s="111" t="n"/>
      <c r="BX75" s="111" t="n"/>
      <c r="BY75" s="111" t="n"/>
      <c r="BZ75" s="111" t="n"/>
      <c r="CA75" s="111" t="n"/>
      <c r="CB75" s="111" t="n"/>
      <c r="CC75" s="111" t="n"/>
      <c r="CD75" s="111" t="n"/>
      <c r="CE75" s="111" t="n"/>
      <c r="CF75" s="111" t="n"/>
      <c r="CG75" s="111" t="n"/>
      <c r="CH75" s="111" t="n"/>
      <c r="CI75" s="111" t="n"/>
      <c r="CJ75" s="111" t="n"/>
      <c r="CK75" s="111" t="n"/>
      <c r="CL75" s="111" t="n"/>
      <c r="CM75" s="111" t="n"/>
      <c r="CN75" s="111" t="n"/>
      <c r="CO75" s="111" t="n"/>
      <c r="CP75" s="111" t="n"/>
      <c r="CQ75" s="111" t="n"/>
      <c r="CR75" s="111" t="n"/>
      <c r="CS75" s="111" t="n"/>
      <c r="CT75" s="111" t="n"/>
      <c r="CU75" s="111" t="n"/>
      <c r="CV75" s="111" t="n"/>
      <c r="CW75" s="111" t="n"/>
      <c r="CX75" s="111" t="n"/>
      <c r="CY75" s="111" t="n"/>
      <c r="CZ75" s="111" t="n"/>
      <c r="DA75" s="111" t="n"/>
      <c r="DB75" s="111" t="n"/>
      <c r="DC75" s="111" t="n"/>
      <c r="DD75" s="111" t="n"/>
      <c r="DE75" s="111" t="n"/>
      <c r="DF75" s="111" t="n"/>
      <c r="DG75" s="111" t="n"/>
      <c r="DH75" s="111" t="n"/>
      <c r="DI75" s="111" t="n"/>
      <c r="DJ75" s="111" t="n"/>
      <c r="DK75" s="111" t="n"/>
      <c r="DL75" s="111" t="n"/>
      <c r="DM75" s="111" t="n"/>
      <c r="DN75" s="111" t="n"/>
      <c r="DO75" s="111" t="n"/>
      <c r="DP75" s="111" t="n"/>
      <c r="DQ75" s="111" t="n"/>
      <c r="DR75" s="111" t="n"/>
      <c r="DS75" s="111" t="n"/>
      <c r="DT75" s="111" t="n"/>
      <c r="DU75" s="111" t="n"/>
      <c r="DV75" s="111" t="n"/>
      <c r="DW75" s="111" t="n"/>
      <c r="DX75" s="111" t="n"/>
      <c r="DY75" s="111" t="n"/>
      <c r="DZ75" s="111" t="n"/>
      <c r="EA75" s="111" t="n"/>
      <c r="EB75" s="111" t="n"/>
      <c r="EC75" s="111" t="n"/>
      <c r="ED75" s="111" t="n"/>
      <c r="EE75" s="111" t="n"/>
      <c r="EF75" s="111" t="n"/>
      <c r="EG75" s="111" t="n"/>
      <c r="EH75" s="111" t="n"/>
      <c r="EI75" s="111" t="n"/>
      <c r="EJ75" s="111" t="n"/>
      <c r="EK75" s="111" t="n"/>
      <c r="EL75" s="111" t="n"/>
      <c r="EM75" s="111" t="n"/>
      <c r="EN75" s="111" t="n"/>
      <c r="EO75" s="111" t="n"/>
      <c r="EP75" s="111" t="n"/>
      <c r="EQ75" s="111" t="n"/>
      <c r="ER75" s="111" t="n"/>
      <c r="ES75" s="111" t="n"/>
      <c r="ET75" s="111" t="n"/>
      <c r="EU75" s="111" t="n"/>
      <c r="EV75" s="111" t="n"/>
      <c r="EW75" s="111" t="n"/>
      <c r="EX75" s="111" t="n"/>
      <c r="EY75" s="111" t="n"/>
      <c r="EZ75" s="111" t="n"/>
      <c r="FA75" s="111" t="n"/>
      <c r="FB75" s="111" t="n"/>
      <c r="FC75" s="111" t="n"/>
      <c r="FD75" s="111" t="n"/>
      <c r="FE75" s="111" t="n"/>
      <c r="FF75" s="111" t="n"/>
      <c r="FG75" s="111" t="n"/>
      <c r="FH75" s="111" t="n"/>
      <c r="FI75" s="111" t="n"/>
      <c r="FJ75" s="111" t="n"/>
      <c r="FK75" s="111" t="n"/>
      <c r="FL75" s="111" t="n"/>
      <c r="FM75" s="111" t="n"/>
      <c r="FN75" s="111" t="n"/>
      <c r="FO75" s="111" t="n"/>
      <c r="FP75" s="111" t="n"/>
      <c r="FQ75" s="111" t="n"/>
      <c r="FR75" s="111" t="n"/>
      <c r="FS75" s="111" t="n"/>
      <c r="FT75" s="111" t="n"/>
      <c r="FU75" s="111" t="n"/>
      <c r="FV75" s="111" t="n"/>
      <c r="FW75" s="111" t="n"/>
      <c r="FX75" s="111" t="n"/>
      <c r="FY75" s="111" t="n"/>
      <c r="FZ75" s="111" t="n"/>
      <c r="GA75" s="111" t="n"/>
      <c r="GB75" s="111" t="n"/>
      <c r="GC75" s="111" t="n"/>
      <c r="GD75" s="111" t="n"/>
      <c r="GE75" s="111" t="n"/>
      <c r="GF75" s="111" t="n"/>
      <c r="GG75" s="111" t="n"/>
      <c r="GH75" s="111" t="n"/>
      <c r="GI75" s="111" t="n"/>
      <c r="GJ75" s="111" t="n"/>
      <c r="GK75" s="111" t="n"/>
      <c r="GL75" s="111" t="n"/>
      <c r="GM75" s="111" t="n"/>
      <c r="GN75" s="111" t="n"/>
      <c r="GO75" s="111" t="n"/>
      <c r="GP75" s="111" t="n"/>
      <c r="GQ75" s="111" t="n"/>
      <c r="GR75" s="111" t="n"/>
      <c r="GS75" s="111" t="n"/>
      <c r="GT75" s="111" t="n"/>
      <c r="GU75" s="111" t="n"/>
      <c r="GV75" s="111" t="n"/>
      <c r="GW75" s="111" t="n"/>
      <c r="GX75" s="111" t="n"/>
      <c r="GY75" s="111" t="n"/>
      <c r="GZ75" s="111" t="n"/>
      <c r="HA75" s="111" t="n"/>
      <c r="HB75" s="111" t="n"/>
      <c r="HC75" s="111" t="n"/>
      <c r="HD75" s="111" t="n"/>
      <c r="HE75" s="111" t="n"/>
      <c r="HF75" s="111" t="n"/>
      <c r="HG75" s="111" t="n"/>
      <c r="HH75" s="111" t="n"/>
      <c r="HI75" s="111" t="n"/>
      <c r="HJ75" s="111" t="n"/>
      <c r="HK75" s="111" t="n"/>
      <c r="HL75" s="111" t="n"/>
      <c r="HM75" s="111" t="n"/>
      <c r="HN75" s="111" t="n"/>
      <c r="HO75" s="111" t="n"/>
      <c r="HP75" s="111" t="n"/>
      <c r="HQ75" s="111" t="n"/>
      <c r="HR75" s="111" t="n"/>
      <c r="HS75" s="111" t="n"/>
      <c r="HT75" s="111" t="n"/>
      <c r="HU75" s="111" t="n"/>
      <c r="HV75" s="111" t="n"/>
      <c r="HW75" s="111" t="n"/>
      <c r="HX75" s="111" t="n"/>
      <c r="HY75" s="111" t="n"/>
      <c r="HZ75" s="111" t="n"/>
      <c r="IA75" s="111" t="n"/>
      <c r="IB75" s="111" t="n"/>
      <c r="IC75" s="111" t="n"/>
      <c r="ID75" s="111" t="n"/>
      <c r="IE75" s="111" t="n"/>
      <c r="IF75" s="111" t="n"/>
      <c r="IG75" s="111" t="n"/>
      <c r="IH75" s="111" t="n"/>
      <c r="II75" s="111" t="n"/>
      <c r="IJ75" s="111" t="n"/>
      <c r="IK75" s="111" t="n"/>
      <c r="IL75" s="111" t="n"/>
      <c r="IM75" s="111" t="n"/>
      <c r="IN75" s="111" t="n"/>
      <c r="IO75" s="111" t="n"/>
      <c r="IP75" s="111" t="n"/>
      <c r="IQ75" s="111" t="n"/>
      <c r="IR75" s="111" t="n"/>
      <c r="IS75" s="111" t="n"/>
      <c r="IT75" s="111" t="n"/>
      <c r="IU75" s="111" t="n"/>
      <c r="IV75" s="111" t="n"/>
      <c r="IW75" s="111" t="n"/>
      <c r="IX75" s="111" t="n"/>
      <c r="IY75" s="111" t="n"/>
      <c r="IZ75" s="111" t="n"/>
      <c r="JA75" s="111" t="n"/>
      <c r="JB75" s="111" t="n"/>
      <c r="JC75" s="111" t="n"/>
      <c r="JD75" s="111" t="n"/>
      <c r="JE75" s="111" t="n"/>
      <c r="JF75" s="111" t="n"/>
      <c r="JG75" s="111" t="n"/>
      <c r="JH75" s="111" t="n"/>
      <c r="JI75" s="111" t="n"/>
      <c r="JJ75" s="111" t="n"/>
      <c r="JK75" s="111" t="n"/>
      <c r="JL75" s="111" t="n"/>
      <c r="JM75" s="111" t="n"/>
      <c r="JN75" s="111" t="n"/>
      <c r="JO75" s="111" t="n"/>
      <c r="JP75" s="111" t="n"/>
      <c r="JQ75" s="111" t="n"/>
      <c r="JR75" s="111" t="n"/>
      <c r="JS75" s="111" t="n"/>
      <c r="JT75" s="111" t="n"/>
      <c r="JU75" s="111" t="n"/>
      <c r="JV75" s="111" t="n"/>
      <c r="JW75" s="111" t="n"/>
      <c r="JX75" s="111" t="n"/>
      <c r="JY75" s="111" t="n"/>
      <c r="JZ75" s="111" t="n"/>
      <c r="KA75" s="111" t="n"/>
      <c r="KB75" s="111" t="n"/>
      <c r="KC75" s="111" t="n"/>
      <c r="KD75" s="111" t="n"/>
      <c r="KE75" s="111" t="n"/>
      <c r="KF75" s="111" t="n"/>
      <c r="KG75" s="111" t="n"/>
      <c r="KH75" s="111" t="n"/>
      <c r="KI75" s="111" t="n"/>
      <c r="KJ75" s="111" t="n"/>
      <c r="KK75" s="111" t="n"/>
      <c r="KL75" s="111" t="n"/>
      <c r="KM75" s="111" t="n"/>
      <c r="KN75" s="111" t="n"/>
      <c r="KO75" s="111" t="n"/>
      <c r="KP75" s="111" t="n"/>
      <c r="KQ75" s="111" t="n"/>
      <c r="KR75" s="111" t="n"/>
      <c r="KS75" s="111" t="n"/>
      <c r="KT75" s="111" t="n"/>
      <c r="KU75" s="111" t="n"/>
      <c r="KV75" s="111" t="n"/>
      <c r="KW75" s="111" t="n"/>
      <c r="KX75" s="111" t="n"/>
      <c r="KY75" s="111" t="n"/>
      <c r="KZ75" s="111" t="n"/>
      <c r="LA75" s="111" t="n"/>
      <c r="LB75" s="111" t="n"/>
      <c r="LC75" s="111" t="n"/>
      <c r="LD75" s="111" t="n"/>
      <c r="LE75" s="111" t="n"/>
      <c r="LF75" s="111" t="n"/>
      <c r="LG75" s="111" t="n"/>
      <c r="LH75" s="111" t="n"/>
      <c r="LI75" s="111" t="n"/>
      <c r="LJ75" s="111" t="n"/>
      <c r="LK75" s="111" t="n"/>
      <c r="LL75" s="111" t="n"/>
      <c r="LM75" s="111" t="n"/>
      <c r="LN75" s="111" t="n"/>
      <c r="LO75" s="111" t="n"/>
      <c r="LP75" s="111" t="n"/>
      <c r="LQ75" s="111" t="n"/>
      <c r="LR75" s="111" t="n"/>
      <c r="LS75" s="111" t="n"/>
      <c r="LT75" s="111" t="n"/>
      <c r="LU75" s="111" t="n"/>
      <c r="LV75" s="111" t="n"/>
      <c r="LW75" s="111" t="n"/>
      <c r="LX75" s="111" t="n"/>
      <c r="LY75" s="111" t="n"/>
      <c r="LZ75" s="111" t="n"/>
      <c r="MA75" s="111" t="n"/>
      <c r="MB75" s="111" t="n"/>
      <c r="MC75" s="111" t="n"/>
      <c r="MD75" s="111" t="n"/>
      <c r="ME75" s="111" t="n"/>
      <c r="MF75" s="111" t="n"/>
      <c r="MG75" s="111" t="n"/>
      <c r="MH75" s="111" t="n"/>
      <c r="MI75" s="111" t="n"/>
      <c r="MJ75" s="111" t="n"/>
      <c r="MK75" s="111" t="n"/>
      <c r="ML75" s="111" t="n"/>
      <c r="MM75" s="111" t="n"/>
      <c r="MN75" s="111" t="n"/>
      <c r="MO75" s="111" t="n"/>
      <c r="MP75" s="111" t="n"/>
      <c r="MQ75" s="111" t="n"/>
      <c r="MR75" s="111" t="n"/>
      <c r="MS75" s="111" t="n"/>
      <c r="MT75" s="111" t="n"/>
      <c r="MU75" s="111" t="n"/>
      <c r="MV75" s="111" t="n"/>
      <c r="MW75" s="111" t="n"/>
      <c r="MX75" s="111" t="n"/>
      <c r="MY75" s="111" t="n"/>
      <c r="MZ75" s="111" t="n"/>
      <c r="NA75" s="111" t="n"/>
      <c r="NB75" s="111" t="n"/>
      <c r="NC75" s="111" t="n"/>
      <c r="ND75" s="111" t="n"/>
      <c r="NE75" s="111" t="n"/>
      <c r="NF75" s="111" t="n"/>
      <c r="NG75" s="111" t="n"/>
      <c r="NH75" s="111" t="n"/>
      <c r="NI75" s="111" t="n"/>
      <c r="NJ75" s="111" t="n"/>
      <c r="NK75" s="111" t="n"/>
      <c r="NL75" s="111" t="n"/>
      <c r="NM75" s="111" t="n"/>
      <c r="NN75" s="111" t="n"/>
      <c r="NO75" s="111" t="n"/>
      <c r="NP75" s="111" t="n"/>
      <c r="NQ75" s="111" t="n"/>
    </row>
    <row r="76" customFormat="1" s="17">
      <c r="A76" s="33">
        <f>IF(ISERROR(VALUE(SUBSTITUTE(OFFSET(A76,-1,0,1,1),".",""))),"0.1",IF(ISERROR(FIND("`",SUBSTITUTE(OFFSET(A76,-1,0,1,1),".","`",1))),OFFSET(A76,-1,0,1,1)&amp;".1",LEFT(OFFSET(A76,-1,0,1,1),FIND("`",SUBSTITUTE(OFFSET(A76,-1,0,1,1),".","`",1)))&amp;IF(ISERROR(FIND("`",SUBSTITUTE(OFFSET(A76,-1,0,1,1),".","`",2))),VALUE(RIGHT(OFFSET(A76,-1,0,1,1),LEN(OFFSET(A76,-1,0,1,1))-FIND("`",SUBSTITUTE(OFFSET(A76,-1,0,1,1),".","`",1))))+1,VALUE(MID(OFFSET(A76,-1,0,1,1),FIND("`",SUBSTITUTE(OFFSET(A76,-1,0,1,1),".","`",1))+1,(FIND("`",SUBSTITUTE(OFFSET(A76,-1,0,1,1),".","`",2))-FIND("`",SUBSTITUTE(OFFSET(A76,-1,0,1,1),".","`",1))-1)))+1)))</f>
        <v/>
      </c>
      <c r="B76" s="238" t="inlineStr">
        <is>
          <t>[ Start date and Work Days ]</t>
        </is>
      </c>
      <c r="C76" s="11" t="n"/>
      <c r="D76" s="37" t="n"/>
      <c r="E76" s="37" t="n"/>
      <c r="F76" s="37" t="n"/>
      <c r="G76" s="274" t="n"/>
      <c r="H76" s="275">
        <f>IF(K76=0,G76,WORKDAY(IF(WEEKDAY(G76,1)=7,G76+2,IF(WEEKDAY(G76,1)=1,G76+1,G76)),K76-1,holidays))</f>
        <v/>
      </c>
      <c r="I76" s="272" t="n"/>
      <c r="J76" s="272" t="n"/>
      <c r="K76" s="79" t="n"/>
      <c r="L76" s="80" t="n"/>
      <c r="M76" s="14">
        <f>IF(OR(G76=0,H76=0),0,H76-G76+1)</f>
        <v/>
      </c>
      <c r="N76" s="15">
        <f>WORKDAY(G76,ROUNDDOWN(L76*K76,0),holidays)-G76</f>
        <v/>
      </c>
      <c r="O76" s="14">
        <f>M76-N76</f>
        <v/>
      </c>
      <c r="P76" s="113" t="n"/>
      <c r="Q76" s="17" t="n"/>
      <c r="R76" s="111" t="n"/>
      <c r="S76" s="111" t="n"/>
      <c r="T76" s="111" t="n"/>
      <c r="U76" s="111" t="n"/>
      <c r="V76" s="111" t="n"/>
      <c r="W76" s="111" t="n"/>
      <c r="X76" s="111" t="n"/>
      <c r="Y76" s="111" t="n"/>
      <c r="Z76" s="111" t="n"/>
      <c r="AA76" s="111" t="n"/>
      <c r="AB76" s="111" t="n"/>
      <c r="AC76" s="111" t="n"/>
      <c r="AD76" s="111" t="n"/>
      <c r="AE76" s="111" t="n"/>
      <c r="AF76" s="111" t="n"/>
      <c r="AG76" s="111" t="n"/>
      <c r="AH76" s="111" t="n"/>
      <c r="AI76" s="111" t="n"/>
      <c r="AJ76" s="111" t="n"/>
      <c r="AK76" s="111" t="n"/>
      <c r="AL76" s="111" t="n"/>
      <c r="AM76" s="111" t="n"/>
      <c r="AN76" s="111" t="n"/>
      <c r="AO76" s="111" t="n"/>
      <c r="AP76" s="111" t="n"/>
      <c r="AQ76" s="111" t="n"/>
      <c r="AR76" s="111" t="n"/>
      <c r="AS76" s="111" t="n"/>
      <c r="AT76" s="111" t="n"/>
      <c r="AU76" s="111" t="n"/>
      <c r="AV76" s="111" t="n"/>
      <c r="AW76" s="111" t="n"/>
      <c r="AX76" s="111" t="n"/>
      <c r="AY76" s="111" t="n"/>
      <c r="AZ76" s="111" t="n"/>
      <c r="BA76" s="111" t="n"/>
      <c r="BB76" s="111" t="n"/>
      <c r="BC76" s="111" t="n"/>
      <c r="BD76" s="111" t="n"/>
      <c r="BE76" s="111" t="n"/>
      <c r="BF76" s="111" t="n"/>
      <c r="BG76" s="111" t="n"/>
      <c r="BH76" s="111" t="n"/>
      <c r="BI76" s="111" t="n"/>
      <c r="BJ76" s="111" t="n"/>
      <c r="BK76" s="111" t="n"/>
      <c r="BL76" s="111" t="n"/>
      <c r="BM76" s="111" t="n"/>
      <c r="BN76" s="111" t="n"/>
      <c r="BO76" s="111" t="n"/>
      <c r="BP76" s="111" t="n"/>
      <c r="BQ76" s="111" t="n"/>
      <c r="BR76" s="111" t="n"/>
      <c r="BS76" s="111" t="n"/>
      <c r="BT76" s="111" t="n"/>
      <c r="BU76" s="111" t="n"/>
      <c r="BV76" s="111" t="n"/>
      <c r="BW76" s="111" t="n"/>
      <c r="BX76" s="111" t="n"/>
      <c r="BY76" s="111" t="n"/>
      <c r="BZ76" s="111" t="n"/>
      <c r="CA76" s="111" t="n"/>
      <c r="CB76" s="111" t="n"/>
      <c r="CC76" s="111" t="n"/>
      <c r="CD76" s="111" t="n"/>
      <c r="CE76" s="111" t="n"/>
      <c r="CF76" s="111" t="n"/>
      <c r="CG76" s="111" t="n"/>
      <c r="CH76" s="111" t="n"/>
      <c r="CI76" s="111" t="n"/>
      <c r="CJ76" s="111" t="n"/>
      <c r="CK76" s="111" t="n"/>
      <c r="CL76" s="111" t="n"/>
      <c r="CM76" s="111" t="n"/>
      <c r="CN76" s="111" t="n"/>
      <c r="CO76" s="111" t="n"/>
      <c r="CP76" s="111" t="n"/>
      <c r="CQ76" s="111" t="n"/>
      <c r="CR76" s="111" t="n"/>
      <c r="CS76" s="111" t="n"/>
      <c r="CT76" s="111" t="n"/>
      <c r="CU76" s="111" t="n"/>
      <c r="CV76" s="111" t="n"/>
      <c r="CW76" s="111" t="n"/>
      <c r="CX76" s="111" t="n"/>
      <c r="CY76" s="111" t="n"/>
      <c r="CZ76" s="111" t="n"/>
      <c r="DA76" s="111" t="n"/>
      <c r="DB76" s="111" t="n"/>
      <c r="DC76" s="111" t="n"/>
      <c r="DD76" s="111" t="n"/>
      <c r="DE76" s="111" t="n"/>
      <c r="DF76" s="111" t="n"/>
      <c r="DG76" s="111" t="n"/>
      <c r="DH76" s="111" t="n"/>
      <c r="DI76" s="111" t="n"/>
      <c r="DJ76" s="111" t="n"/>
      <c r="DK76" s="111" t="n"/>
      <c r="DL76" s="111" t="n"/>
      <c r="DM76" s="111" t="n"/>
      <c r="DN76" s="111" t="n"/>
      <c r="DO76" s="111" t="n"/>
      <c r="DP76" s="111" t="n"/>
      <c r="DQ76" s="111" t="n"/>
      <c r="DR76" s="111" t="n"/>
      <c r="DS76" s="111" t="n"/>
      <c r="DT76" s="111" t="n"/>
      <c r="DU76" s="111" t="n"/>
      <c r="DV76" s="111" t="n"/>
      <c r="DW76" s="111" t="n"/>
      <c r="DX76" s="111" t="n"/>
      <c r="DY76" s="111" t="n"/>
      <c r="DZ76" s="111" t="n"/>
      <c r="EA76" s="111" t="n"/>
      <c r="EB76" s="111" t="n"/>
      <c r="EC76" s="111" t="n"/>
      <c r="ED76" s="111" t="n"/>
      <c r="EE76" s="111" t="n"/>
      <c r="EF76" s="111" t="n"/>
      <c r="EG76" s="111" t="n"/>
      <c r="EH76" s="111" t="n"/>
      <c r="EI76" s="111" t="n"/>
      <c r="EJ76" s="111" t="n"/>
      <c r="EK76" s="111" t="n"/>
      <c r="EL76" s="111" t="n"/>
      <c r="EM76" s="111" t="n"/>
      <c r="EN76" s="111" t="n"/>
      <c r="EO76" s="111" t="n"/>
      <c r="EP76" s="111" t="n"/>
      <c r="EQ76" s="111" t="n"/>
      <c r="ER76" s="111" t="n"/>
      <c r="ES76" s="111" t="n"/>
      <c r="ET76" s="111" t="n"/>
      <c r="EU76" s="111" t="n"/>
      <c r="EV76" s="111" t="n"/>
      <c r="EW76" s="111" t="n"/>
      <c r="EX76" s="111" t="n"/>
      <c r="EY76" s="111" t="n"/>
      <c r="EZ76" s="111" t="n"/>
      <c r="FA76" s="111" t="n"/>
      <c r="FB76" s="111" t="n"/>
      <c r="FC76" s="111" t="n"/>
      <c r="FD76" s="111" t="n"/>
      <c r="FE76" s="111" t="n"/>
      <c r="FF76" s="111" t="n"/>
      <c r="FG76" s="111" t="n"/>
      <c r="FH76" s="111" t="n"/>
      <c r="FI76" s="111" t="n"/>
      <c r="FJ76" s="111" t="n"/>
      <c r="FK76" s="111" t="n"/>
      <c r="FL76" s="111" t="n"/>
      <c r="FM76" s="111" t="n"/>
      <c r="FN76" s="111" t="n"/>
      <c r="FO76" s="111" t="n"/>
      <c r="FP76" s="111" t="n"/>
      <c r="FQ76" s="111" t="n"/>
      <c r="FR76" s="111" t="n"/>
      <c r="FS76" s="111" t="n"/>
      <c r="FT76" s="111" t="n"/>
      <c r="FU76" s="111" t="n"/>
      <c r="FV76" s="111" t="n"/>
      <c r="FW76" s="111" t="n"/>
      <c r="FX76" s="111" t="n"/>
      <c r="FY76" s="111" t="n"/>
      <c r="FZ76" s="111" t="n"/>
      <c r="GA76" s="111" t="n"/>
      <c r="GB76" s="111" t="n"/>
      <c r="GC76" s="111" t="n"/>
      <c r="GD76" s="111" t="n"/>
      <c r="GE76" s="111" t="n"/>
      <c r="GF76" s="111" t="n"/>
      <c r="GG76" s="111" t="n"/>
      <c r="GH76" s="111" t="n"/>
      <c r="GI76" s="111" t="n"/>
      <c r="GJ76" s="111" t="n"/>
      <c r="GK76" s="111" t="n"/>
      <c r="GL76" s="111" t="n"/>
      <c r="GM76" s="111" t="n"/>
      <c r="GN76" s="111" t="n"/>
      <c r="GO76" s="111" t="n"/>
      <c r="GP76" s="111" t="n"/>
      <c r="GQ76" s="111" t="n"/>
      <c r="GR76" s="111" t="n"/>
      <c r="GS76" s="111" t="n"/>
      <c r="GT76" s="111" t="n"/>
      <c r="GU76" s="111" t="n"/>
      <c r="GV76" s="111" t="n"/>
      <c r="GW76" s="111" t="n"/>
      <c r="GX76" s="111" t="n"/>
      <c r="GY76" s="111" t="n"/>
      <c r="GZ76" s="111" t="n"/>
      <c r="HA76" s="111" t="n"/>
      <c r="HB76" s="111" t="n"/>
      <c r="HC76" s="111" t="n"/>
      <c r="HD76" s="111" t="n"/>
      <c r="HE76" s="111" t="n"/>
      <c r="HF76" s="111" t="n"/>
      <c r="HG76" s="111" t="n"/>
      <c r="HH76" s="111" t="n"/>
      <c r="HI76" s="111" t="n"/>
      <c r="HJ76" s="111" t="n"/>
      <c r="HK76" s="111" t="n"/>
      <c r="HL76" s="111" t="n"/>
      <c r="HM76" s="111" t="n"/>
      <c r="HN76" s="111" t="n"/>
      <c r="HO76" s="111" t="n"/>
      <c r="HP76" s="111" t="n"/>
      <c r="HQ76" s="111" t="n"/>
      <c r="HR76" s="111" t="n"/>
      <c r="HS76" s="111" t="n"/>
      <c r="HT76" s="111" t="n"/>
      <c r="HU76" s="111" t="n"/>
      <c r="HV76" s="111" t="n"/>
      <c r="HW76" s="111" t="n"/>
      <c r="HX76" s="111" t="n"/>
      <c r="HY76" s="111" t="n"/>
      <c r="HZ76" s="111" t="n"/>
      <c r="IA76" s="111" t="n"/>
      <c r="IB76" s="111" t="n"/>
      <c r="IC76" s="111" t="n"/>
      <c r="ID76" s="111" t="n"/>
      <c r="IE76" s="111" t="n"/>
      <c r="IF76" s="111" t="n"/>
      <c r="IG76" s="111" t="n"/>
      <c r="IH76" s="111" t="n"/>
      <c r="II76" s="111" t="n"/>
      <c r="IJ76" s="111" t="n"/>
      <c r="IK76" s="111" t="n"/>
      <c r="IL76" s="111" t="n"/>
      <c r="IM76" s="111" t="n"/>
      <c r="IN76" s="111" t="n"/>
      <c r="IO76" s="111" t="n"/>
      <c r="IP76" s="111" t="n"/>
      <c r="IQ76" s="111" t="n"/>
      <c r="IR76" s="111" t="n"/>
      <c r="IS76" s="111" t="n"/>
      <c r="IT76" s="111" t="n"/>
      <c r="IU76" s="111" t="n"/>
      <c r="IV76" s="111" t="n"/>
      <c r="IW76" s="111" t="n"/>
      <c r="IX76" s="111" t="n"/>
      <c r="IY76" s="111" t="n"/>
      <c r="IZ76" s="111" t="n"/>
      <c r="JA76" s="111" t="n"/>
      <c r="JB76" s="111" t="n"/>
      <c r="JC76" s="111" t="n"/>
      <c r="JD76" s="111" t="n"/>
      <c r="JE76" s="111" t="n"/>
      <c r="JF76" s="111" t="n"/>
      <c r="JG76" s="111" t="n"/>
      <c r="JH76" s="111" t="n"/>
      <c r="JI76" s="111" t="n"/>
      <c r="JJ76" s="111" t="n"/>
      <c r="JK76" s="111" t="n"/>
      <c r="JL76" s="111" t="n"/>
      <c r="JM76" s="111" t="n"/>
      <c r="JN76" s="111" t="n"/>
      <c r="JO76" s="111" t="n"/>
      <c r="JP76" s="111" t="n"/>
      <c r="JQ76" s="111" t="n"/>
      <c r="JR76" s="111" t="n"/>
      <c r="JS76" s="111" t="n"/>
      <c r="JT76" s="111" t="n"/>
      <c r="JU76" s="111" t="n"/>
      <c r="JV76" s="111" t="n"/>
      <c r="JW76" s="111" t="n"/>
      <c r="JX76" s="111" t="n"/>
      <c r="JY76" s="111" t="n"/>
      <c r="JZ76" s="111" t="n"/>
      <c r="KA76" s="111" t="n"/>
      <c r="KB76" s="111" t="n"/>
      <c r="KC76" s="111" t="n"/>
      <c r="KD76" s="111" t="n"/>
      <c r="KE76" s="111" t="n"/>
      <c r="KF76" s="111" t="n"/>
      <c r="KG76" s="111" t="n"/>
      <c r="KH76" s="111" t="n"/>
      <c r="KI76" s="111" t="n"/>
      <c r="KJ76" s="111" t="n"/>
      <c r="KK76" s="111" t="n"/>
      <c r="KL76" s="111" t="n"/>
      <c r="KM76" s="111" t="n"/>
      <c r="KN76" s="111" t="n"/>
      <c r="KO76" s="111" t="n"/>
      <c r="KP76" s="111" t="n"/>
      <c r="KQ76" s="111" t="n"/>
      <c r="KR76" s="111" t="n"/>
      <c r="KS76" s="111" t="n"/>
      <c r="KT76" s="111" t="n"/>
      <c r="KU76" s="111" t="n"/>
      <c r="KV76" s="111" t="n"/>
      <c r="KW76" s="111" t="n"/>
      <c r="KX76" s="111" t="n"/>
      <c r="KY76" s="111" t="n"/>
      <c r="KZ76" s="111" t="n"/>
      <c r="LA76" s="111" t="n"/>
      <c r="LB76" s="111" t="n"/>
      <c r="LC76" s="111" t="n"/>
      <c r="LD76" s="111" t="n"/>
      <c r="LE76" s="111" t="n"/>
      <c r="LF76" s="111" t="n"/>
      <c r="LG76" s="111" t="n"/>
      <c r="LH76" s="111" t="n"/>
      <c r="LI76" s="111" t="n"/>
      <c r="LJ76" s="111" t="n"/>
      <c r="LK76" s="111" t="n"/>
      <c r="LL76" s="111" t="n"/>
      <c r="LM76" s="111" t="n"/>
      <c r="LN76" s="111" t="n"/>
      <c r="LO76" s="111" t="n"/>
      <c r="LP76" s="111" t="n"/>
      <c r="LQ76" s="111" t="n"/>
      <c r="LR76" s="111" t="n"/>
      <c r="LS76" s="111" t="n"/>
      <c r="LT76" s="111" t="n"/>
      <c r="LU76" s="111" t="n"/>
      <c r="LV76" s="111" t="n"/>
      <c r="LW76" s="111" t="n"/>
      <c r="LX76" s="111" t="n"/>
      <c r="LY76" s="111" t="n"/>
      <c r="LZ76" s="111" t="n"/>
      <c r="MA76" s="111" t="n"/>
      <c r="MB76" s="111" t="n"/>
      <c r="MC76" s="111" t="n"/>
      <c r="MD76" s="111" t="n"/>
      <c r="ME76" s="111" t="n"/>
      <c r="MF76" s="111" t="n"/>
      <c r="MG76" s="111" t="n"/>
      <c r="MH76" s="111" t="n"/>
      <c r="MI76" s="111" t="n"/>
      <c r="MJ76" s="111" t="n"/>
      <c r="MK76" s="111" t="n"/>
      <c r="ML76" s="111" t="n"/>
      <c r="MM76" s="111" t="n"/>
      <c r="MN76" s="111" t="n"/>
      <c r="MO76" s="111" t="n"/>
      <c r="MP76" s="111" t="n"/>
      <c r="MQ76" s="111" t="n"/>
      <c r="MR76" s="111" t="n"/>
      <c r="MS76" s="111" t="n"/>
      <c r="MT76" s="111" t="n"/>
      <c r="MU76" s="111" t="n"/>
      <c r="MV76" s="111" t="n"/>
      <c r="MW76" s="111" t="n"/>
      <c r="MX76" s="111" t="n"/>
      <c r="MY76" s="111" t="n"/>
      <c r="MZ76" s="111" t="n"/>
      <c r="NA76" s="111" t="n"/>
      <c r="NB76" s="111" t="n"/>
      <c r="NC76" s="111" t="n"/>
      <c r="ND76" s="111" t="n"/>
      <c r="NE76" s="111" t="n"/>
      <c r="NF76" s="111" t="n"/>
      <c r="NG76" s="111" t="n"/>
      <c r="NH76" s="111" t="n"/>
      <c r="NI76" s="111" t="n"/>
      <c r="NJ76" s="111" t="n"/>
      <c r="NK76" s="111" t="n"/>
      <c r="NL76" s="111" t="n"/>
      <c r="NM76" s="111" t="n"/>
      <c r="NN76" s="111" t="n"/>
      <c r="NO76" s="111" t="n"/>
      <c r="NP76" s="111" t="n"/>
      <c r="NQ76" s="111" t="n"/>
    </row>
    <row r="77" customFormat="1" s="17">
      <c r="A77" s="33">
        <f>IF(ISERROR(VALUE(SUBSTITUTE(OFFSET(A77,-1,0,1,1),".",""))),"0.1",IF(ISERROR(FIND("`",SUBSTITUTE(OFFSET(A77,-1,0,1,1),".","`",1))),OFFSET(A77,-1,0,1,1)&amp;".1",LEFT(OFFSET(A77,-1,0,1,1),FIND("`",SUBSTITUTE(OFFSET(A77,-1,0,1,1),".","`",1)))&amp;IF(ISERROR(FIND("`",SUBSTITUTE(OFFSET(A77,-1,0,1,1),".","`",2))),VALUE(RIGHT(OFFSET(A77,-1,0,1,1),LEN(OFFSET(A77,-1,0,1,1))-FIND("`",SUBSTITUTE(OFFSET(A77,-1,0,1,1),".","`",1))))+1,VALUE(MID(OFFSET(A77,-1,0,1,1),FIND("`",SUBSTITUTE(OFFSET(A77,-1,0,1,1),".","`",1))+1,(FIND("`",SUBSTITUTE(OFFSET(A77,-1,0,1,1),".","`",2))-FIND("`",SUBSTITUTE(OFFSET(A77,-1,0,1,1),".","`",1))-1)))+1)))</f>
        <v/>
      </c>
      <c r="B77" s="135" t="inlineStr">
        <is>
          <t>[ Predecessors and Work Days ]</t>
        </is>
      </c>
      <c r="C77" s="11" t="n"/>
      <c r="D77" s="81" t="n"/>
      <c r="E77" s="81" t="n"/>
      <c r="F77" s="81" t="n"/>
      <c r="G77" s="275">
        <f>MAX(IF(D77="",$G$6,WORKDAY(INDEX(H:H,MATCH(D77,A:A,0)),1,holidays)),IF(E77="",$G$6,WORKDAY(INDEX(H:H,MATCH(E77,A:A,0)),1,holidays)),IF(F77="",$G$6,WORKDAY(INDEX(H:H,MATCH(F77,A:A,0)),1,holidays)))</f>
        <v/>
      </c>
      <c r="H77" s="275">
        <f>IF(K77=0,G77,WORKDAY(IF(WEEKDAY(G77,1)=7,G77+2,IF(WEEKDAY(G77,1)=1,G77+1,G77)),K77-1,holidays))</f>
        <v/>
      </c>
      <c r="I77" s="272" t="n"/>
      <c r="J77" s="272" t="n"/>
      <c r="K77" s="79" t="n"/>
      <c r="L77" s="80" t="n"/>
      <c r="M77" s="14">
        <f>IF(OR(G77=0,H77=0),0,H77-G77+1)</f>
        <v/>
      </c>
      <c r="N77" s="15">
        <f>WORKDAY(G77,ROUNDDOWN(L77*K77,0),holidays)-G77</f>
        <v/>
      </c>
      <c r="O77" s="14">
        <f>M77-N77</f>
        <v/>
      </c>
      <c r="P77" s="113" t="n"/>
      <c r="Q77" s="17" t="n"/>
      <c r="R77" s="111" t="n"/>
      <c r="S77" s="111" t="n"/>
      <c r="T77" s="111" t="n"/>
      <c r="U77" s="111" t="n"/>
      <c r="V77" s="111" t="n"/>
      <c r="W77" s="111" t="n"/>
      <c r="X77" s="111" t="n"/>
      <c r="Y77" s="111" t="n"/>
      <c r="Z77" s="111" t="n"/>
      <c r="AA77" s="111" t="n"/>
      <c r="AB77" s="111" t="n"/>
      <c r="AC77" s="111" t="n"/>
      <c r="AD77" s="111" t="n"/>
      <c r="AE77" s="111" t="n"/>
      <c r="AF77" s="111" t="n"/>
      <c r="AG77" s="111" t="n"/>
      <c r="AH77" s="111" t="n"/>
      <c r="AI77" s="111" t="n"/>
      <c r="AJ77" s="111" t="n"/>
      <c r="AK77" s="111" t="n"/>
      <c r="AL77" s="111" t="n"/>
      <c r="AM77" s="111" t="n"/>
      <c r="AN77" s="111" t="n"/>
      <c r="AO77" s="111" t="n"/>
      <c r="AP77" s="111" t="n"/>
      <c r="AQ77" s="111" t="n"/>
      <c r="AR77" s="111" t="n"/>
      <c r="AS77" s="111" t="n"/>
      <c r="AT77" s="111" t="n"/>
      <c r="AU77" s="111" t="n"/>
      <c r="AV77" s="111" t="n"/>
      <c r="AW77" s="111" t="n"/>
      <c r="AX77" s="111" t="n"/>
      <c r="AY77" s="111" t="n"/>
      <c r="AZ77" s="111" t="n"/>
      <c r="BA77" s="111" t="n"/>
      <c r="BB77" s="111" t="n"/>
      <c r="BC77" s="111" t="n"/>
      <c r="BD77" s="111" t="n"/>
      <c r="BE77" s="111" t="n"/>
      <c r="BF77" s="111" t="n"/>
      <c r="BG77" s="111" t="n"/>
      <c r="BH77" s="111" t="n"/>
      <c r="BI77" s="111" t="n"/>
      <c r="BJ77" s="111" t="n"/>
      <c r="BK77" s="111" t="n"/>
      <c r="BL77" s="111" t="n"/>
      <c r="BM77" s="111" t="n"/>
      <c r="BN77" s="111" t="n"/>
      <c r="BO77" s="111" t="n"/>
      <c r="BP77" s="111" t="n"/>
      <c r="BQ77" s="111" t="n"/>
      <c r="BR77" s="111" t="n"/>
      <c r="BS77" s="111" t="n"/>
      <c r="BT77" s="111" t="n"/>
      <c r="BU77" s="111" t="n"/>
      <c r="BV77" s="111" t="n"/>
      <c r="BW77" s="111" t="n"/>
      <c r="BX77" s="111" t="n"/>
      <c r="BY77" s="111" t="n"/>
      <c r="BZ77" s="111" t="n"/>
      <c r="CA77" s="111" t="n"/>
      <c r="CB77" s="111" t="n"/>
      <c r="CC77" s="111" t="n"/>
      <c r="CD77" s="111" t="n"/>
      <c r="CE77" s="111" t="n"/>
      <c r="CF77" s="111" t="n"/>
      <c r="CG77" s="111" t="n"/>
      <c r="CH77" s="111" t="n"/>
      <c r="CI77" s="111" t="n"/>
      <c r="CJ77" s="111" t="n"/>
      <c r="CK77" s="111" t="n"/>
      <c r="CL77" s="111" t="n"/>
      <c r="CM77" s="111" t="n"/>
      <c r="CN77" s="111" t="n"/>
      <c r="CO77" s="111" t="n"/>
      <c r="CP77" s="111" t="n"/>
      <c r="CQ77" s="111" t="n"/>
      <c r="CR77" s="111" t="n"/>
      <c r="CS77" s="111" t="n"/>
      <c r="CT77" s="111" t="n"/>
      <c r="CU77" s="111" t="n"/>
      <c r="CV77" s="111" t="n"/>
      <c r="CW77" s="111" t="n"/>
      <c r="CX77" s="111" t="n"/>
      <c r="CY77" s="111" t="n"/>
      <c r="CZ77" s="111" t="n"/>
      <c r="DA77" s="111" t="n"/>
      <c r="DB77" s="111" t="n"/>
      <c r="DC77" s="111" t="n"/>
      <c r="DD77" s="111" t="n"/>
      <c r="DE77" s="111" t="n"/>
      <c r="DF77" s="111" t="n"/>
      <c r="DG77" s="111" t="n"/>
      <c r="DH77" s="111" t="n"/>
      <c r="DI77" s="111" t="n"/>
      <c r="DJ77" s="111" t="n"/>
      <c r="DK77" s="111" t="n"/>
      <c r="DL77" s="111" t="n"/>
      <c r="DM77" s="111" t="n"/>
      <c r="DN77" s="111" t="n"/>
      <c r="DO77" s="111" t="n"/>
      <c r="DP77" s="111" t="n"/>
      <c r="DQ77" s="111" t="n"/>
      <c r="DR77" s="111" t="n"/>
      <c r="DS77" s="111" t="n"/>
      <c r="DT77" s="111" t="n"/>
      <c r="DU77" s="111" t="n"/>
      <c r="DV77" s="111" t="n"/>
      <c r="DW77" s="111" t="n"/>
      <c r="DX77" s="111" t="n"/>
      <c r="DY77" s="111" t="n"/>
      <c r="DZ77" s="111" t="n"/>
      <c r="EA77" s="111" t="n"/>
      <c r="EB77" s="111" t="n"/>
      <c r="EC77" s="111" t="n"/>
      <c r="ED77" s="111" t="n"/>
      <c r="EE77" s="111" t="n"/>
      <c r="EF77" s="111" t="n"/>
      <c r="EG77" s="111" t="n"/>
      <c r="EH77" s="111" t="n"/>
      <c r="EI77" s="111" t="n"/>
      <c r="EJ77" s="111" t="n"/>
      <c r="EK77" s="111" t="n"/>
      <c r="EL77" s="111" t="n"/>
      <c r="EM77" s="111" t="n"/>
      <c r="EN77" s="111" t="n"/>
      <c r="EO77" s="111" t="n"/>
      <c r="EP77" s="111" t="n"/>
      <c r="EQ77" s="111" t="n"/>
      <c r="ER77" s="111" t="n"/>
      <c r="ES77" s="111" t="n"/>
      <c r="ET77" s="111" t="n"/>
      <c r="EU77" s="111" t="n"/>
      <c r="EV77" s="111" t="n"/>
      <c r="EW77" s="111" t="n"/>
      <c r="EX77" s="111" t="n"/>
      <c r="EY77" s="111" t="n"/>
      <c r="EZ77" s="111" t="n"/>
      <c r="FA77" s="111" t="n"/>
      <c r="FB77" s="111" t="n"/>
      <c r="FC77" s="111" t="n"/>
      <c r="FD77" s="111" t="n"/>
      <c r="FE77" s="111" t="n"/>
      <c r="FF77" s="111" t="n"/>
      <c r="FG77" s="111" t="n"/>
      <c r="FH77" s="111" t="n"/>
      <c r="FI77" s="111" t="n"/>
      <c r="FJ77" s="111" t="n"/>
      <c r="FK77" s="111" t="n"/>
      <c r="FL77" s="111" t="n"/>
      <c r="FM77" s="111" t="n"/>
      <c r="FN77" s="111" t="n"/>
      <c r="FO77" s="111" t="n"/>
      <c r="FP77" s="111" t="n"/>
      <c r="FQ77" s="111" t="n"/>
      <c r="FR77" s="111" t="n"/>
      <c r="FS77" s="111" t="n"/>
      <c r="FT77" s="111" t="n"/>
      <c r="FU77" s="111" t="n"/>
      <c r="FV77" s="111" t="n"/>
      <c r="FW77" s="111" t="n"/>
      <c r="FX77" s="111" t="n"/>
      <c r="FY77" s="111" t="n"/>
      <c r="FZ77" s="111" t="n"/>
      <c r="GA77" s="111" t="n"/>
      <c r="GB77" s="111" t="n"/>
      <c r="GC77" s="111" t="n"/>
      <c r="GD77" s="111" t="n"/>
      <c r="GE77" s="111" t="n"/>
      <c r="GF77" s="111" t="n"/>
      <c r="GG77" s="111" t="n"/>
      <c r="GH77" s="111" t="n"/>
      <c r="GI77" s="111" t="n"/>
      <c r="GJ77" s="111" t="n"/>
      <c r="GK77" s="111" t="n"/>
      <c r="GL77" s="111" t="n"/>
      <c r="GM77" s="111" t="n"/>
      <c r="GN77" s="111" t="n"/>
      <c r="GO77" s="111" t="n"/>
      <c r="GP77" s="111" t="n"/>
      <c r="GQ77" s="111" t="n"/>
      <c r="GR77" s="111" t="n"/>
      <c r="GS77" s="111" t="n"/>
      <c r="GT77" s="111" t="n"/>
      <c r="GU77" s="111" t="n"/>
      <c r="GV77" s="111" t="n"/>
      <c r="GW77" s="111" t="n"/>
      <c r="GX77" s="111" t="n"/>
      <c r="GY77" s="111" t="n"/>
      <c r="GZ77" s="111" t="n"/>
      <c r="HA77" s="111" t="n"/>
      <c r="HB77" s="111" t="n"/>
      <c r="HC77" s="111" t="n"/>
      <c r="HD77" s="111" t="n"/>
      <c r="HE77" s="111" t="n"/>
      <c r="HF77" s="111" t="n"/>
      <c r="HG77" s="111" t="n"/>
      <c r="HH77" s="111" t="n"/>
      <c r="HI77" s="111" t="n"/>
      <c r="HJ77" s="111" t="n"/>
      <c r="HK77" s="111" t="n"/>
      <c r="HL77" s="111" t="n"/>
      <c r="HM77" s="111" t="n"/>
      <c r="HN77" s="111" t="n"/>
      <c r="HO77" s="111" t="n"/>
      <c r="HP77" s="111" t="n"/>
      <c r="HQ77" s="111" t="n"/>
      <c r="HR77" s="111" t="n"/>
      <c r="HS77" s="111" t="n"/>
      <c r="HT77" s="111" t="n"/>
      <c r="HU77" s="111" t="n"/>
      <c r="HV77" s="111" t="n"/>
      <c r="HW77" s="111" t="n"/>
      <c r="HX77" s="111" t="n"/>
      <c r="HY77" s="111" t="n"/>
      <c r="HZ77" s="111" t="n"/>
      <c r="IA77" s="111" t="n"/>
      <c r="IB77" s="111" t="n"/>
      <c r="IC77" s="111" t="n"/>
      <c r="ID77" s="111" t="n"/>
      <c r="IE77" s="111" t="n"/>
      <c r="IF77" s="111" t="n"/>
      <c r="IG77" s="111" t="n"/>
      <c r="IH77" s="111" t="n"/>
      <c r="II77" s="111" t="n"/>
      <c r="IJ77" s="111" t="n"/>
      <c r="IK77" s="111" t="n"/>
      <c r="IL77" s="111" t="n"/>
      <c r="IM77" s="111" t="n"/>
      <c r="IN77" s="111" t="n"/>
      <c r="IO77" s="111" t="n"/>
      <c r="IP77" s="111" t="n"/>
      <c r="IQ77" s="111" t="n"/>
      <c r="IR77" s="111" t="n"/>
      <c r="IS77" s="111" t="n"/>
      <c r="IT77" s="111" t="n"/>
      <c r="IU77" s="111" t="n"/>
      <c r="IV77" s="111" t="n"/>
      <c r="IW77" s="111" t="n"/>
      <c r="IX77" s="111" t="n"/>
      <c r="IY77" s="111" t="n"/>
      <c r="IZ77" s="111" t="n"/>
      <c r="JA77" s="111" t="n"/>
      <c r="JB77" s="111" t="n"/>
      <c r="JC77" s="111" t="n"/>
      <c r="JD77" s="111" t="n"/>
      <c r="JE77" s="111" t="n"/>
      <c r="JF77" s="111" t="n"/>
      <c r="JG77" s="111" t="n"/>
      <c r="JH77" s="111" t="n"/>
      <c r="JI77" s="111" t="n"/>
      <c r="JJ77" s="111" t="n"/>
      <c r="JK77" s="111" t="n"/>
      <c r="JL77" s="111" t="n"/>
      <c r="JM77" s="111" t="n"/>
      <c r="JN77" s="111" t="n"/>
      <c r="JO77" s="111" t="n"/>
      <c r="JP77" s="111" t="n"/>
      <c r="JQ77" s="111" t="n"/>
      <c r="JR77" s="111" t="n"/>
      <c r="JS77" s="111" t="n"/>
      <c r="JT77" s="111" t="n"/>
      <c r="JU77" s="111" t="n"/>
      <c r="JV77" s="111" t="n"/>
      <c r="JW77" s="111" t="n"/>
      <c r="JX77" s="111" t="n"/>
      <c r="JY77" s="111" t="n"/>
      <c r="JZ77" s="111" t="n"/>
      <c r="KA77" s="111" t="n"/>
      <c r="KB77" s="111" t="n"/>
      <c r="KC77" s="111" t="n"/>
      <c r="KD77" s="111" t="n"/>
      <c r="KE77" s="111" t="n"/>
      <c r="KF77" s="111" t="n"/>
      <c r="KG77" s="111" t="n"/>
      <c r="KH77" s="111" t="n"/>
      <c r="KI77" s="111" t="n"/>
      <c r="KJ77" s="111" t="n"/>
      <c r="KK77" s="111" t="n"/>
      <c r="KL77" s="111" t="n"/>
      <c r="KM77" s="111" t="n"/>
      <c r="KN77" s="111" t="n"/>
      <c r="KO77" s="111" t="n"/>
      <c r="KP77" s="111" t="n"/>
      <c r="KQ77" s="111" t="n"/>
      <c r="KR77" s="111" t="n"/>
      <c r="KS77" s="111" t="n"/>
      <c r="KT77" s="111" t="n"/>
      <c r="KU77" s="111" t="n"/>
      <c r="KV77" s="111" t="n"/>
      <c r="KW77" s="111" t="n"/>
      <c r="KX77" s="111" t="n"/>
      <c r="KY77" s="111" t="n"/>
      <c r="KZ77" s="111" t="n"/>
      <c r="LA77" s="111" t="n"/>
      <c r="LB77" s="111" t="n"/>
      <c r="LC77" s="111" t="n"/>
      <c r="LD77" s="111" t="n"/>
      <c r="LE77" s="111" t="n"/>
      <c r="LF77" s="111" t="n"/>
      <c r="LG77" s="111" t="n"/>
      <c r="LH77" s="111" t="n"/>
      <c r="LI77" s="111" t="n"/>
      <c r="LJ77" s="111" t="n"/>
      <c r="LK77" s="111" t="n"/>
      <c r="LL77" s="111" t="n"/>
      <c r="LM77" s="111" t="n"/>
      <c r="LN77" s="111" t="n"/>
      <c r="LO77" s="111" t="n"/>
      <c r="LP77" s="111" t="n"/>
      <c r="LQ77" s="111" t="n"/>
      <c r="LR77" s="111" t="n"/>
      <c r="LS77" s="111" t="n"/>
      <c r="LT77" s="111" t="n"/>
      <c r="LU77" s="111" t="n"/>
      <c r="LV77" s="111" t="n"/>
      <c r="LW77" s="111" t="n"/>
      <c r="LX77" s="111" t="n"/>
      <c r="LY77" s="111" t="n"/>
      <c r="LZ77" s="111" t="n"/>
      <c r="MA77" s="111" t="n"/>
      <c r="MB77" s="111" t="n"/>
      <c r="MC77" s="111" t="n"/>
      <c r="MD77" s="111" t="n"/>
      <c r="ME77" s="111" t="n"/>
      <c r="MF77" s="111" t="n"/>
      <c r="MG77" s="111" t="n"/>
      <c r="MH77" s="111" t="n"/>
      <c r="MI77" s="111" t="n"/>
      <c r="MJ77" s="111" t="n"/>
      <c r="MK77" s="111" t="n"/>
      <c r="ML77" s="111" t="n"/>
      <c r="MM77" s="111" t="n"/>
      <c r="MN77" s="111" t="n"/>
      <c r="MO77" s="111" t="n"/>
      <c r="MP77" s="111" t="n"/>
      <c r="MQ77" s="111" t="n"/>
      <c r="MR77" s="111" t="n"/>
      <c r="MS77" s="111" t="n"/>
      <c r="MT77" s="111" t="n"/>
      <c r="MU77" s="111" t="n"/>
      <c r="MV77" s="111" t="n"/>
      <c r="MW77" s="111" t="n"/>
      <c r="MX77" s="111" t="n"/>
      <c r="MY77" s="111" t="n"/>
      <c r="MZ77" s="111" t="n"/>
      <c r="NA77" s="111" t="n"/>
      <c r="NB77" s="111" t="n"/>
      <c r="NC77" s="111" t="n"/>
      <c r="ND77" s="111" t="n"/>
      <c r="NE77" s="111" t="n"/>
      <c r="NF77" s="111" t="n"/>
      <c r="NG77" s="111" t="n"/>
      <c r="NH77" s="111" t="n"/>
      <c r="NI77" s="111" t="n"/>
      <c r="NJ77" s="111" t="n"/>
      <c r="NK77" s="111" t="n"/>
      <c r="NL77" s="111" t="n"/>
      <c r="NM77" s="111" t="n"/>
      <c r="NN77" s="111" t="n"/>
      <c r="NO77" s="111" t="n"/>
      <c r="NP77" s="111" t="n"/>
      <c r="NQ77" s="111" t="n"/>
    </row>
    <row r="78" customFormat="1" s="17">
      <c r="A78" s="33">
        <f>IF(ISERROR(VALUE(SUBSTITUTE(OFFSET(A78,-1,0,1,1),".",""))),"0.1",IF(ISERROR(FIND("`",SUBSTITUTE(OFFSET(A78,-1,0,1,1),".","`",1))),OFFSET(A78,-1,0,1,1)&amp;".1",LEFT(OFFSET(A78,-1,0,1,1),FIND("`",SUBSTITUTE(OFFSET(A78,-1,0,1,1),".","`",1)))&amp;IF(ISERROR(FIND("`",SUBSTITUTE(OFFSET(A78,-1,0,1,1),".","`",2))),VALUE(RIGHT(OFFSET(A78,-1,0,1,1),LEN(OFFSET(A78,-1,0,1,1))-FIND("`",SUBSTITUTE(OFFSET(A78,-1,0,1,1),".","`",1))))+1,VALUE(MID(OFFSET(A78,-1,0,1,1),FIND("`",SUBSTITUTE(OFFSET(A78,-1,0,1,1),".","`",1))+1,(FIND("`",SUBSTITUTE(OFFSET(A78,-1,0,1,1),".","`",2))-FIND("`",SUBSTITUTE(OFFSET(A78,-1,0,1,1),".","`",1))-1)))+1)))</f>
        <v/>
      </c>
      <c r="B78" s="135" t="inlineStr">
        <is>
          <t>[ Predecessors and End date ]</t>
        </is>
      </c>
      <c r="C78" s="11" t="n"/>
      <c r="D78" s="81" t="n"/>
      <c r="E78" s="81" t="n"/>
      <c r="F78" s="81" t="n"/>
      <c r="G78" s="275">
        <f>MAX(IF(D78="",$G$6,WORKDAY(INDEX(H:H,MATCH(D78,A:A,0)),1,holidays)),IF(E78="",$G$6,WORKDAY(INDEX(H:H,MATCH(E78,A:A,0)),1,holidays)),IF(F78="",$G$6,WORKDAY(INDEX(H:H,MATCH(F78,A:A,0)),1,holidays)))</f>
        <v/>
      </c>
      <c r="H78" s="274" t="n"/>
      <c r="I78" s="272" t="n"/>
      <c r="J78" s="272" t="n"/>
      <c r="K78" s="14">
        <f>IF(OR(G78=0,H78=0),0,NETWORKDAYS(G78,H78,holidays))</f>
        <v/>
      </c>
      <c r="L78" s="80" t="n"/>
      <c r="M78" s="14">
        <f>IF(OR(G78=0,H78=0),0,H78-G78+1)</f>
        <v/>
      </c>
      <c r="N78" s="15">
        <f>WORKDAY(G78,ROUNDDOWN(L78*K78,0),holidays)-G78</f>
        <v/>
      </c>
      <c r="O78" s="14">
        <f>M78-N78</f>
        <v/>
      </c>
      <c r="P78" s="113" t="n"/>
      <c r="R78" s="111" t="n"/>
      <c r="S78" s="111" t="n"/>
      <c r="T78" s="111" t="n"/>
      <c r="U78" s="111" t="n"/>
      <c r="V78" s="111" t="n"/>
      <c r="W78" s="111" t="n"/>
      <c r="X78" s="111" t="n"/>
      <c r="Y78" s="111" t="n"/>
      <c r="Z78" s="111" t="n"/>
      <c r="AA78" s="111" t="n"/>
      <c r="AB78" s="111" t="n"/>
      <c r="AC78" s="111" t="n"/>
      <c r="AD78" s="111" t="n"/>
      <c r="AE78" s="111" t="n"/>
      <c r="AF78" s="111" t="n"/>
      <c r="AG78" s="111" t="n"/>
      <c r="AH78" s="111" t="n"/>
      <c r="AI78" s="111" t="n"/>
      <c r="AJ78" s="111" t="n"/>
      <c r="AK78" s="111" t="n"/>
      <c r="AL78" s="111" t="n"/>
      <c r="AM78" s="111" t="n"/>
      <c r="AN78" s="111" t="n"/>
      <c r="AO78" s="111" t="n"/>
      <c r="AP78" s="111" t="n"/>
      <c r="AQ78" s="111" t="n"/>
      <c r="AR78" s="111" t="n"/>
      <c r="AS78" s="111" t="n"/>
      <c r="AT78" s="111" t="n"/>
      <c r="AU78" s="111" t="n"/>
      <c r="AV78" s="111" t="n"/>
      <c r="AW78" s="111" t="n"/>
      <c r="AX78" s="111" t="n"/>
      <c r="AY78" s="111" t="n"/>
      <c r="AZ78" s="111" t="n"/>
      <c r="BA78" s="111" t="n"/>
      <c r="BB78" s="111" t="n"/>
      <c r="BC78" s="111" t="n"/>
      <c r="BD78" s="111" t="n"/>
      <c r="BE78" s="111" t="n"/>
      <c r="BF78" s="111" t="n"/>
      <c r="BG78" s="111" t="n"/>
      <c r="BH78" s="111" t="n"/>
      <c r="BI78" s="111" t="n"/>
      <c r="BJ78" s="111" t="n"/>
      <c r="BK78" s="111" t="n"/>
      <c r="BL78" s="111" t="n"/>
      <c r="BM78" s="111" t="n"/>
      <c r="BN78" s="111" t="n"/>
      <c r="BO78" s="111" t="n"/>
      <c r="BP78" s="111" t="n"/>
      <c r="BQ78" s="111" t="n"/>
      <c r="BR78" s="111" t="n"/>
      <c r="BS78" s="111" t="n"/>
      <c r="BT78" s="111" t="n"/>
      <c r="BU78" s="111" t="n"/>
      <c r="BV78" s="111" t="n"/>
      <c r="BW78" s="111" t="n"/>
      <c r="BX78" s="111" t="n"/>
      <c r="BY78" s="111" t="n"/>
      <c r="BZ78" s="111" t="n"/>
      <c r="CA78" s="111" t="n"/>
      <c r="CB78" s="111" t="n"/>
      <c r="CC78" s="111" t="n"/>
      <c r="CD78" s="111" t="n"/>
      <c r="CE78" s="111" t="n"/>
      <c r="CF78" s="111" t="n"/>
      <c r="CG78" s="111" t="n"/>
      <c r="CH78" s="111" t="n"/>
      <c r="CI78" s="111" t="n"/>
      <c r="CJ78" s="111" t="n"/>
      <c r="CK78" s="111" t="n"/>
      <c r="CL78" s="111" t="n"/>
      <c r="CM78" s="111" t="n"/>
      <c r="CN78" s="111" t="n"/>
      <c r="CO78" s="111" t="n"/>
      <c r="CP78" s="111" t="n"/>
      <c r="CQ78" s="111" t="n"/>
      <c r="CR78" s="111" t="n"/>
      <c r="CS78" s="111" t="n"/>
      <c r="CT78" s="111" t="n"/>
      <c r="CU78" s="111" t="n"/>
      <c r="CV78" s="111" t="n"/>
      <c r="CW78" s="111" t="n"/>
      <c r="CX78" s="111" t="n"/>
      <c r="CY78" s="111" t="n"/>
      <c r="CZ78" s="111" t="n"/>
      <c r="DA78" s="111" t="n"/>
      <c r="DB78" s="111" t="n"/>
      <c r="DC78" s="111" t="n"/>
      <c r="DD78" s="111" t="n"/>
      <c r="DE78" s="111" t="n"/>
      <c r="DF78" s="111" t="n"/>
      <c r="DG78" s="111" t="n"/>
      <c r="DH78" s="111" t="n"/>
      <c r="DI78" s="111" t="n"/>
      <c r="DJ78" s="111" t="n"/>
      <c r="DK78" s="111" t="n"/>
      <c r="DL78" s="111" t="n"/>
      <c r="DM78" s="111" t="n"/>
      <c r="DN78" s="111" t="n"/>
      <c r="DO78" s="111" t="n"/>
      <c r="DP78" s="111" t="n"/>
      <c r="DQ78" s="111" t="n"/>
      <c r="DR78" s="111" t="n"/>
      <c r="DS78" s="111" t="n"/>
      <c r="DT78" s="111" t="n"/>
      <c r="DU78" s="111" t="n"/>
      <c r="DV78" s="111" t="n"/>
      <c r="DW78" s="111" t="n"/>
      <c r="DX78" s="111" t="n"/>
      <c r="DY78" s="111" t="n"/>
      <c r="DZ78" s="111" t="n"/>
      <c r="EA78" s="111" t="n"/>
      <c r="EB78" s="111" t="n"/>
      <c r="EC78" s="111" t="n"/>
      <c r="ED78" s="111" t="n"/>
      <c r="EE78" s="111" t="n"/>
      <c r="EF78" s="111" t="n"/>
      <c r="EG78" s="111" t="n"/>
      <c r="EH78" s="111" t="n"/>
      <c r="EI78" s="111" t="n"/>
      <c r="EJ78" s="111" t="n"/>
      <c r="EK78" s="111" t="n"/>
      <c r="EL78" s="111" t="n"/>
      <c r="EM78" s="111" t="n"/>
      <c r="EN78" s="111" t="n"/>
      <c r="EO78" s="111" t="n"/>
      <c r="EP78" s="111" t="n"/>
      <c r="EQ78" s="111" t="n"/>
      <c r="ER78" s="111" t="n"/>
      <c r="ES78" s="111" t="n"/>
      <c r="ET78" s="111" t="n"/>
      <c r="EU78" s="111" t="n"/>
      <c r="EV78" s="111" t="n"/>
      <c r="EW78" s="111" t="n"/>
      <c r="EX78" s="111" t="n"/>
      <c r="EY78" s="111" t="n"/>
      <c r="EZ78" s="111" t="n"/>
      <c r="FA78" s="111" t="n"/>
      <c r="FB78" s="111" t="n"/>
      <c r="FC78" s="111" t="n"/>
      <c r="FD78" s="111" t="n"/>
      <c r="FE78" s="111" t="n"/>
      <c r="FF78" s="111" t="n"/>
      <c r="FG78" s="111" t="n"/>
      <c r="FH78" s="111" t="n"/>
      <c r="FI78" s="111" t="n"/>
      <c r="FJ78" s="111" t="n"/>
      <c r="FK78" s="111" t="n"/>
      <c r="FL78" s="111" t="n"/>
      <c r="FM78" s="111" t="n"/>
      <c r="FN78" s="111" t="n"/>
      <c r="FO78" s="111" t="n"/>
      <c r="FP78" s="111" t="n"/>
      <c r="FQ78" s="111" t="n"/>
      <c r="FR78" s="111" t="n"/>
      <c r="FS78" s="111" t="n"/>
      <c r="FT78" s="111" t="n"/>
      <c r="FU78" s="111" t="n"/>
      <c r="FV78" s="111" t="n"/>
      <c r="FW78" s="111" t="n"/>
      <c r="FX78" s="111" t="n"/>
      <c r="FY78" s="111" t="n"/>
      <c r="FZ78" s="111" t="n"/>
      <c r="GA78" s="111" t="n"/>
      <c r="GB78" s="111" t="n"/>
      <c r="GC78" s="111" t="n"/>
      <c r="GD78" s="111" t="n"/>
      <c r="GE78" s="111" t="n"/>
      <c r="GF78" s="111" t="n"/>
      <c r="GG78" s="111" t="n"/>
      <c r="GH78" s="111" t="n"/>
      <c r="GI78" s="111" t="n"/>
      <c r="GJ78" s="111" t="n"/>
      <c r="GK78" s="111" t="n"/>
      <c r="GL78" s="111" t="n"/>
      <c r="GM78" s="111" t="n"/>
      <c r="GN78" s="111" t="n"/>
      <c r="GO78" s="111" t="n"/>
      <c r="GP78" s="111" t="n"/>
      <c r="GQ78" s="111" t="n"/>
      <c r="GR78" s="111" t="n"/>
      <c r="GS78" s="111" t="n"/>
      <c r="GT78" s="111" t="n"/>
      <c r="GU78" s="111" t="n"/>
      <c r="GV78" s="111" t="n"/>
      <c r="GW78" s="111" t="n"/>
      <c r="GX78" s="111" t="n"/>
      <c r="GY78" s="111" t="n"/>
      <c r="GZ78" s="111" t="n"/>
      <c r="HA78" s="111" t="n"/>
      <c r="HB78" s="111" t="n"/>
      <c r="HC78" s="111" t="n"/>
      <c r="HD78" s="111" t="n"/>
      <c r="HE78" s="111" t="n"/>
      <c r="HF78" s="111" t="n"/>
      <c r="HG78" s="111" t="n"/>
      <c r="HH78" s="111" t="n"/>
      <c r="HI78" s="111" t="n"/>
      <c r="HJ78" s="111" t="n"/>
      <c r="HK78" s="111" t="n"/>
      <c r="HL78" s="111" t="n"/>
      <c r="HM78" s="111" t="n"/>
      <c r="HN78" s="111" t="n"/>
      <c r="HO78" s="111" t="n"/>
      <c r="HP78" s="111" t="n"/>
      <c r="HQ78" s="111" t="n"/>
      <c r="HR78" s="111" t="n"/>
      <c r="HS78" s="111" t="n"/>
      <c r="HT78" s="111" t="n"/>
      <c r="HU78" s="111" t="n"/>
      <c r="HV78" s="111" t="n"/>
      <c r="HW78" s="111" t="n"/>
      <c r="HX78" s="111" t="n"/>
      <c r="HY78" s="111" t="n"/>
      <c r="HZ78" s="111" t="n"/>
      <c r="IA78" s="111" t="n"/>
      <c r="IB78" s="111" t="n"/>
      <c r="IC78" s="111" t="n"/>
      <c r="ID78" s="111" t="n"/>
      <c r="IE78" s="111" t="n"/>
      <c r="IF78" s="111" t="n"/>
      <c r="IG78" s="111" t="n"/>
      <c r="IH78" s="111" t="n"/>
      <c r="II78" s="111" t="n"/>
      <c r="IJ78" s="111" t="n"/>
      <c r="IK78" s="111" t="n"/>
      <c r="IL78" s="111" t="n"/>
      <c r="IM78" s="111" t="n"/>
      <c r="IN78" s="111" t="n"/>
      <c r="IO78" s="111" t="n"/>
      <c r="IP78" s="111" t="n"/>
      <c r="IQ78" s="111" t="n"/>
      <c r="IR78" s="111" t="n"/>
      <c r="IS78" s="111" t="n"/>
      <c r="IT78" s="111" t="n"/>
      <c r="IU78" s="111" t="n"/>
      <c r="IV78" s="111" t="n"/>
      <c r="IW78" s="111" t="n"/>
      <c r="IX78" s="111" t="n"/>
      <c r="IY78" s="111" t="n"/>
      <c r="IZ78" s="111" t="n"/>
      <c r="JA78" s="111" t="n"/>
      <c r="JB78" s="111" t="n"/>
      <c r="JC78" s="111" t="n"/>
      <c r="JD78" s="111" t="n"/>
      <c r="JE78" s="111" t="n"/>
      <c r="JF78" s="111" t="n"/>
      <c r="JG78" s="111" t="n"/>
      <c r="JH78" s="111" t="n"/>
      <c r="JI78" s="111" t="n"/>
      <c r="JJ78" s="111" t="n"/>
      <c r="JK78" s="111" t="n"/>
      <c r="JL78" s="111" t="n"/>
      <c r="JM78" s="111" t="n"/>
      <c r="JN78" s="111" t="n"/>
      <c r="JO78" s="111" t="n"/>
      <c r="JP78" s="111" t="n"/>
      <c r="JQ78" s="111" t="n"/>
      <c r="JR78" s="111" t="n"/>
      <c r="JS78" s="111" t="n"/>
      <c r="JT78" s="111" t="n"/>
      <c r="JU78" s="111" t="n"/>
      <c r="JV78" s="111" t="n"/>
      <c r="JW78" s="111" t="n"/>
      <c r="JX78" s="111" t="n"/>
      <c r="JY78" s="111" t="n"/>
      <c r="JZ78" s="111" t="n"/>
      <c r="KA78" s="111" t="n"/>
      <c r="KB78" s="111" t="n"/>
      <c r="KC78" s="111" t="n"/>
      <c r="KD78" s="111" t="n"/>
      <c r="KE78" s="111" t="n"/>
      <c r="KF78" s="111" t="n"/>
      <c r="KG78" s="111" t="n"/>
      <c r="KH78" s="111" t="n"/>
      <c r="KI78" s="111" t="n"/>
      <c r="KJ78" s="111" t="n"/>
      <c r="KK78" s="111" t="n"/>
      <c r="KL78" s="111" t="n"/>
      <c r="KM78" s="111" t="n"/>
      <c r="KN78" s="111" t="n"/>
      <c r="KO78" s="111" t="n"/>
      <c r="KP78" s="111" t="n"/>
      <c r="KQ78" s="111" t="n"/>
      <c r="KR78" s="111" t="n"/>
      <c r="KS78" s="111" t="n"/>
      <c r="KT78" s="111" t="n"/>
      <c r="KU78" s="111" t="n"/>
      <c r="KV78" s="111" t="n"/>
      <c r="KW78" s="111" t="n"/>
      <c r="KX78" s="111" t="n"/>
      <c r="KY78" s="111" t="n"/>
      <c r="KZ78" s="111" t="n"/>
      <c r="LA78" s="111" t="n"/>
      <c r="LB78" s="111" t="n"/>
      <c r="LC78" s="111" t="n"/>
      <c r="LD78" s="111" t="n"/>
      <c r="LE78" s="111" t="n"/>
      <c r="LF78" s="111" t="n"/>
      <c r="LG78" s="111" t="n"/>
      <c r="LH78" s="111" t="n"/>
      <c r="LI78" s="111" t="n"/>
      <c r="LJ78" s="111" t="n"/>
      <c r="LK78" s="111" t="n"/>
      <c r="LL78" s="111" t="n"/>
      <c r="LM78" s="111" t="n"/>
      <c r="LN78" s="111" t="n"/>
      <c r="LO78" s="111" t="n"/>
      <c r="LP78" s="111" t="n"/>
      <c r="LQ78" s="111" t="n"/>
      <c r="LR78" s="111" t="n"/>
      <c r="LS78" s="111" t="n"/>
      <c r="LT78" s="111" t="n"/>
      <c r="LU78" s="111" t="n"/>
      <c r="LV78" s="111" t="n"/>
      <c r="LW78" s="111" t="n"/>
      <c r="LX78" s="111" t="n"/>
      <c r="LY78" s="111" t="n"/>
      <c r="LZ78" s="111" t="n"/>
      <c r="MA78" s="111" t="n"/>
      <c r="MB78" s="111" t="n"/>
      <c r="MC78" s="111" t="n"/>
      <c r="MD78" s="111" t="n"/>
      <c r="ME78" s="111" t="n"/>
      <c r="MF78" s="111" t="n"/>
      <c r="MG78" s="111" t="n"/>
      <c r="MH78" s="111" t="n"/>
      <c r="MI78" s="111" t="n"/>
      <c r="MJ78" s="111" t="n"/>
      <c r="MK78" s="111" t="n"/>
      <c r="ML78" s="111" t="n"/>
      <c r="MM78" s="111" t="n"/>
      <c r="MN78" s="111" t="n"/>
      <c r="MO78" s="111" t="n"/>
      <c r="MP78" s="111" t="n"/>
      <c r="MQ78" s="111" t="n"/>
      <c r="MR78" s="111" t="n"/>
      <c r="MS78" s="111" t="n"/>
      <c r="MT78" s="111" t="n"/>
      <c r="MU78" s="111" t="n"/>
      <c r="MV78" s="111" t="n"/>
      <c r="MW78" s="111" t="n"/>
      <c r="MX78" s="111" t="n"/>
      <c r="MY78" s="111" t="n"/>
      <c r="MZ78" s="111" t="n"/>
      <c r="NA78" s="111" t="n"/>
      <c r="NB78" s="111" t="n"/>
      <c r="NC78" s="111" t="n"/>
      <c r="ND78" s="111" t="n"/>
      <c r="NE78" s="111" t="n"/>
      <c r="NF78" s="111" t="n"/>
      <c r="NG78" s="111" t="n"/>
      <c r="NH78" s="111" t="n"/>
      <c r="NI78" s="111" t="n"/>
      <c r="NJ78" s="111" t="n"/>
      <c r="NK78" s="111" t="n"/>
      <c r="NL78" s="111" t="n"/>
      <c r="NM78" s="111" t="n"/>
      <c r="NN78" s="111" t="n"/>
      <c r="NO78" s="111" t="n"/>
      <c r="NP78" s="111" t="n"/>
      <c r="NQ78" s="111" t="n"/>
    </row>
    <row r="79" ht="11.25" customFormat="1" customHeight="1" s="69">
      <c r="A79" s="70" t="inlineStr">
        <is>
          <t>CALENDAR DAYS: Use these rows if weekends and holidays need to be included</t>
        </is>
      </c>
      <c r="B79" s="88" t="n"/>
      <c r="C79" s="88" t="n"/>
      <c r="D79" s="88" t="n"/>
      <c r="E79" s="88" t="n"/>
      <c r="F79" s="88" t="n"/>
      <c r="G79" s="88" t="n"/>
      <c r="H79" s="88" t="n"/>
      <c r="I79" s="272" t="n"/>
      <c r="J79" s="272" t="n"/>
      <c r="K79" s="88" t="n"/>
      <c r="L79" s="88" t="n"/>
      <c r="M79" s="88" t="n"/>
      <c r="N79" s="88" t="n"/>
      <c r="O79" s="88" t="n"/>
      <c r="P79" s="88" t="n"/>
      <c r="Q79" s="69" t="n"/>
      <c r="R79" s="111" t="n"/>
      <c r="S79" s="111" t="n"/>
      <c r="T79" s="111" t="n"/>
      <c r="U79" s="111" t="n"/>
      <c r="V79" s="111" t="n"/>
      <c r="W79" s="111" t="n"/>
      <c r="X79" s="111" t="n"/>
      <c r="Y79" s="111" t="n"/>
      <c r="Z79" s="111" t="n"/>
      <c r="AA79" s="111" t="n"/>
      <c r="AB79" s="111" t="n"/>
      <c r="AC79" s="111" t="n"/>
      <c r="AD79" s="111" t="n"/>
      <c r="AE79" s="111" t="n"/>
      <c r="AF79" s="111" t="n"/>
      <c r="AG79" s="111" t="n"/>
      <c r="AH79" s="111" t="n"/>
      <c r="AI79" s="111" t="n"/>
      <c r="AJ79" s="111" t="n"/>
      <c r="AK79" s="111" t="n"/>
      <c r="AL79" s="111" t="n"/>
      <c r="AM79" s="111" t="n"/>
      <c r="AN79" s="111" t="n"/>
      <c r="AO79" s="111" t="n"/>
      <c r="AP79" s="111" t="n"/>
      <c r="AQ79" s="111" t="n"/>
      <c r="AR79" s="111" t="n"/>
      <c r="AS79" s="111" t="n"/>
      <c r="AT79" s="111" t="n"/>
      <c r="AU79" s="111" t="n"/>
      <c r="AV79" s="111" t="n"/>
      <c r="AW79" s="111" t="n"/>
      <c r="AX79" s="111" t="n"/>
      <c r="AY79" s="111" t="n"/>
      <c r="AZ79" s="111" t="n"/>
      <c r="BA79" s="111" t="n"/>
      <c r="BB79" s="111" t="n"/>
      <c r="BC79" s="111" t="n"/>
      <c r="BD79" s="111" t="n"/>
      <c r="BE79" s="111" t="n"/>
      <c r="BF79" s="111" t="n"/>
      <c r="BG79" s="111" t="n"/>
      <c r="BH79" s="111" t="n"/>
      <c r="BI79" s="111" t="n"/>
      <c r="BJ79" s="111" t="n"/>
      <c r="BK79" s="111" t="n"/>
      <c r="BL79" s="111" t="n"/>
      <c r="BM79" s="111" t="n"/>
      <c r="BN79" s="111" t="n"/>
      <c r="BO79" s="111" t="n"/>
      <c r="BP79" s="111" t="n"/>
      <c r="BQ79" s="111" t="n"/>
      <c r="BR79" s="111" t="n"/>
      <c r="BS79" s="111" t="n"/>
      <c r="BT79" s="111" t="n"/>
      <c r="BU79" s="111" t="n"/>
      <c r="BV79" s="111" t="n"/>
      <c r="BW79" s="111" t="n"/>
      <c r="BX79" s="111" t="n"/>
      <c r="BY79" s="111" t="n"/>
      <c r="BZ79" s="111" t="n"/>
      <c r="CA79" s="111" t="n"/>
      <c r="CB79" s="111" t="n"/>
      <c r="CC79" s="111" t="n"/>
      <c r="CD79" s="111" t="n"/>
      <c r="CE79" s="111" t="n"/>
      <c r="CF79" s="111" t="n"/>
      <c r="CG79" s="111" t="n"/>
      <c r="CH79" s="111" t="n"/>
      <c r="CI79" s="111" t="n"/>
      <c r="CJ79" s="111" t="n"/>
      <c r="CK79" s="111" t="n"/>
      <c r="CL79" s="111" t="n"/>
      <c r="CM79" s="111" t="n"/>
      <c r="CN79" s="111" t="n"/>
      <c r="CO79" s="111" t="n"/>
      <c r="CP79" s="111" t="n"/>
      <c r="CQ79" s="111" t="n"/>
      <c r="CR79" s="111" t="n"/>
      <c r="CS79" s="111" t="n"/>
      <c r="CT79" s="111" t="n"/>
      <c r="CU79" s="111" t="n"/>
      <c r="CV79" s="111" t="n"/>
      <c r="CW79" s="111" t="n"/>
      <c r="CX79" s="111" t="n"/>
      <c r="CY79" s="111" t="n"/>
      <c r="CZ79" s="111" t="n"/>
      <c r="DA79" s="111" t="n"/>
      <c r="DB79" s="111" t="n"/>
      <c r="DC79" s="111" t="n"/>
      <c r="DD79" s="111" t="n"/>
      <c r="DE79" s="111" t="n"/>
      <c r="DF79" s="111" t="n"/>
      <c r="DG79" s="111" t="n"/>
      <c r="DH79" s="111" t="n"/>
      <c r="DI79" s="111" t="n"/>
      <c r="DJ79" s="111" t="n"/>
      <c r="DK79" s="111" t="n"/>
      <c r="DL79" s="111" t="n"/>
      <c r="DM79" s="111" t="n"/>
      <c r="DN79" s="111" t="n"/>
      <c r="DO79" s="111" t="n"/>
      <c r="DP79" s="111" t="n"/>
      <c r="DQ79" s="111" t="n"/>
      <c r="DR79" s="111" t="n"/>
      <c r="DS79" s="111" t="n"/>
      <c r="DT79" s="111" t="n"/>
      <c r="DU79" s="111" t="n"/>
      <c r="DV79" s="111" t="n"/>
      <c r="DW79" s="111" t="n"/>
      <c r="DX79" s="111" t="n"/>
      <c r="DY79" s="111" t="n"/>
      <c r="DZ79" s="111" t="n"/>
      <c r="EA79" s="111" t="n"/>
      <c r="EB79" s="111" t="n"/>
      <c r="EC79" s="111" t="n"/>
      <c r="ED79" s="111" t="n"/>
      <c r="EE79" s="111" t="n"/>
      <c r="EF79" s="111" t="n"/>
      <c r="EG79" s="111" t="n"/>
      <c r="EH79" s="111" t="n"/>
      <c r="EI79" s="111" t="n"/>
      <c r="EJ79" s="111" t="n"/>
      <c r="EK79" s="111" t="n"/>
      <c r="EL79" s="111" t="n"/>
      <c r="EM79" s="111" t="n"/>
      <c r="EN79" s="111" t="n"/>
      <c r="EO79" s="111" t="n"/>
      <c r="EP79" s="111" t="n"/>
      <c r="EQ79" s="111" t="n"/>
      <c r="ER79" s="111" t="n"/>
      <c r="ES79" s="111" t="n"/>
      <c r="ET79" s="111" t="n"/>
      <c r="EU79" s="111" t="n"/>
      <c r="EV79" s="111" t="n"/>
      <c r="EW79" s="111" t="n"/>
      <c r="EX79" s="111" t="n"/>
      <c r="EY79" s="111" t="n"/>
      <c r="EZ79" s="111" t="n"/>
      <c r="FA79" s="111" t="n"/>
      <c r="FB79" s="111" t="n"/>
      <c r="FC79" s="111" t="n"/>
      <c r="FD79" s="111" t="n"/>
      <c r="FE79" s="111" t="n"/>
      <c r="FF79" s="111" t="n"/>
      <c r="FG79" s="111" t="n"/>
      <c r="FH79" s="111" t="n"/>
      <c r="FI79" s="111" t="n"/>
      <c r="FJ79" s="111" t="n"/>
      <c r="FK79" s="111" t="n"/>
      <c r="FL79" s="111" t="n"/>
      <c r="FM79" s="111" t="n"/>
      <c r="FN79" s="111" t="n"/>
      <c r="FO79" s="111" t="n"/>
      <c r="FP79" s="111" t="n"/>
      <c r="FQ79" s="111" t="n"/>
      <c r="FR79" s="111" t="n"/>
      <c r="FS79" s="111" t="n"/>
      <c r="FT79" s="111" t="n"/>
      <c r="FU79" s="111" t="n"/>
      <c r="FV79" s="111" t="n"/>
      <c r="FW79" s="111" t="n"/>
      <c r="FX79" s="111" t="n"/>
      <c r="FY79" s="111" t="n"/>
      <c r="FZ79" s="111" t="n"/>
      <c r="GA79" s="111" t="n"/>
      <c r="GB79" s="111" t="n"/>
      <c r="GC79" s="111" t="n"/>
      <c r="GD79" s="111" t="n"/>
      <c r="GE79" s="111" t="n"/>
      <c r="GF79" s="111" t="n"/>
      <c r="GG79" s="111" t="n"/>
      <c r="GH79" s="111" t="n"/>
      <c r="GI79" s="111" t="n"/>
      <c r="GJ79" s="111" t="n"/>
      <c r="GK79" s="111" t="n"/>
      <c r="GL79" s="111" t="n"/>
      <c r="GM79" s="111" t="n"/>
      <c r="GN79" s="111" t="n"/>
      <c r="GO79" s="111" t="n"/>
      <c r="GP79" s="111" t="n"/>
      <c r="GQ79" s="111" t="n"/>
      <c r="GR79" s="111" t="n"/>
      <c r="GS79" s="111" t="n"/>
      <c r="GT79" s="111" t="n"/>
      <c r="GU79" s="111" t="n"/>
      <c r="GV79" s="111" t="n"/>
      <c r="GW79" s="111" t="n"/>
      <c r="GX79" s="111" t="n"/>
      <c r="GY79" s="111" t="n"/>
      <c r="GZ79" s="111" t="n"/>
      <c r="HA79" s="111" t="n"/>
      <c r="HB79" s="111" t="n"/>
      <c r="HC79" s="111" t="n"/>
      <c r="HD79" s="111" t="n"/>
      <c r="HE79" s="111" t="n"/>
      <c r="HF79" s="111" t="n"/>
      <c r="HG79" s="111" t="n"/>
      <c r="HH79" s="111" t="n"/>
      <c r="HI79" s="111" t="n"/>
      <c r="HJ79" s="111" t="n"/>
      <c r="HK79" s="111" t="n"/>
      <c r="HL79" s="111" t="n"/>
      <c r="HM79" s="111" t="n"/>
      <c r="HN79" s="111" t="n"/>
      <c r="HO79" s="111" t="n"/>
      <c r="HP79" s="111" t="n"/>
      <c r="HQ79" s="111" t="n"/>
      <c r="HR79" s="111" t="n"/>
      <c r="HS79" s="111" t="n"/>
      <c r="HT79" s="111" t="n"/>
      <c r="HU79" s="111" t="n"/>
      <c r="HV79" s="111" t="n"/>
      <c r="HW79" s="111" t="n"/>
      <c r="HX79" s="111" t="n"/>
      <c r="HY79" s="111" t="n"/>
      <c r="HZ79" s="111" t="n"/>
      <c r="IA79" s="111" t="n"/>
      <c r="IB79" s="111" t="n"/>
      <c r="IC79" s="111" t="n"/>
      <c r="ID79" s="111" t="n"/>
      <c r="IE79" s="111" t="n"/>
      <c r="IF79" s="111" t="n"/>
      <c r="IG79" s="111" t="n"/>
      <c r="IH79" s="111" t="n"/>
      <c r="II79" s="111" t="n"/>
      <c r="IJ79" s="111" t="n"/>
      <c r="IK79" s="111" t="n"/>
      <c r="IL79" s="111" t="n"/>
      <c r="IM79" s="111" t="n"/>
      <c r="IN79" s="111" t="n"/>
      <c r="IO79" s="111" t="n"/>
      <c r="IP79" s="111" t="n"/>
      <c r="IQ79" s="111" t="n"/>
      <c r="IR79" s="111" t="n"/>
      <c r="IS79" s="111" t="n"/>
      <c r="IT79" s="111" t="n"/>
      <c r="IU79" s="111" t="n"/>
      <c r="IV79" s="111" t="n"/>
      <c r="IW79" s="111" t="n"/>
      <c r="IX79" s="111" t="n"/>
      <c r="IY79" s="111" t="n"/>
      <c r="IZ79" s="111" t="n"/>
      <c r="JA79" s="111" t="n"/>
      <c r="JB79" s="111" t="n"/>
      <c r="JC79" s="111" t="n"/>
      <c r="JD79" s="111" t="n"/>
      <c r="JE79" s="111" t="n"/>
      <c r="JF79" s="111" t="n"/>
      <c r="JG79" s="111" t="n"/>
      <c r="JH79" s="111" t="n"/>
      <c r="JI79" s="111" t="n"/>
      <c r="JJ79" s="111" t="n"/>
      <c r="JK79" s="111" t="n"/>
      <c r="JL79" s="111" t="n"/>
      <c r="JM79" s="111" t="n"/>
      <c r="JN79" s="111" t="n"/>
      <c r="JO79" s="111" t="n"/>
      <c r="JP79" s="111" t="n"/>
      <c r="JQ79" s="111" t="n"/>
      <c r="JR79" s="111" t="n"/>
      <c r="JS79" s="111" t="n"/>
      <c r="JT79" s="111" t="n"/>
      <c r="JU79" s="111" t="n"/>
      <c r="JV79" s="111" t="n"/>
      <c r="JW79" s="111" t="n"/>
      <c r="JX79" s="111" t="n"/>
      <c r="JY79" s="111" t="n"/>
      <c r="JZ79" s="111" t="n"/>
      <c r="KA79" s="111" t="n"/>
      <c r="KB79" s="111" t="n"/>
      <c r="KC79" s="111" t="n"/>
      <c r="KD79" s="111" t="n"/>
      <c r="KE79" s="111" t="n"/>
      <c r="KF79" s="111" t="n"/>
      <c r="KG79" s="111" t="n"/>
      <c r="KH79" s="111" t="n"/>
      <c r="KI79" s="111" t="n"/>
      <c r="KJ79" s="111" t="n"/>
      <c r="KK79" s="111" t="n"/>
      <c r="KL79" s="111" t="n"/>
      <c r="KM79" s="111" t="n"/>
      <c r="KN79" s="111" t="n"/>
      <c r="KO79" s="111" t="n"/>
      <c r="KP79" s="111" t="n"/>
      <c r="KQ79" s="111" t="n"/>
      <c r="KR79" s="111" t="n"/>
      <c r="KS79" s="111" t="n"/>
      <c r="KT79" s="111" t="n"/>
      <c r="KU79" s="111" t="n"/>
      <c r="KV79" s="111" t="n"/>
      <c r="KW79" s="111" t="n"/>
      <c r="KX79" s="111" t="n"/>
      <c r="KY79" s="111" t="n"/>
      <c r="KZ79" s="111" t="n"/>
      <c r="LA79" s="111" t="n"/>
      <c r="LB79" s="111" t="n"/>
      <c r="LC79" s="111" t="n"/>
      <c r="LD79" s="111" t="n"/>
      <c r="LE79" s="111" t="n"/>
      <c r="LF79" s="111" t="n"/>
      <c r="LG79" s="111" t="n"/>
      <c r="LH79" s="111" t="n"/>
      <c r="LI79" s="111" t="n"/>
      <c r="LJ79" s="111" t="n"/>
      <c r="LK79" s="111" t="n"/>
      <c r="LL79" s="111" t="n"/>
      <c r="LM79" s="111" t="n"/>
      <c r="LN79" s="111" t="n"/>
      <c r="LO79" s="111" t="n"/>
      <c r="LP79" s="111" t="n"/>
      <c r="LQ79" s="111" t="n"/>
      <c r="LR79" s="111" t="n"/>
      <c r="LS79" s="111" t="n"/>
      <c r="LT79" s="111" t="n"/>
      <c r="LU79" s="111" t="n"/>
      <c r="LV79" s="111" t="n"/>
      <c r="LW79" s="111" t="n"/>
      <c r="LX79" s="111" t="n"/>
      <c r="LY79" s="111" t="n"/>
      <c r="LZ79" s="111" t="n"/>
      <c r="MA79" s="111" t="n"/>
      <c r="MB79" s="111" t="n"/>
      <c r="MC79" s="111" t="n"/>
      <c r="MD79" s="111" t="n"/>
      <c r="ME79" s="111" t="n"/>
      <c r="MF79" s="111" t="n"/>
      <c r="MG79" s="111" t="n"/>
      <c r="MH79" s="111" t="n"/>
      <c r="MI79" s="111" t="n"/>
      <c r="MJ79" s="111" t="n"/>
      <c r="MK79" s="111" t="n"/>
      <c r="ML79" s="111" t="n"/>
      <c r="MM79" s="111" t="n"/>
      <c r="MN79" s="111" t="n"/>
      <c r="MO79" s="111" t="n"/>
      <c r="MP79" s="111" t="n"/>
      <c r="MQ79" s="111" t="n"/>
      <c r="MR79" s="111" t="n"/>
      <c r="MS79" s="111" t="n"/>
      <c r="MT79" s="111" t="n"/>
      <c r="MU79" s="111" t="n"/>
      <c r="MV79" s="111" t="n"/>
      <c r="MW79" s="111" t="n"/>
      <c r="MX79" s="111" t="n"/>
      <c r="MY79" s="111" t="n"/>
      <c r="MZ79" s="111" t="n"/>
      <c r="NA79" s="111" t="n"/>
      <c r="NB79" s="111" t="n"/>
      <c r="NC79" s="111" t="n"/>
      <c r="ND79" s="111" t="n"/>
      <c r="NE79" s="111" t="n"/>
      <c r="NF79" s="111" t="n"/>
      <c r="NG79" s="111" t="n"/>
      <c r="NH79" s="111" t="n"/>
      <c r="NI79" s="111" t="n"/>
      <c r="NJ79" s="111" t="n"/>
      <c r="NK79" s="111" t="n"/>
      <c r="NL79" s="111" t="n"/>
      <c r="NM79" s="111" t="n"/>
      <c r="NN79" s="111" t="n"/>
      <c r="NO79" s="111" t="n"/>
      <c r="NP79" s="111" t="n"/>
      <c r="NQ79" s="111" t="n"/>
    </row>
    <row r="80" customFormat="1" s="17">
      <c r="A80" s="77">
        <f>IF(ISERROR(VALUE(SUBSTITUTE(OFFSET(A80,-1,0,1,1),".",""))),"1",IF(ISERROR(FIND("`",SUBSTITUTE(OFFSET(A80,-1,0,1,1),".","`",1))),TEXT(VALUE(OFFSET(A80,-1,0,1,1))+1,"#"),TEXT(VALUE(LEFT(OFFSET(A80,-1,0,1,1),FIND("`",SUBSTITUTE(OFFSET(A80,-1,0,1,1),".","`",1))-1))+1,"#")))</f>
        <v/>
      </c>
      <c r="B80" s="85" t="inlineStr">
        <is>
          <t>[ Task Summary ]</t>
        </is>
      </c>
      <c r="C80" s="11" t="inlineStr">
        <is>
          <t>[ name ]</t>
        </is>
      </c>
      <c r="D80" s="37" t="n"/>
      <c r="E80" s="37" t="n"/>
      <c r="F80" s="37" t="n"/>
      <c r="G80" s="273">
        <f>MIN(G81:G84)</f>
        <v/>
      </c>
      <c r="H80" s="273">
        <f>MAX(H81:H84)</f>
        <v/>
      </c>
      <c r="I80" s="272" t="n"/>
      <c r="J80" s="272" t="n"/>
      <c r="K80" s="14">
        <f>IF(OR(G80=0,H80=0),0,NETWORKDAYS(G80,H80,holidays))</f>
        <v/>
      </c>
      <c r="L80" s="83">
        <f>IFERROR(SUMPRODUCT(K81:K83,L81:L83)/SUM(K81:K83),0)</f>
        <v/>
      </c>
      <c r="M80" s="14">
        <f>IF(OR(G80=0,H80=0),0,H80-G80+1)</f>
        <v/>
      </c>
      <c r="N80" s="15">
        <f>WORKDAY(G80,ROUNDDOWN(L80*K80,0),holidays)-G80</f>
        <v/>
      </c>
      <c r="O80" s="14">
        <f>M80-N80</f>
        <v/>
      </c>
      <c r="P80" s="113" t="n"/>
      <c r="R80" s="111" t="n"/>
      <c r="S80" s="111" t="n"/>
      <c r="T80" s="111" t="n"/>
      <c r="U80" s="111" t="n"/>
      <c r="V80" s="111" t="n"/>
      <c r="W80" s="111" t="n"/>
      <c r="X80" s="111" t="n"/>
      <c r="Y80" s="111" t="n"/>
      <c r="Z80" s="111" t="n"/>
      <c r="AA80" s="111" t="n"/>
      <c r="AB80" s="111" t="n"/>
      <c r="AC80" s="111" t="n"/>
      <c r="AD80" s="111" t="n"/>
      <c r="AE80" s="111" t="n"/>
      <c r="AF80" s="111" t="n"/>
      <c r="AG80" s="111" t="n"/>
      <c r="AH80" s="111" t="n"/>
      <c r="AI80" s="111" t="n"/>
      <c r="AJ80" s="111" t="n"/>
      <c r="AK80" s="111" t="n"/>
      <c r="AL80" s="111" t="n"/>
      <c r="AM80" s="111" t="n"/>
      <c r="AN80" s="111" t="n"/>
      <c r="AO80" s="111" t="n"/>
      <c r="AP80" s="111" t="n"/>
      <c r="AQ80" s="111" t="n"/>
      <c r="AR80" s="111" t="n"/>
      <c r="AS80" s="111" t="n"/>
      <c r="AT80" s="111" t="n"/>
      <c r="AU80" s="111" t="n"/>
      <c r="AV80" s="111" t="n"/>
      <c r="AW80" s="111" t="n"/>
      <c r="AX80" s="111" t="n"/>
      <c r="AY80" s="111" t="n"/>
      <c r="AZ80" s="111" t="n"/>
      <c r="BA80" s="111" t="n"/>
      <c r="BB80" s="111" t="n"/>
      <c r="BC80" s="111" t="n"/>
      <c r="BD80" s="111" t="n"/>
      <c r="BE80" s="111" t="n"/>
      <c r="BF80" s="111" t="n"/>
      <c r="BG80" s="111" t="n"/>
      <c r="BH80" s="111" t="n"/>
      <c r="BI80" s="111" t="n"/>
      <c r="BJ80" s="111" t="n"/>
      <c r="BK80" s="111" t="n"/>
      <c r="BL80" s="111" t="n"/>
      <c r="BM80" s="111" t="n"/>
      <c r="BN80" s="111" t="n"/>
      <c r="BO80" s="111" t="n"/>
      <c r="BP80" s="111" t="n"/>
      <c r="BQ80" s="111" t="n"/>
      <c r="BR80" s="111" t="n"/>
      <c r="BS80" s="111" t="n"/>
      <c r="BT80" s="111" t="n"/>
      <c r="BU80" s="111" t="n"/>
      <c r="BV80" s="111" t="n"/>
      <c r="BW80" s="111" t="n"/>
      <c r="BX80" s="111" t="n"/>
      <c r="BY80" s="111" t="n"/>
      <c r="BZ80" s="111" t="n"/>
      <c r="CA80" s="111" t="n"/>
      <c r="CB80" s="111" t="n"/>
      <c r="CC80" s="111" t="n"/>
      <c r="CD80" s="111" t="n"/>
      <c r="CE80" s="111" t="n"/>
      <c r="CF80" s="111" t="n"/>
      <c r="CG80" s="111" t="n"/>
      <c r="CH80" s="111" t="n"/>
      <c r="CI80" s="111" t="n"/>
      <c r="CJ80" s="111" t="n"/>
      <c r="CK80" s="111" t="n"/>
      <c r="CL80" s="111" t="n"/>
      <c r="CM80" s="111" t="n"/>
      <c r="CN80" s="111" t="n"/>
      <c r="CO80" s="111" t="n"/>
      <c r="CP80" s="111" t="n"/>
      <c r="CQ80" s="111" t="n"/>
      <c r="CR80" s="111" t="n"/>
      <c r="CS80" s="111" t="n"/>
      <c r="CT80" s="111" t="n"/>
      <c r="CU80" s="111" t="n"/>
      <c r="CV80" s="111" t="n"/>
      <c r="CW80" s="111" t="n"/>
      <c r="CX80" s="111" t="n"/>
      <c r="CY80" s="111" t="n"/>
      <c r="CZ80" s="111" t="n"/>
      <c r="DA80" s="111" t="n"/>
      <c r="DB80" s="111" t="n"/>
      <c r="DC80" s="111" t="n"/>
      <c r="DD80" s="111" t="n"/>
      <c r="DE80" s="111" t="n"/>
      <c r="DF80" s="111" t="n"/>
      <c r="DG80" s="111" t="n"/>
      <c r="DH80" s="111" t="n"/>
      <c r="DI80" s="111" t="n"/>
      <c r="DJ80" s="111" t="n"/>
      <c r="DK80" s="111" t="n"/>
      <c r="DL80" s="111" t="n"/>
      <c r="DM80" s="111" t="n"/>
      <c r="DN80" s="111" t="n"/>
      <c r="DO80" s="111" t="n"/>
      <c r="DP80" s="111" t="n"/>
      <c r="DQ80" s="111" t="n"/>
      <c r="DR80" s="111" t="n"/>
      <c r="DS80" s="111" t="n"/>
      <c r="DT80" s="111" t="n"/>
      <c r="DU80" s="111" t="n"/>
      <c r="DV80" s="111" t="n"/>
      <c r="DW80" s="111" t="n"/>
      <c r="DX80" s="111" t="n"/>
      <c r="DY80" s="111" t="n"/>
      <c r="DZ80" s="111" t="n"/>
      <c r="EA80" s="111" t="n"/>
      <c r="EB80" s="111" t="n"/>
      <c r="EC80" s="111" t="n"/>
      <c r="ED80" s="111" t="n"/>
      <c r="EE80" s="111" t="n"/>
      <c r="EF80" s="111" t="n"/>
      <c r="EG80" s="111" t="n"/>
      <c r="EH80" s="111" t="n"/>
      <c r="EI80" s="111" t="n"/>
      <c r="EJ80" s="111" t="n"/>
      <c r="EK80" s="111" t="n"/>
      <c r="EL80" s="111" t="n"/>
      <c r="EM80" s="111" t="n"/>
      <c r="EN80" s="111" t="n"/>
      <c r="EO80" s="111" t="n"/>
      <c r="EP80" s="111" t="n"/>
      <c r="EQ80" s="111" t="n"/>
      <c r="ER80" s="111" t="n"/>
      <c r="ES80" s="111" t="n"/>
      <c r="ET80" s="111" t="n"/>
      <c r="EU80" s="111" t="n"/>
      <c r="EV80" s="111" t="n"/>
      <c r="EW80" s="111" t="n"/>
      <c r="EX80" s="111" t="n"/>
      <c r="EY80" s="111" t="n"/>
      <c r="EZ80" s="111" t="n"/>
      <c r="FA80" s="111" t="n"/>
      <c r="FB80" s="111" t="n"/>
      <c r="FC80" s="111" t="n"/>
      <c r="FD80" s="111" t="n"/>
      <c r="FE80" s="111" t="n"/>
      <c r="FF80" s="111" t="n"/>
      <c r="FG80" s="111" t="n"/>
      <c r="FH80" s="111" t="n"/>
      <c r="FI80" s="111" t="n"/>
      <c r="FJ80" s="111" t="n"/>
      <c r="FK80" s="111" t="n"/>
      <c r="FL80" s="111" t="n"/>
      <c r="FM80" s="111" t="n"/>
      <c r="FN80" s="111" t="n"/>
      <c r="FO80" s="111" t="n"/>
      <c r="FP80" s="111" t="n"/>
      <c r="FQ80" s="111" t="n"/>
      <c r="FR80" s="111" t="n"/>
      <c r="FS80" s="111" t="n"/>
      <c r="FT80" s="111" t="n"/>
      <c r="FU80" s="111" t="n"/>
      <c r="FV80" s="111" t="n"/>
      <c r="FW80" s="111" t="n"/>
      <c r="FX80" s="111" t="n"/>
      <c r="FY80" s="111" t="n"/>
      <c r="FZ80" s="111" t="n"/>
      <c r="GA80" s="111" t="n"/>
      <c r="GB80" s="111" t="n"/>
      <c r="GC80" s="111" t="n"/>
      <c r="GD80" s="111" t="n"/>
      <c r="GE80" s="111" t="n"/>
      <c r="GF80" s="111" t="n"/>
      <c r="GG80" s="111" t="n"/>
      <c r="GH80" s="111" t="n"/>
      <c r="GI80" s="111" t="n"/>
      <c r="GJ80" s="111" t="n"/>
      <c r="GK80" s="111" t="n"/>
      <c r="GL80" s="111" t="n"/>
      <c r="GM80" s="111" t="n"/>
      <c r="GN80" s="111" t="n"/>
      <c r="GO80" s="111" t="n"/>
      <c r="GP80" s="111" t="n"/>
      <c r="GQ80" s="111" t="n"/>
      <c r="GR80" s="111" t="n"/>
      <c r="GS80" s="111" t="n"/>
      <c r="GT80" s="111" t="n"/>
      <c r="GU80" s="111" t="n"/>
      <c r="GV80" s="111" t="n"/>
      <c r="GW80" s="111" t="n"/>
      <c r="GX80" s="111" t="n"/>
      <c r="GY80" s="111" t="n"/>
      <c r="GZ80" s="111" t="n"/>
      <c r="HA80" s="111" t="n"/>
      <c r="HB80" s="111" t="n"/>
      <c r="HC80" s="111" t="n"/>
      <c r="HD80" s="111" t="n"/>
      <c r="HE80" s="111" t="n"/>
      <c r="HF80" s="111" t="n"/>
      <c r="HG80" s="111" t="n"/>
      <c r="HH80" s="111" t="n"/>
      <c r="HI80" s="111" t="n"/>
      <c r="HJ80" s="111" t="n"/>
      <c r="HK80" s="111" t="n"/>
      <c r="HL80" s="111" t="n"/>
      <c r="HM80" s="111" t="n"/>
      <c r="HN80" s="111" t="n"/>
      <c r="HO80" s="111" t="n"/>
      <c r="HP80" s="111" t="n"/>
      <c r="HQ80" s="111" t="n"/>
      <c r="HR80" s="111" t="n"/>
      <c r="HS80" s="111" t="n"/>
      <c r="HT80" s="111" t="n"/>
      <c r="HU80" s="111" t="n"/>
      <c r="HV80" s="111" t="n"/>
      <c r="HW80" s="111" t="n"/>
      <c r="HX80" s="111" t="n"/>
      <c r="HY80" s="111" t="n"/>
      <c r="HZ80" s="111" t="n"/>
      <c r="IA80" s="111" t="n"/>
      <c r="IB80" s="111" t="n"/>
      <c r="IC80" s="111" t="n"/>
      <c r="ID80" s="111" t="n"/>
      <c r="IE80" s="111" t="n"/>
      <c r="IF80" s="111" t="n"/>
      <c r="IG80" s="111" t="n"/>
      <c r="IH80" s="111" t="n"/>
      <c r="II80" s="111" t="n"/>
      <c r="IJ80" s="111" t="n"/>
      <c r="IK80" s="111" t="n"/>
      <c r="IL80" s="111" t="n"/>
      <c r="IM80" s="111" t="n"/>
      <c r="IN80" s="111" t="n"/>
      <c r="IO80" s="111" t="n"/>
      <c r="IP80" s="111" t="n"/>
      <c r="IQ80" s="111" t="n"/>
      <c r="IR80" s="111" t="n"/>
      <c r="IS80" s="111" t="n"/>
      <c r="IT80" s="111" t="n"/>
      <c r="IU80" s="111" t="n"/>
      <c r="IV80" s="111" t="n"/>
      <c r="IW80" s="111" t="n"/>
      <c r="IX80" s="111" t="n"/>
      <c r="IY80" s="111" t="n"/>
      <c r="IZ80" s="111" t="n"/>
      <c r="JA80" s="111" t="n"/>
      <c r="JB80" s="111" t="n"/>
      <c r="JC80" s="111" t="n"/>
      <c r="JD80" s="111" t="n"/>
      <c r="JE80" s="111" t="n"/>
      <c r="JF80" s="111" t="n"/>
      <c r="JG80" s="111" t="n"/>
      <c r="JH80" s="111" t="n"/>
      <c r="JI80" s="111" t="n"/>
      <c r="JJ80" s="111" t="n"/>
      <c r="JK80" s="111" t="n"/>
      <c r="JL80" s="111" t="n"/>
      <c r="JM80" s="111" t="n"/>
      <c r="JN80" s="111" t="n"/>
      <c r="JO80" s="111" t="n"/>
      <c r="JP80" s="111" t="n"/>
      <c r="JQ80" s="111" t="n"/>
      <c r="JR80" s="111" t="n"/>
      <c r="JS80" s="111" t="n"/>
      <c r="JT80" s="111" t="n"/>
      <c r="JU80" s="111" t="n"/>
      <c r="JV80" s="111" t="n"/>
      <c r="JW80" s="111" t="n"/>
      <c r="JX80" s="111" t="n"/>
      <c r="JY80" s="111" t="n"/>
      <c r="JZ80" s="111" t="n"/>
      <c r="KA80" s="111" t="n"/>
      <c r="KB80" s="111" t="n"/>
      <c r="KC80" s="111" t="n"/>
      <c r="KD80" s="111" t="n"/>
      <c r="KE80" s="111" t="n"/>
      <c r="KF80" s="111" t="n"/>
      <c r="KG80" s="111" t="n"/>
      <c r="KH80" s="111" t="n"/>
      <c r="KI80" s="111" t="n"/>
      <c r="KJ80" s="111" t="n"/>
      <c r="KK80" s="111" t="n"/>
      <c r="KL80" s="111" t="n"/>
      <c r="KM80" s="111" t="n"/>
      <c r="KN80" s="111" t="n"/>
      <c r="KO80" s="111" t="n"/>
      <c r="KP80" s="111" t="n"/>
      <c r="KQ80" s="111" t="n"/>
      <c r="KR80" s="111" t="n"/>
      <c r="KS80" s="111" t="n"/>
      <c r="KT80" s="111" t="n"/>
      <c r="KU80" s="111" t="n"/>
      <c r="KV80" s="111" t="n"/>
      <c r="KW80" s="111" t="n"/>
      <c r="KX80" s="111" t="n"/>
      <c r="KY80" s="111" t="n"/>
      <c r="KZ80" s="111" t="n"/>
      <c r="LA80" s="111" t="n"/>
      <c r="LB80" s="111" t="n"/>
      <c r="LC80" s="111" t="n"/>
      <c r="LD80" s="111" t="n"/>
      <c r="LE80" s="111" t="n"/>
      <c r="LF80" s="111" t="n"/>
      <c r="LG80" s="111" t="n"/>
      <c r="LH80" s="111" t="n"/>
      <c r="LI80" s="111" t="n"/>
      <c r="LJ80" s="111" t="n"/>
      <c r="LK80" s="111" t="n"/>
      <c r="LL80" s="111" t="n"/>
      <c r="LM80" s="111" t="n"/>
      <c r="LN80" s="111" t="n"/>
      <c r="LO80" s="111" t="n"/>
      <c r="LP80" s="111" t="n"/>
      <c r="LQ80" s="111" t="n"/>
      <c r="LR80" s="111" t="n"/>
      <c r="LS80" s="111" t="n"/>
      <c r="LT80" s="111" t="n"/>
      <c r="LU80" s="111" t="n"/>
      <c r="LV80" s="111" t="n"/>
      <c r="LW80" s="111" t="n"/>
      <c r="LX80" s="111" t="n"/>
      <c r="LY80" s="111" t="n"/>
      <c r="LZ80" s="111" t="n"/>
      <c r="MA80" s="111" t="n"/>
      <c r="MB80" s="111" t="n"/>
      <c r="MC80" s="111" t="n"/>
      <c r="MD80" s="111" t="n"/>
      <c r="ME80" s="111" t="n"/>
      <c r="MF80" s="111" t="n"/>
      <c r="MG80" s="111" t="n"/>
      <c r="MH80" s="111" t="n"/>
      <c r="MI80" s="111" t="n"/>
      <c r="MJ80" s="111" t="n"/>
      <c r="MK80" s="111" t="n"/>
      <c r="ML80" s="111" t="n"/>
      <c r="MM80" s="111" t="n"/>
      <c r="MN80" s="111" t="n"/>
      <c r="MO80" s="111" t="n"/>
      <c r="MP80" s="111" t="n"/>
      <c r="MQ80" s="111" t="n"/>
      <c r="MR80" s="111" t="n"/>
      <c r="MS80" s="111" t="n"/>
      <c r="MT80" s="111" t="n"/>
      <c r="MU80" s="111" t="n"/>
      <c r="MV80" s="111" t="n"/>
      <c r="MW80" s="111" t="n"/>
      <c r="MX80" s="111" t="n"/>
      <c r="MY80" s="111" t="n"/>
      <c r="MZ80" s="111" t="n"/>
      <c r="NA80" s="111" t="n"/>
      <c r="NB80" s="111" t="n"/>
      <c r="NC80" s="111" t="n"/>
      <c r="ND80" s="111" t="n"/>
      <c r="NE80" s="111" t="n"/>
      <c r="NF80" s="111" t="n"/>
      <c r="NG80" s="111" t="n"/>
      <c r="NH80" s="111" t="n"/>
      <c r="NI80" s="111" t="n"/>
      <c r="NJ80" s="111" t="n"/>
      <c r="NK80" s="111" t="n"/>
      <c r="NL80" s="111" t="n"/>
      <c r="NM80" s="111" t="n"/>
      <c r="NN80" s="111" t="n"/>
      <c r="NO80" s="111" t="n"/>
      <c r="NP80" s="111" t="n"/>
      <c r="NQ80" s="111" t="n"/>
    </row>
    <row r="81" customFormat="1" s="17">
      <c r="A81" s="33">
        <f>IF(ISERROR(VALUE(SUBSTITUTE(OFFSET(A81,-1,0,1,1),".",""))),"0.1",IF(ISERROR(FIND("`",SUBSTITUTE(OFFSET(A81,-1,0,1,1),".","`",1))),OFFSET(A81,-1,0,1,1)&amp;".1",LEFT(OFFSET(A81,-1,0,1,1),FIND("`",SUBSTITUTE(OFFSET(A81,-1,0,1,1),".","`",1)))&amp;IF(ISERROR(FIND("`",SUBSTITUTE(OFFSET(A81,-1,0,1,1),".","`",2))),VALUE(RIGHT(OFFSET(A81,-1,0,1,1),LEN(OFFSET(A81,-1,0,1,1))-FIND("`",SUBSTITUTE(OFFSET(A81,-1,0,1,1),".","`",1))))+1,VALUE(MID(OFFSET(A81,-1,0,1,1),FIND("`",SUBSTITUTE(OFFSET(A81,-1,0,1,1),".","`",1))+1,(FIND("`",SUBSTITUTE(OFFSET(A81,-1,0,1,1),".","`",2))-FIND("`",SUBSTITUTE(OFFSET(A81,-1,0,1,1),".","`",1))-1)))+1)))</f>
        <v/>
      </c>
      <c r="B81" s="238" t="inlineStr">
        <is>
          <t>[ Start date and End date ]</t>
        </is>
      </c>
      <c r="C81" s="11" t="n"/>
      <c r="D81" s="37" t="n"/>
      <c r="E81" s="37" t="n"/>
      <c r="F81" s="37" t="n"/>
      <c r="G81" s="274" t="n"/>
      <c r="H81" s="274" t="n"/>
      <c r="I81" s="272" t="n"/>
      <c r="J81" s="272" t="n"/>
      <c r="K81" s="14">
        <f>IF(OR(G81=0,H81=0),0,NETWORKDAYS(G81,H81,holidays))</f>
        <v/>
      </c>
      <c r="L81" s="80" t="n"/>
      <c r="M81" s="14">
        <f>IF(OR(G81=0,H81=0),0,H81-G81+1)</f>
        <v/>
      </c>
      <c r="N81" s="15">
        <f>WORKDAY(G81,ROUNDDOWN(L81*K81,0),holidays)-G81</f>
        <v/>
      </c>
      <c r="O81" s="14">
        <f>M81-N81</f>
        <v/>
      </c>
      <c r="P81" s="113" t="inlineStr">
        <is>
          <t>k</t>
        </is>
      </c>
      <c r="R81" s="111" t="n"/>
      <c r="S81" s="111" t="n"/>
      <c r="T81" s="111" t="n"/>
      <c r="U81" s="111" t="n"/>
      <c r="V81" s="111" t="n"/>
      <c r="W81" s="111" t="n"/>
      <c r="X81" s="111" t="n"/>
      <c r="Y81" s="111" t="n"/>
      <c r="Z81" s="111" t="n"/>
      <c r="AA81" s="111" t="n"/>
      <c r="AB81" s="111" t="n"/>
      <c r="AC81" s="111" t="n"/>
      <c r="AD81" s="111" t="n"/>
      <c r="AE81" s="111" t="n"/>
      <c r="AF81" s="111" t="n"/>
      <c r="AG81" s="111" t="n"/>
      <c r="AH81" s="111" t="n"/>
      <c r="AI81" s="111" t="n"/>
      <c r="AJ81" s="111" t="n"/>
      <c r="AK81" s="111" t="n"/>
      <c r="AL81" s="111" t="n"/>
      <c r="AM81" s="111" t="n"/>
      <c r="AN81" s="111" t="n"/>
      <c r="AO81" s="111" t="n"/>
      <c r="AP81" s="111" t="n"/>
      <c r="AQ81" s="111" t="n"/>
      <c r="AR81" s="111" t="n"/>
      <c r="AS81" s="111" t="n"/>
      <c r="AT81" s="111" t="n"/>
      <c r="AU81" s="111" t="n"/>
      <c r="AV81" s="111" t="n"/>
      <c r="AW81" s="111" t="n"/>
      <c r="AX81" s="111" t="n"/>
      <c r="AY81" s="111" t="n"/>
      <c r="AZ81" s="111" t="n"/>
      <c r="BA81" s="111" t="n"/>
      <c r="BB81" s="111" t="n"/>
      <c r="BC81" s="111" t="n"/>
      <c r="BD81" s="111" t="n"/>
      <c r="BE81" s="111" t="n"/>
      <c r="BF81" s="111" t="n"/>
      <c r="BG81" s="111" t="n"/>
      <c r="BH81" s="111" t="n"/>
      <c r="BI81" s="111" t="n"/>
      <c r="BJ81" s="111" t="n"/>
      <c r="BK81" s="111" t="n"/>
      <c r="BL81" s="111" t="n"/>
      <c r="BM81" s="111" t="n"/>
      <c r="BN81" s="111" t="n"/>
      <c r="BO81" s="111" t="n"/>
      <c r="BP81" s="111" t="n"/>
      <c r="BQ81" s="111" t="n"/>
      <c r="BR81" s="111" t="n"/>
      <c r="BS81" s="111" t="n"/>
      <c r="BT81" s="111" t="n"/>
      <c r="BU81" s="111" t="n"/>
      <c r="BV81" s="111" t="n"/>
      <c r="BW81" s="111" t="n"/>
      <c r="BX81" s="111" t="n"/>
      <c r="BY81" s="111" t="n"/>
      <c r="BZ81" s="111" t="n"/>
      <c r="CA81" s="111" t="n"/>
      <c r="CB81" s="111" t="n"/>
      <c r="CC81" s="111" t="n"/>
      <c r="CD81" s="111" t="n"/>
      <c r="CE81" s="111" t="n"/>
      <c r="CF81" s="111" t="n"/>
      <c r="CG81" s="111" t="n"/>
      <c r="CH81" s="111" t="n"/>
      <c r="CI81" s="111" t="n"/>
      <c r="CJ81" s="111" t="n"/>
      <c r="CK81" s="111" t="n"/>
      <c r="CL81" s="111" t="n"/>
      <c r="CM81" s="111" t="n"/>
      <c r="CN81" s="111" t="n"/>
      <c r="CO81" s="111" t="n"/>
      <c r="CP81" s="111" t="n"/>
      <c r="CQ81" s="111" t="n"/>
      <c r="CR81" s="111" t="n"/>
      <c r="CS81" s="111" t="n"/>
      <c r="CT81" s="111" t="n"/>
      <c r="CU81" s="111" t="n"/>
      <c r="CV81" s="111" t="n"/>
      <c r="CW81" s="111" t="n"/>
      <c r="CX81" s="111" t="n"/>
      <c r="CY81" s="111" t="n"/>
      <c r="CZ81" s="111" t="n"/>
      <c r="DA81" s="111" t="n"/>
      <c r="DB81" s="111" t="n"/>
      <c r="DC81" s="111" t="n"/>
      <c r="DD81" s="111" t="n"/>
      <c r="DE81" s="111" t="n"/>
      <c r="DF81" s="111" t="n"/>
      <c r="DG81" s="111" t="n"/>
      <c r="DH81" s="111" t="n"/>
      <c r="DI81" s="111" t="n"/>
      <c r="DJ81" s="111" t="n"/>
      <c r="DK81" s="111" t="n"/>
      <c r="DL81" s="111" t="n"/>
      <c r="DM81" s="111" t="n"/>
      <c r="DN81" s="111" t="n"/>
      <c r="DO81" s="111" t="n"/>
      <c r="DP81" s="111" t="n"/>
      <c r="DQ81" s="111" t="n"/>
      <c r="DR81" s="111" t="n"/>
      <c r="DS81" s="111" t="n"/>
      <c r="DT81" s="111" t="n"/>
      <c r="DU81" s="111" t="n"/>
      <c r="DV81" s="111" t="n"/>
      <c r="DW81" s="111" t="n"/>
      <c r="DX81" s="111" t="n"/>
      <c r="DY81" s="111" t="n"/>
      <c r="DZ81" s="111" t="n"/>
      <c r="EA81" s="111" t="n"/>
      <c r="EB81" s="111" t="n"/>
      <c r="EC81" s="111" t="n"/>
      <c r="ED81" s="111" t="n"/>
      <c r="EE81" s="111" t="n"/>
      <c r="EF81" s="111" t="n"/>
      <c r="EG81" s="111" t="n"/>
      <c r="EH81" s="111" t="n"/>
      <c r="EI81" s="111" t="n"/>
      <c r="EJ81" s="111" t="n"/>
      <c r="EK81" s="111" t="n"/>
      <c r="EL81" s="111" t="n"/>
      <c r="EM81" s="111" t="n"/>
      <c r="EN81" s="111" t="n"/>
      <c r="EO81" s="111" t="n"/>
      <c r="EP81" s="111" t="n"/>
      <c r="EQ81" s="111" t="n"/>
      <c r="ER81" s="111" t="n"/>
      <c r="ES81" s="111" t="n"/>
      <c r="ET81" s="111" t="n"/>
      <c r="EU81" s="111" t="n"/>
      <c r="EV81" s="111" t="n"/>
      <c r="EW81" s="111" t="n"/>
      <c r="EX81" s="111" t="n"/>
      <c r="EY81" s="111" t="n"/>
      <c r="EZ81" s="111" t="n"/>
      <c r="FA81" s="111" t="n"/>
      <c r="FB81" s="111" t="n"/>
      <c r="FC81" s="111" t="n"/>
      <c r="FD81" s="111" t="n"/>
      <c r="FE81" s="111" t="n"/>
      <c r="FF81" s="111" t="n"/>
      <c r="FG81" s="111" t="n"/>
      <c r="FH81" s="111" t="n"/>
      <c r="FI81" s="111" t="n"/>
      <c r="FJ81" s="111" t="n"/>
      <c r="FK81" s="111" t="n"/>
      <c r="FL81" s="111" t="n"/>
      <c r="FM81" s="111" t="n"/>
      <c r="FN81" s="111" t="n"/>
      <c r="FO81" s="111" t="n"/>
      <c r="FP81" s="111" t="n"/>
      <c r="FQ81" s="111" t="n"/>
      <c r="FR81" s="111" t="n"/>
      <c r="FS81" s="111" t="n"/>
      <c r="FT81" s="111" t="n"/>
      <c r="FU81" s="111" t="n"/>
      <c r="FV81" s="111" t="n"/>
      <c r="FW81" s="111" t="n"/>
      <c r="FX81" s="111" t="n"/>
      <c r="FY81" s="111" t="n"/>
      <c r="FZ81" s="111" t="n"/>
      <c r="GA81" s="111" t="n"/>
      <c r="GB81" s="111" t="n"/>
      <c r="GC81" s="111" t="n"/>
      <c r="GD81" s="111" t="n"/>
      <c r="GE81" s="111" t="n"/>
      <c r="GF81" s="111" t="n"/>
      <c r="GG81" s="111" t="n"/>
      <c r="GH81" s="111" t="n"/>
      <c r="GI81" s="111" t="n"/>
      <c r="GJ81" s="111" t="n"/>
      <c r="GK81" s="111" t="n"/>
      <c r="GL81" s="111" t="n"/>
      <c r="GM81" s="111" t="n"/>
      <c r="GN81" s="111" t="n"/>
      <c r="GO81" s="111" t="n"/>
      <c r="GP81" s="111" t="n"/>
      <c r="GQ81" s="111" t="n"/>
      <c r="GR81" s="111" t="n"/>
      <c r="GS81" s="111" t="n"/>
      <c r="GT81" s="111" t="n"/>
      <c r="GU81" s="111" t="n"/>
      <c r="GV81" s="111" t="n"/>
      <c r="GW81" s="111" t="n"/>
      <c r="GX81" s="111" t="n"/>
      <c r="GY81" s="111" t="n"/>
      <c r="GZ81" s="111" t="n"/>
      <c r="HA81" s="111" t="n"/>
      <c r="HB81" s="111" t="n"/>
      <c r="HC81" s="111" t="n"/>
      <c r="HD81" s="111" t="n"/>
      <c r="HE81" s="111" t="n"/>
      <c r="HF81" s="111" t="n"/>
      <c r="HG81" s="111" t="n"/>
      <c r="HH81" s="111" t="n"/>
      <c r="HI81" s="111" t="n"/>
      <c r="HJ81" s="111" t="n"/>
      <c r="HK81" s="111" t="n"/>
      <c r="HL81" s="111" t="n"/>
      <c r="HM81" s="111" t="n"/>
      <c r="HN81" s="111" t="n"/>
      <c r="HO81" s="111" t="n"/>
      <c r="HP81" s="111" t="n"/>
      <c r="HQ81" s="111" t="n"/>
      <c r="HR81" s="111" t="n"/>
      <c r="HS81" s="111" t="n"/>
      <c r="HT81" s="111" t="n"/>
      <c r="HU81" s="111" t="n"/>
      <c r="HV81" s="111" t="n"/>
      <c r="HW81" s="111" t="n"/>
      <c r="HX81" s="111" t="n"/>
      <c r="HY81" s="111" t="n"/>
      <c r="HZ81" s="111" t="n"/>
      <c r="IA81" s="111" t="n"/>
      <c r="IB81" s="111" t="n"/>
      <c r="IC81" s="111" t="n"/>
      <c r="ID81" s="111" t="n"/>
      <c r="IE81" s="111" t="n"/>
      <c r="IF81" s="111" t="n"/>
      <c r="IG81" s="111" t="n"/>
      <c r="IH81" s="111" t="n"/>
      <c r="II81" s="111" t="n"/>
      <c r="IJ81" s="111" t="n"/>
      <c r="IK81" s="111" t="n"/>
      <c r="IL81" s="111" t="n"/>
      <c r="IM81" s="111" t="n"/>
      <c r="IN81" s="111" t="n"/>
      <c r="IO81" s="111" t="n"/>
      <c r="IP81" s="111" t="n"/>
      <c r="IQ81" s="111" t="n"/>
      <c r="IR81" s="111" t="n"/>
      <c r="IS81" s="111" t="n"/>
      <c r="IT81" s="111" t="n"/>
      <c r="IU81" s="111" t="n"/>
      <c r="IV81" s="111" t="n"/>
      <c r="IW81" s="111" t="n"/>
      <c r="IX81" s="111" t="n"/>
      <c r="IY81" s="111" t="n"/>
      <c r="IZ81" s="111" t="n"/>
      <c r="JA81" s="111" t="n"/>
      <c r="JB81" s="111" t="n"/>
      <c r="JC81" s="111" t="n"/>
      <c r="JD81" s="111" t="n"/>
      <c r="JE81" s="111" t="n"/>
      <c r="JF81" s="111" t="n"/>
      <c r="JG81" s="111" t="n"/>
      <c r="JH81" s="111" t="n"/>
      <c r="JI81" s="111" t="n"/>
      <c r="JJ81" s="111" t="n"/>
      <c r="JK81" s="111" t="n"/>
      <c r="JL81" s="111" t="n"/>
      <c r="JM81" s="111" t="n"/>
      <c r="JN81" s="111" t="n"/>
      <c r="JO81" s="111" t="n"/>
      <c r="JP81" s="111" t="n"/>
      <c r="JQ81" s="111" t="n"/>
      <c r="JR81" s="111" t="n"/>
      <c r="JS81" s="111" t="n"/>
      <c r="JT81" s="111" t="n"/>
      <c r="JU81" s="111" t="n"/>
      <c r="JV81" s="111" t="n"/>
      <c r="JW81" s="111" t="n"/>
      <c r="JX81" s="111" t="n"/>
      <c r="JY81" s="111" t="n"/>
      <c r="JZ81" s="111" t="n"/>
      <c r="KA81" s="111" t="n"/>
      <c r="KB81" s="111" t="n"/>
      <c r="KC81" s="111" t="n"/>
      <c r="KD81" s="111" t="n"/>
      <c r="KE81" s="111" t="n"/>
      <c r="KF81" s="111" t="n"/>
      <c r="KG81" s="111" t="n"/>
      <c r="KH81" s="111" t="n"/>
      <c r="KI81" s="111" t="n"/>
      <c r="KJ81" s="111" t="n"/>
      <c r="KK81" s="111" t="n"/>
      <c r="KL81" s="111" t="n"/>
      <c r="KM81" s="111" t="n"/>
      <c r="KN81" s="111" t="n"/>
      <c r="KO81" s="111" t="n"/>
      <c r="KP81" s="111" t="n"/>
      <c r="KQ81" s="111" t="n"/>
      <c r="KR81" s="111" t="n"/>
      <c r="KS81" s="111" t="n"/>
      <c r="KT81" s="111" t="n"/>
      <c r="KU81" s="111" t="n"/>
      <c r="KV81" s="111" t="n"/>
      <c r="KW81" s="111" t="n"/>
      <c r="KX81" s="111" t="n"/>
      <c r="KY81" s="111" t="n"/>
      <c r="KZ81" s="111" t="n"/>
      <c r="LA81" s="111" t="n"/>
      <c r="LB81" s="111" t="n"/>
      <c r="LC81" s="111" t="n"/>
      <c r="LD81" s="111" t="n"/>
      <c r="LE81" s="111" t="n"/>
      <c r="LF81" s="111" t="n"/>
      <c r="LG81" s="111" t="n"/>
      <c r="LH81" s="111" t="n"/>
      <c r="LI81" s="111" t="n"/>
      <c r="LJ81" s="111" t="n"/>
      <c r="LK81" s="111" t="n"/>
      <c r="LL81" s="111" t="n"/>
      <c r="LM81" s="111" t="n"/>
      <c r="LN81" s="111" t="n"/>
      <c r="LO81" s="111" t="n"/>
      <c r="LP81" s="111" t="n"/>
      <c r="LQ81" s="111" t="n"/>
      <c r="LR81" s="111" t="n"/>
      <c r="LS81" s="111" t="n"/>
      <c r="LT81" s="111" t="n"/>
      <c r="LU81" s="111" t="n"/>
      <c r="LV81" s="111" t="n"/>
      <c r="LW81" s="111" t="n"/>
      <c r="LX81" s="111" t="n"/>
      <c r="LY81" s="111" t="n"/>
      <c r="LZ81" s="111" t="n"/>
      <c r="MA81" s="111" t="n"/>
      <c r="MB81" s="111" t="n"/>
      <c r="MC81" s="111" t="n"/>
      <c r="MD81" s="111" t="n"/>
      <c r="ME81" s="111" t="n"/>
      <c r="MF81" s="111" t="n"/>
      <c r="MG81" s="111" t="n"/>
      <c r="MH81" s="111" t="n"/>
      <c r="MI81" s="111" t="n"/>
      <c r="MJ81" s="111" t="n"/>
      <c r="MK81" s="111" t="n"/>
      <c r="ML81" s="111" t="n"/>
      <c r="MM81" s="111" t="n"/>
      <c r="MN81" s="111" t="n"/>
      <c r="MO81" s="111" t="n"/>
      <c r="MP81" s="111" t="n"/>
      <c r="MQ81" s="111" t="n"/>
      <c r="MR81" s="111" t="n"/>
      <c r="MS81" s="111" t="n"/>
      <c r="MT81" s="111" t="n"/>
      <c r="MU81" s="111" t="n"/>
      <c r="MV81" s="111" t="n"/>
      <c r="MW81" s="111" t="n"/>
      <c r="MX81" s="111" t="n"/>
      <c r="MY81" s="111" t="n"/>
      <c r="MZ81" s="111" t="n"/>
      <c r="NA81" s="111" t="n"/>
      <c r="NB81" s="111" t="n"/>
      <c r="NC81" s="111" t="n"/>
      <c r="ND81" s="111" t="n"/>
      <c r="NE81" s="111" t="n"/>
      <c r="NF81" s="111" t="n"/>
      <c r="NG81" s="111" t="n"/>
      <c r="NH81" s="111" t="n"/>
      <c r="NI81" s="111" t="n"/>
      <c r="NJ81" s="111" t="n"/>
      <c r="NK81" s="111" t="n"/>
      <c r="NL81" s="111" t="n"/>
      <c r="NM81" s="111" t="n"/>
      <c r="NN81" s="111" t="n"/>
      <c r="NO81" s="111" t="n"/>
      <c r="NP81" s="111" t="n"/>
      <c r="NQ81" s="111" t="n"/>
    </row>
    <row r="82" customFormat="1" s="17">
      <c r="A82" s="33">
        <f>IF(ISERROR(VALUE(SUBSTITUTE(OFFSET(A82,-1,0,1,1),".",""))),"0.1",IF(ISERROR(FIND("`",SUBSTITUTE(OFFSET(A82,-1,0,1,1),".","`",1))),OFFSET(A82,-1,0,1,1)&amp;".1",LEFT(OFFSET(A82,-1,0,1,1),FIND("`",SUBSTITUTE(OFFSET(A82,-1,0,1,1),".","`",1)))&amp;IF(ISERROR(FIND("`",SUBSTITUTE(OFFSET(A82,-1,0,1,1),".","`",2))),VALUE(RIGHT(OFFSET(A82,-1,0,1,1),LEN(OFFSET(A82,-1,0,1,1))-FIND("`",SUBSTITUTE(OFFSET(A82,-1,0,1,1),".","`",1))))+1,VALUE(MID(OFFSET(A82,-1,0,1,1),FIND("`",SUBSTITUTE(OFFSET(A82,-1,0,1,1),".","`",1))+1,(FIND("`",SUBSTITUTE(OFFSET(A82,-1,0,1,1),".","`",2))-FIND("`",SUBSTITUTE(OFFSET(A82,-1,0,1,1),".","`",1))-1)))+1)))</f>
        <v/>
      </c>
      <c r="B82" s="135" t="inlineStr">
        <is>
          <t>[ Start date and Calendar Days ]</t>
        </is>
      </c>
      <c r="C82" s="11" t="n"/>
      <c r="D82" s="37" t="n"/>
      <c r="E82" s="37" t="n"/>
      <c r="F82" s="37" t="n"/>
      <c r="G82" s="274" t="n"/>
      <c r="H82" s="275">
        <f>IF(M82=0,G82,G82+M82-1)</f>
        <v/>
      </c>
      <c r="I82" s="272" t="n"/>
      <c r="J82" s="272" t="n"/>
      <c r="K82" s="14">
        <f>IF(OR(G82=0,H82=0),0,NETWORKDAYS(G82,H82,holidays))</f>
        <v/>
      </c>
      <c r="L82" s="80" t="n"/>
      <c r="M82" s="79" t="n"/>
      <c r="N82" s="15">
        <f>WORKDAY(G82,ROUNDDOWN(L82*K82,0),holidays)-G82</f>
        <v/>
      </c>
      <c r="O82" s="14">
        <f>M82-N82</f>
        <v/>
      </c>
      <c r="P82" s="113" t="n"/>
      <c r="Q82" s="17"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1" t="n"/>
      <c r="AY82" s="111" t="n"/>
      <c r="AZ82" s="111" t="n"/>
      <c r="BA82" s="111" t="n"/>
      <c r="BB82" s="111" t="n"/>
      <c r="BC82" s="111" t="n"/>
      <c r="BD82" s="111" t="n"/>
      <c r="BE82" s="111" t="n"/>
      <c r="BF82" s="111" t="n"/>
      <c r="BG82" s="111" t="n"/>
      <c r="BH82" s="111" t="n"/>
      <c r="BI82" s="111" t="n"/>
      <c r="BJ82" s="111" t="n"/>
      <c r="BK82" s="111" t="n"/>
      <c r="BL82" s="111" t="n"/>
      <c r="BM82" s="111" t="n"/>
      <c r="BN82" s="111" t="n"/>
      <c r="BO82" s="111" t="n"/>
      <c r="BP82" s="111" t="n"/>
      <c r="BQ82" s="111" t="n"/>
      <c r="BR82" s="111" t="n"/>
      <c r="BS82" s="111" t="n"/>
      <c r="BT82" s="111" t="n"/>
      <c r="BU82" s="111" t="n"/>
      <c r="BV82" s="111" t="n"/>
      <c r="BW82" s="111" t="n"/>
      <c r="BX82" s="111" t="n"/>
      <c r="BY82" s="111" t="n"/>
      <c r="BZ82" s="111" t="n"/>
      <c r="CA82" s="111" t="n"/>
      <c r="CB82" s="111" t="n"/>
      <c r="CC82" s="111" t="n"/>
      <c r="CD82" s="111" t="n"/>
      <c r="CE82" s="111" t="n"/>
      <c r="CF82" s="111"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1" t="n"/>
      <c r="DS82" s="111" t="n"/>
      <c r="DT82" s="111" t="n"/>
      <c r="DU82" s="111" t="n"/>
      <c r="DV82" s="111" t="n"/>
      <c r="DW82" s="111" t="n"/>
      <c r="DX82" s="111" t="n"/>
      <c r="DY82" s="111" t="n"/>
      <c r="DZ82" s="111" t="n"/>
      <c r="EA82" s="111" t="n"/>
      <c r="EB82" s="111" t="n"/>
      <c r="EC82" s="111" t="n"/>
      <c r="ED82" s="111" t="n"/>
      <c r="EE82" s="111" t="n"/>
      <c r="EF82" s="111" t="n"/>
      <c r="EG82" s="111" t="n"/>
      <c r="EH82" s="111" t="n"/>
      <c r="EI82" s="111" t="n"/>
      <c r="EJ82" s="111" t="n"/>
      <c r="EK82" s="111" t="n"/>
      <c r="EL82" s="111" t="n"/>
      <c r="EM82" s="111" t="n"/>
      <c r="EN82" s="111" t="n"/>
      <c r="EO82" s="111" t="n"/>
      <c r="EP82" s="111" t="n"/>
      <c r="EQ82" s="111" t="n"/>
      <c r="ER82" s="111" t="n"/>
      <c r="ES82" s="111" t="n"/>
      <c r="ET82" s="111" t="n"/>
      <c r="EU82" s="111" t="n"/>
      <c r="EV82" s="111" t="n"/>
      <c r="EW82" s="111" t="n"/>
      <c r="EX82" s="111" t="n"/>
      <c r="EY82" s="111" t="n"/>
      <c r="EZ82" s="111" t="n"/>
      <c r="FA82" s="111" t="n"/>
      <c r="FB82" s="111"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1" t="n"/>
      <c r="GH82" s="111" t="n"/>
      <c r="GI82" s="111" t="n"/>
      <c r="GJ82" s="111" t="n"/>
      <c r="GK82" s="111" t="n"/>
      <c r="GL82" s="111" t="n"/>
      <c r="GM82" s="111" t="n"/>
      <c r="GN82" s="111" t="n"/>
      <c r="GO82" s="111" t="n"/>
      <c r="GP82" s="111" t="n"/>
      <c r="GQ82" s="111" t="n"/>
      <c r="GR82" s="111" t="n"/>
      <c r="GS82" s="111" t="n"/>
      <c r="GT82" s="111" t="n"/>
      <c r="GU82" s="111" t="n"/>
      <c r="GV82" s="111" t="n"/>
      <c r="GW82" s="111" t="n"/>
      <c r="GX82" s="111" t="n"/>
      <c r="GY82" s="111" t="n"/>
      <c r="GZ82" s="111" t="n"/>
      <c r="HA82" s="111" t="n"/>
      <c r="HB82" s="111" t="n"/>
      <c r="HC82" s="111" t="n"/>
      <c r="HD82" s="111" t="n"/>
      <c r="HE82" s="111" t="n"/>
      <c r="HF82" s="111" t="n"/>
      <c r="HG82" s="111" t="n"/>
      <c r="HH82" s="111" t="n"/>
      <c r="HI82" s="111" t="n"/>
      <c r="HJ82" s="111" t="n"/>
      <c r="HK82" s="111" t="n"/>
      <c r="HL82" s="111" t="n"/>
      <c r="HM82" s="111" t="n"/>
      <c r="HN82" s="111" t="n"/>
      <c r="HO82" s="111" t="n"/>
      <c r="HP82" s="111" t="n"/>
      <c r="HQ82" s="111" t="n"/>
      <c r="HR82" s="111" t="n"/>
      <c r="HS82" s="111" t="n"/>
      <c r="HT82" s="111" t="n"/>
      <c r="HU82" s="111" t="n"/>
      <c r="HV82" s="111" t="n"/>
      <c r="HW82" s="111" t="n"/>
      <c r="HX82" s="111" t="n"/>
      <c r="HY82" s="111" t="n"/>
      <c r="HZ82" s="111" t="n"/>
      <c r="IA82" s="111" t="n"/>
      <c r="IB82" s="111" t="n"/>
      <c r="IC82" s="111" t="n"/>
      <c r="ID82" s="111" t="n"/>
      <c r="IE82" s="111" t="n"/>
      <c r="IF82" s="111" t="n"/>
      <c r="IG82" s="111" t="n"/>
      <c r="IH82" s="111" t="n"/>
      <c r="II82" s="111" t="n"/>
      <c r="IJ82" s="111" t="n"/>
      <c r="IK82" s="111" t="n"/>
      <c r="IL82" s="111" t="n"/>
      <c r="IM82" s="111" t="n"/>
      <c r="IN82" s="111" t="n"/>
      <c r="IO82" s="111" t="n"/>
      <c r="IP82" s="111" t="n"/>
      <c r="IQ82" s="111" t="n"/>
      <c r="IR82" s="111" t="n"/>
      <c r="IS82" s="111" t="n"/>
      <c r="IT82" s="111" t="n"/>
      <c r="IU82" s="111" t="n"/>
      <c r="IV82" s="111" t="n"/>
      <c r="IW82" s="111" t="n"/>
      <c r="IX82" s="111" t="n"/>
      <c r="IY82" s="111" t="n"/>
      <c r="IZ82" s="111" t="n"/>
      <c r="JA82" s="111" t="n"/>
      <c r="JB82" s="111" t="n"/>
      <c r="JC82" s="111" t="n"/>
      <c r="JD82" s="111" t="n"/>
      <c r="JE82" s="111" t="n"/>
      <c r="JF82" s="111" t="n"/>
      <c r="JG82" s="111" t="n"/>
      <c r="JH82" s="111" t="n"/>
      <c r="JI82" s="111" t="n"/>
      <c r="JJ82" s="111" t="n"/>
      <c r="JK82" s="111" t="n"/>
      <c r="JL82" s="111" t="n"/>
      <c r="JM82" s="111" t="n"/>
      <c r="JN82" s="111" t="n"/>
      <c r="JO82" s="111" t="n"/>
      <c r="JP82" s="111" t="n"/>
      <c r="JQ82" s="111" t="n"/>
      <c r="JR82" s="111" t="n"/>
      <c r="JS82" s="111" t="n"/>
      <c r="JT82" s="111" t="n"/>
      <c r="JU82" s="111" t="n"/>
      <c r="JV82" s="111" t="n"/>
      <c r="JW82" s="111" t="n"/>
      <c r="JX82" s="111" t="n"/>
      <c r="JY82" s="111" t="n"/>
      <c r="JZ82" s="111" t="n"/>
      <c r="KA82" s="111" t="n"/>
      <c r="KB82" s="111" t="n"/>
      <c r="KC82" s="111" t="n"/>
      <c r="KD82" s="111" t="n"/>
      <c r="KE82" s="111" t="n"/>
      <c r="KF82" s="111" t="n"/>
      <c r="KG82" s="111" t="n"/>
      <c r="KH82" s="111" t="n"/>
      <c r="KI82" s="111" t="n"/>
      <c r="KJ82" s="111" t="n"/>
      <c r="KK82" s="111" t="n"/>
      <c r="KL82" s="111" t="n"/>
      <c r="KM82" s="111" t="n"/>
      <c r="KN82" s="111" t="n"/>
      <c r="KO82" s="111" t="n"/>
      <c r="KP82" s="111" t="n"/>
      <c r="KQ82" s="111" t="n"/>
      <c r="KR82" s="111" t="n"/>
      <c r="KS82" s="111" t="n"/>
      <c r="KT82" s="111" t="n"/>
      <c r="KU82" s="111" t="n"/>
      <c r="KV82" s="111" t="n"/>
      <c r="KW82" s="111" t="n"/>
      <c r="KX82" s="111" t="n"/>
      <c r="KY82" s="111" t="n"/>
      <c r="KZ82" s="111" t="n"/>
      <c r="LA82" s="111" t="n"/>
      <c r="LB82" s="111" t="n"/>
      <c r="LC82" s="111" t="n"/>
      <c r="LD82" s="111" t="n"/>
      <c r="LE82" s="111" t="n"/>
      <c r="LF82" s="111" t="n"/>
      <c r="LG82" s="111" t="n"/>
      <c r="LH82" s="111" t="n"/>
      <c r="LI82" s="111" t="n"/>
      <c r="LJ82" s="111" t="n"/>
      <c r="LK82" s="111" t="n"/>
      <c r="LL82" s="111" t="n"/>
      <c r="LM82" s="111" t="n"/>
      <c r="LN82" s="111" t="n"/>
      <c r="LO82" s="111" t="n"/>
      <c r="LP82" s="111" t="n"/>
      <c r="LQ82" s="111" t="n"/>
      <c r="LR82" s="111" t="n"/>
      <c r="LS82" s="111" t="n"/>
      <c r="LT82" s="111" t="n"/>
      <c r="LU82" s="111" t="n"/>
      <c r="LV82" s="111" t="n"/>
      <c r="LW82" s="111" t="n"/>
      <c r="LX82" s="111" t="n"/>
      <c r="LY82" s="111" t="n"/>
      <c r="LZ82" s="111" t="n"/>
      <c r="MA82" s="111" t="n"/>
      <c r="MB82" s="111" t="n"/>
      <c r="MC82" s="111" t="n"/>
      <c r="MD82" s="111" t="n"/>
      <c r="ME82" s="111" t="n"/>
      <c r="MF82" s="111" t="n"/>
      <c r="MG82" s="111" t="n"/>
      <c r="MH82" s="111" t="n"/>
      <c r="MI82" s="111" t="n"/>
      <c r="MJ82" s="111" t="n"/>
      <c r="MK82" s="111" t="n"/>
      <c r="ML82" s="111" t="n"/>
      <c r="MM82" s="111" t="n"/>
      <c r="MN82" s="111" t="n"/>
      <c r="MO82" s="111" t="n"/>
      <c r="MP82" s="111" t="n"/>
      <c r="MQ82" s="111" t="n"/>
      <c r="MR82" s="111" t="n"/>
      <c r="MS82" s="111" t="n"/>
      <c r="MT82" s="111" t="n"/>
      <c r="MU82" s="111" t="n"/>
      <c r="MV82" s="111" t="n"/>
      <c r="MW82" s="111" t="n"/>
      <c r="MX82" s="111" t="n"/>
      <c r="MY82" s="111" t="n"/>
      <c r="MZ82" s="111" t="n"/>
      <c r="NA82" s="111" t="n"/>
      <c r="NB82" s="111" t="n"/>
      <c r="NC82" s="111" t="n"/>
      <c r="ND82" s="111" t="n"/>
      <c r="NE82" s="111" t="n"/>
      <c r="NF82" s="111" t="n"/>
      <c r="NG82" s="111" t="n"/>
      <c r="NH82" s="111" t="n"/>
      <c r="NI82" s="111" t="n"/>
      <c r="NJ82" s="111" t="n"/>
      <c r="NK82" s="111" t="n"/>
      <c r="NL82" s="111" t="n"/>
      <c r="NM82" s="111" t="n"/>
      <c r="NN82" s="111" t="n"/>
      <c r="NO82" s="111" t="n"/>
      <c r="NP82" s="111" t="n"/>
      <c r="NQ82" s="111" t="n"/>
    </row>
    <row r="83" customFormat="1" s="17">
      <c r="A83" s="33">
        <f>IF(ISERROR(VALUE(SUBSTITUTE(OFFSET(A83,-1,0,1,1),".",""))),"0.1",IF(ISERROR(FIND("`",SUBSTITUTE(OFFSET(A83,-1,0,1,1),".","`",1))),OFFSET(A83,-1,0,1,1)&amp;".1",LEFT(OFFSET(A83,-1,0,1,1),FIND("`",SUBSTITUTE(OFFSET(A83,-1,0,1,1),".","`",1)))&amp;IF(ISERROR(FIND("`",SUBSTITUTE(OFFSET(A83,-1,0,1,1),".","`",2))),VALUE(RIGHT(OFFSET(A83,-1,0,1,1),LEN(OFFSET(A83,-1,0,1,1))-FIND("`",SUBSTITUTE(OFFSET(A83,-1,0,1,1),".","`",1))))+1,VALUE(MID(OFFSET(A83,-1,0,1,1),FIND("`",SUBSTITUTE(OFFSET(A83,-1,0,1,1),".","`",1))+1,(FIND("`",SUBSTITUTE(OFFSET(A83,-1,0,1,1),".","`",2))-FIND("`",SUBSTITUTE(OFFSET(A83,-1,0,1,1),".","`",1))-1)))+1)))</f>
        <v/>
      </c>
      <c r="B83" s="135" t="inlineStr">
        <is>
          <t>[ Predecessors and Calendar Days ]</t>
        </is>
      </c>
      <c r="C83" s="11" t="n"/>
      <c r="D83" s="81" t="n"/>
      <c r="E83" s="81" t="n"/>
      <c r="F83" s="81" t="n"/>
      <c r="G83" s="275">
        <f>MAX(IF(D83="",$G$6,1+INDEX(H:H,MATCH(D83,A:A,0))),IF(E83="",$G$6,1+INDEX(H:H,MATCH(E83,A:A,0))),IF(F83="",$G$6,1+INDEX(H:H,MATCH(F83,A:A,0))))</f>
        <v/>
      </c>
      <c r="H83" s="275">
        <f>IF(M83=0,G83,G83+M83-1)</f>
        <v/>
      </c>
      <c r="I83" s="272" t="n"/>
      <c r="J83" s="272" t="n"/>
      <c r="K83" s="14">
        <f>IF(OR(G83=0,H83=0),0,NETWORKDAYS(G83,H83,holidays))</f>
        <v/>
      </c>
      <c r="L83" s="80" t="n"/>
      <c r="M83" s="79" t="n">
        <v>1</v>
      </c>
      <c r="N83" s="15">
        <f>WORKDAY(G83,ROUNDDOWN(L83*K83,0),holidays)-G83</f>
        <v/>
      </c>
      <c r="O83" s="14">
        <f>M83-N83</f>
        <v/>
      </c>
      <c r="P83" s="113" t="n"/>
      <c r="Q83" s="17"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1" t="n"/>
      <c r="AY83" s="111" t="n"/>
      <c r="AZ83" s="111" t="n"/>
      <c r="BA83" s="111" t="n"/>
      <c r="BB83" s="111" t="n"/>
      <c r="BC83" s="111" t="n"/>
      <c r="BD83" s="111" t="n"/>
      <c r="BE83" s="111" t="n"/>
      <c r="BF83" s="111" t="n"/>
      <c r="BG83" s="111" t="n"/>
      <c r="BH83" s="111" t="n"/>
      <c r="BI83" s="111" t="n"/>
      <c r="BJ83" s="111" t="n"/>
      <c r="BK83" s="111" t="n"/>
      <c r="BL83" s="111" t="n"/>
      <c r="BM83" s="111" t="n"/>
      <c r="BN83" s="111" t="n"/>
      <c r="BO83" s="111" t="n"/>
      <c r="BP83" s="111" t="n"/>
      <c r="BQ83" s="111" t="n"/>
      <c r="BR83" s="111" t="n"/>
      <c r="BS83" s="111" t="n"/>
      <c r="BT83" s="111" t="n"/>
      <c r="BU83" s="111" t="n"/>
      <c r="BV83" s="111" t="n"/>
      <c r="BW83" s="111" t="n"/>
      <c r="BX83" s="111" t="n"/>
      <c r="BY83" s="111" t="n"/>
      <c r="BZ83" s="111" t="n"/>
      <c r="CA83" s="111" t="n"/>
      <c r="CB83" s="111" t="n"/>
      <c r="CC83" s="111" t="n"/>
      <c r="CD83" s="111" t="n"/>
      <c r="CE83" s="111" t="n"/>
      <c r="CF83" s="111"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1" t="n"/>
      <c r="DS83" s="111" t="n"/>
      <c r="DT83" s="111" t="n"/>
      <c r="DU83" s="111" t="n"/>
      <c r="DV83" s="111" t="n"/>
      <c r="DW83" s="111" t="n"/>
      <c r="DX83" s="111" t="n"/>
      <c r="DY83" s="111" t="n"/>
      <c r="DZ83" s="111" t="n"/>
      <c r="EA83" s="111" t="n"/>
      <c r="EB83" s="111" t="n"/>
      <c r="EC83" s="111" t="n"/>
      <c r="ED83" s="111" t="n"/>
      <c r="EE83" s="111" t="n"/>
      <c r="EF83" s="111" t="n"/>
      <c r="EG83" s="111" t="n"/>
      <c r="EH83" s="111" t="n"/>
      <c r="EI83" s="111" t="n"/>
      <c r="EJ83" s="111" t="n"/>
      <c r="EK83" s="111" t="n"/>
      <c r="EL83" s="111" t="n"/>
      <c r="EM83" s="111" t="n"/>
      <c r="EN83" s="111" t="n"/>
      <c r="EO83" s="111" t="n"/>
      <c r="EP83" s="111" t="n"/>
      <c r="EQ83" s="111" t="n"/>
      <c r="ER83" s="111" t="n"/>
      <c r="ES83" s="111" t="n"/>
      <c r="ET83" s="111" t="n"/>
      <c r="EU83" s="111" t="n"/>
      <c r="EV83" s="111" t="n"/>
      <c r="EW83" s="111" t="n"/>
      <c r="EX83" s="111" t="n"/>
      <c r="EY83" s="111" t="n"/>
      <c r="EZ83" s="111" t="n"/>
      <c r="FA83" s="111" t="n"/>
      <c r="FB83" s="111"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1" t="n"/>
      <c r="GH83" s="111" t="n"/>
      <c r="GI83" s="111" t="n"/>
      <c r="GJ83" s="111" t="n"/>
      <c r="GK83" s="111" t="n"/>
      <c r="GL83" s="111" t="n"/>
      <c r="GM83" s="111" t="n"/>
      <c r="GN83" s="111" t="n"/>
      <c r="GO83" s="111" t="n"/>
      <c r="GP83" s="111" t="n"/>
      <c r="GQ83" s="111" t="n"/>
      <c r="GR83" s="111" t="n"/>
      <c r="GS83" s="111" t="n"/>
      <c r="GT83" s="111" t="n"/>
      <c r="GU83" s="111" t="n"/>
      <c r="GV83" s="111" t="n"/>
      <c r="GW83" s="111" t="n"/>
      <c r="GX83" s="111" t="n"/>
      <c r="GY83" s="111" t="n"/>
      <c r="GZ83" s="111" t="n"/>
      <c r="HA83" s="111" t="n"/>
      <c r="HB83" s="111" t="n"/>
      <c r="HC83" s="111" t="n"/>
      <c r="HD83" s="111" t="n"/>
      <c r="HE83" s="111" t="n"/>
      <c r="HF83" s="111" t="n"/>
      <c r="HG83" s="111" t="n"/>
      <c r="HH83" s="111" t="n"/>
      <c r="HI83" s="111" t="n"/>
      <c r="HJ83" s="111" t="n"/>
      <c r="HK83" s="111" t="n"/>
      <c r="HL83" s="111" t="n"/>
      <c r="HM83" s="111" t="n"/>
      <c r="HN83" s="111" t="n"/>
      <c r="HO83" s="111" t="n"/>
      <c r="HP83" s="111" t="n"/>
      <c r="HQ83" s="111" t="n"/>
      <c r="HR83" s="111" t="n"/>
      <c r="HS83" s="111" t="n"/>
      <c r="HT83" s="111" t="n"/>
      <c r="HU83" s="111" t="n"/>
      <c r="HV83" s="111" t="n"/>
      <c r="HW83" s="111" t="n"/>
      <c r="HX83" s="111" t="n"/>
      <c r="HY83" s="111" t="n"/>
      <c r="HZ83" s="111" t="n"/>
      <c r="IA83" s="111" t="n"/>
      <c r="IB83" s="111" t="n"/>
      <c r="IC83" s="111" t="n"/>
      <c r="ID83" s="111" t="n"/>
      <c r="IE83" s="111" t="n"/>
      <c r="IF83" s="111" t="n"/>
      <c r="IG83" s="111" t="n"/>
      <c r="IH83" s="111" t="n"/>
      <c r="II83" s="111" t="n"/>
      <c r="IJ83" s="111" t="n"/>
      <c r="IK83" s="111" t="n"/>
      <c r="IL83" s="111" t="n"/>
      <c r="IM83" s="111" t="n"/>
      <c r="IN83" s="111" t="n"/>
      <c r="IO83" s="111" t="n"/>
      <c r="IP83" s="111" t="n"/>
      <c r="IQ83" s="111" t="n"/>
      <c r="IR83" s="111" t="n"/>
      <c r="IS83" s="111" t="n"/>
      <c r="IT83" s="111" t="n"/>
      <c r="IU83" s="111" t="n"/>
      <c r="IV83" s="111" t="n"/>
      <c r="IW83" s="111" t="n"/>
      <c r="IX83" s="111" t="n"/>
      <c r="IY83" s="111" t="n"/>
      <c r="IZ83" s="111" t="n"/>
      <c r="JA83" s="111" t="n"/>
      <c r="JB83" s="111" t="n"/>
      <c r="JC83" s="111" t="n"/>
      <c r="JD83" s="111" t="n"/>
      <c r="JE83" s="111" t="n"/>
      <c r="JF83" s="111" t="n"/>
      <c r="JG83" s="111" t="n"/>
      <c r="JH83" s="111" t="n"/>
      <c r="JI83" s="111" t="n"/>
      <c r="JJ83" s="111" t="n"/>
      <c r="JK83" s="111" t="n"/>
      <c r="JL83" s="111" t="n"/>
      <c r="JM83" s="111" t="n"/>
      <c r="JN83" s="111" t="n"/>
      <c r="JO83" s="111" t="n"/>
      <c r="JP83" s="111" t="n"/>
      <c r="JQ83" s="111" t="n"/>
      <c r="JR83" s="111" t="n"/>
      <c r="JS83" s="111" t="n"/>
      <c r="JT83" s="111" t="n"/>
      <c r="JU83" s="111" t="n"/>
      <c r="JV83" s="111" t="n"/>
      <c r="JW83" s="111" t="n"/>
      <c r="JX83" s="111" t="n"/>
      <c r="JY83" s="111" t="n"/>
      <c r="JZ83" s="111" t="n"/>
      <c r="KA83" s="111" t="n"/>
      <c r="KB83" s="111" t="n"/>
      <c r="KC83" s="111" t="n"/>
      <c r="KD83" s="111" t="n"/>
      <c r="KE83" s="111" t="n"/>
      <c r="KF83" s="111" t="n"/>
      <c r="KG83" s="111" t="n"/>
      <c r="KH83" s="111" t="n"/>
      <c r="KI83" s="111" t="n"/>
      <c r="KJ83" s="111" t="n"/>
      <c r="KK83" s="111" t="n"/>
      <c r="KL83" s="111" t="n"/>
      <c r="KM83" s="111" t="n"/>
      <c r="KN83" s="111" t="n"/>
      <c r="KO83" s="111" t="n"/>
      <c r="KP83" s="111" t="n"/>
      <c r="KQ83" s="111" t="n"/>
      <c r="KR83" s="111" t="n"/>
      <c r="KS83" s="111" t="n"/>
      <c r="KT83" s="111" t="n"/>
      <c r="KU83" s="111" t="n"/>
      <c r="KV83" s="111" t="n"/>
      <c r="KW83" s="111" t="n"/>
      <c r="KX83" s="111" t="n"/>
      <c r="KY83" s="111" t="n"/>
      <c r="KZ83" s="111" t="n"/>
      <c r="LA83" s="111" t="n"/>
      <c r="LB83" s="111" t="n"/>
      <c r="LC83" s="111" t="n"/>
      <c r="LD83" s="111" t="n"/>
      <c r="LE83" s="111" t="n"/>
      <c r="LF83" s="111" t="n"/>
      <c r="LG83" s="111" t="n"/>
      <c r="LH83" s="111" t="n"/>
      <c r="LI83" s="111" t="n"/>
      <c r="LJ83" s="111" t="n"/>
      <c r="LK83" s="111" t="n"/>
      <c r="LL83" s="111" t="n"/>
      <c r="LM83" s="111" t="n"/>
      <c r="LN83" s="111" t="n"/>
      <c r="LO83" s="111" t="n"/>
      <c r="LP83" s="111" t="n"/>
      <c r="LQ83" s="111" t="n"/>
      <c r="LR83" s="111" t="n"/>
      <c r="LS83" s="111" t="n"/>
      <c r="LT83" s="111" t="n"/>
      <c r="LU83" s="111" t="n"/>
      <c r="LV83" s="111" t="n"/>
      <c r="LW83" s="111" t="n"/>
      <c r="LX83" s="111" t="n"/>
      <c r="LY83" s="111" t="n"/>
      <c r="LZ83" s="111" t="n"/>
      <c r="MA83" s="111" t="n"/>
      <c r="MB83" s="111" t="n"/>
      <c r="MC83" s="111" t="n"/>
      <c r="MD83" s="111" t="n"/>
      <c r="ME83" s="111" t="n"/>
      <c r="MF83" s="111" t="n"/>
      <c r="MG83" s="111" t="n"/>
      <c r="MH83" s="111" t="n"/>
      <c r="MI83" s="111" t="n"/>
      <c r="MJ83" s="111" t="n"/>
      <c r="MK83" s="111" t="n"/>
      <c r="ML83" s="111" t="n"/>
      <c r="MM83" s="111" t="n"/>
      <c r="MN83" s="111" t="n"/>
      <c r="MO83" s="111" t="n"/>
      <c r="MP83" s="111" t="n"/>
      <c r="MQ83" s="111" t="n"/>
      <c r="MR83" s="111" t="n"/>
      <c r="MS83" s="111" t="n"/>
      <c r="MT83" s="111" t="n"/>
      <c r="MU83" s="111" t="n"/>
      <c r="MV83" s="111" t="n"/>
      <c r="MW83" s="111" t="n"/>
      <c r="MX83" s="111" t="n"/>
      <c r="MY83" s="111" t="n"/>
      <c r="MZ83" s="111" t="n"/>
      <c r="NA83" s="111" t="n"/>
      <c r="NB83" s="111" t="n"/>
      <c r="NC83" s="111" t="n"/>
      <c r="ND83" s="111" t="n"/>
      <c r="NE83" s="111" t="n"/>
      <c r="NF83" s="111" t="n"/>
      <c r="NG83" s="111" t="n"/>
      <c r="NH83" s="111" t="n"/>
      <c r="NI83" s="111" t="n"/>
      <c r="NJ83" s="111" t="n"/>
      <c r="NK83" s="111" t="n"/>
      <c r="NL83" s="111" t="n"/>
      <c r="NM83" s="111" t="n"/>
      <c r="NN83" s="111" t="n"/>
      <c r="NO83" s="111" t="n"/>
      <c r="NP83" s="111" t="n"/>
      <c r="NQ83" s="111" t="n"/>
    </row>
    <row r="84" customFormat="1" s="17">
      <c r="A84" s="33">
        <f>IF(ISERROR(VALUE(SUBSTITUTE(OFFSET(A84,-1,0,1,1),".",""))),"0.1",IF(ISERROR(FIND("`",SUBSTITUTE(OFFSET(A84,-1,0,1,1),".","`",1))),OFFSET(A84,-1,0,1,1)&amp;".1",LEFT(OFFSET(A84,-1,0,1,1),FIND("`",SUBSTITUTE(OFFSET(A84,-1,0,1,1),".","`",1)))&amp;IF(ISERROR(FIND("`",SUBSTITUTE(OFFSET(A84,-1,0,1,1),".","`",2))),VALUE(RIGHT(OFFSET(A84,-1,0,1,1),LEN(OFFSET(A84,-1,0,1,1))-FIND("`",SUBSTITUTE(OFFSET(A84,-1,0,1,1),".","`",1))))+1,VALUE(MID(OFFSET(A84,-1,0,1,1),FIND("`",SUBSTITUTE(OFFSET(A84,-1,0,1,1),".","`",1))+1,(FIND("`",SUBSTITUTE(OFFSET(A84,-1,0,1,1),".","`",2))-FIND("`",SUBSTITUTE(OFFSET(A84,-1,0,1,1),".","`",1))-1)))+1)))</f>
        <v/>
      </c>
      <c r="B84" s="135" t="inlineStr">
        <is>
          <t>[ Predecessors and End date ]</t>
        </is>
      </c>
      <c r="C84" s="11" t="n"/>
      <c r="D84" s="81" t="n"/>
      <c r="E84" s="81" t="n"/>
      <c r="F84" s="81" t="n"/>
      <c r="G84" s="275">
        <f>MAX(IF(D84="",$G$6,1+INDEX(H:H,MATCH(D84,A:A,0))),IF(E84="",$G$6,1+INDEX(H:H,MATCH(E84,A:A,0))),IF(F84="",$G$6,1+INDEX(H:H,MATCH(F84,A:A,0))))</f>
        <v/>
      </c>
      <c r="H84" s="274" t="n"/>
      <c r="I84" s="272" t="n"/>
      <c r="J84" s="272" t="n"/>
      <c r="K84" s="14">
        <f>IF(OR(G84=0,H84=0),0,NETWORKDAYS(G84,H84,holidays))</f>
        <v/>
      </c>
      <c r="L84" s="80" t="n"/>
      <c r="M84" s="14">
        <f>IF(OR(G84=0,H84=0),0,H84-G84+1)</f>
        <v/>
      </c>
      <c r="N84" s="15">
        <f>WORKDAY(G84,ROUNDDOWN(L84*K84,0),holidays)-G84</f>
        <v/>
      </c>
      <c r="O84" s="14">
        <f>M84-N84</f>
        <v/>
      </c>
      <c r="P84" s="113" t="n"/>
      <c r="R84" s="111" t="n"/>
      <c r="S84" s="111" t="n"/>
      <c r="T84" s="111" t="n"/>
      <c r="U84" s="111" t="n"/>
      <c r="V84" s="111" t="n"/>
      <c r="W84" s="111" t="n"/>
      <c r="X84" s="111" t="n"/>
      <c r="Y84" s="111" t="n"/>
      <c r="Z84" s="111" t="n"/>
      <c r="AA84" s="111" t="n"/>
      <c r="AB84" s="111" t="n"/>
      <c r="AC84" s="111" t="n"/>
      <c r="AD84" s="111" t="n"/>
      <c r="AE84" s="111" t="n"/>
      <c r="AF84" s="111" t="n"/>
      <c r="AG84" s="111" t="n"/>
      <c r="AH84" s="111" t="n"/>
      <c r="AI84" s="111" t="n"/>
      <c r="AJ84" s="111" t="n"/>
      <c r="AK84" s="111" t="n"/>
      <c r="AL84" s="111" t="n"/>
      <c r="AM84" s="111" t="n"/>
      <c r="AN84" s="111" t="n"/>
      <c r="AO84" s="111" t="n"/>
      <c r="AP84" s="111" t="n"/>
      <c r="AQ84" s="111" t="n"/>
      <c r="AR84" s="111" t="n"/>
      <c r="AS84" s="111" t="n"/>
      <c r="AT84" s="111" t="n"/>
      <c r="AU84" s="111" t="n"/>
      <c r="AV84" s="111" t="n"/>
      <c r="AW84" s="111" t="n"/>
      <c r="AX84" s="111" t="n"/>
      <c r="AY84" s="111" t="n"/>
      <c r="AZ84" s="111" t="n"/>
      <c r="BA84" s="111" t="n"/>
      <c r="BB84" s="111" t="n"/>
      <c r="BC84" s="111" t="n"/>
      <c r="BD84" s="111" t="n"/>
      <c r="BE84" s="111" t="n"/>
      <c r="BF84" s="111" t="n"/>
      <c r="BG84" s="111" t="n"/>
      <c r="BH84" s="111" t="n"/>
      <c r="BI84" s="111" t="n"/>
      <c r="BJ84" s="111" t="n"/>
      <c r="BK84" s="111" t="n"/>
      <c r="BL84" s="111" t="n"/>
      <c r="BM84" s="111" t="n"/>
      <c r="BN84" s="111" t="n"/>
      <c r="BO84" s="111" t="n"/>
      <c r="BP84" s="111" t="n"/>
      <c r="BQ84" s="111" t="n"/>
      <c r="BR84" s="111" t="n"/>
      <c r="BS84" s="111" t="n"/>
      <c r="BT84" s="111" t="n"/>
      <c r="BU84" s="111" t="n"/>
      <c r="BV84" s="111" t="n"/>
      <c r="BW84" s="111" t="n"/>
      <c r="BX84" s="111" t="n"/>
      <c r="BY84" s="111" t="n"/>
      <c r="BZ84" s="111" t="n"/>
      <c r="CA84" s="111" t="n"/>
      <c r="CB84" s="111" t="n"/>
      <c r="CC84" s="111" t="n"/>
      <c r="CD84" s="111" t="n"/>
      <c r="CE84" s="111" t="n"/>
      <c r="CF84" s="111" t="n"/>
      <c r="CG84" s="111" t="n"/>
      <c r="CH84" s="111" t="n"/>
      <c r="CI84" s="111" t="n"/>
      <c r="CJ84" s="111" t="n"/>
      <c r="CK84" s="111" t="n"/>
      <c r="CL84" s="111" t="n"/>
      <c r="CM84" s="111" t="n"/>
      <c r="CN84" s="111" t="n"/>
      <c r="CO84" s="111" t="n"/>
      <c r="CP84" s="111" t="n"/>
      <c r="CQ84" s="111" t="n"/>
      <c r="CR84" s="111" t="n"/>
      <c r="CS84" s="111" t="n"/>
      <c r="CT84" s="111" t="n"/>
      <c r="CU84" s="111" t="n"/>
      <c r="CV84" s="111" t="n"/>
      <c r="CW84" s="111" t="n"/>
      <c r="CX84" s="111" t="n"/>
      <c r="CY84" s="111" t="n"/>
      <c r="CZ84" s="111" t="n"/>
      <c r="DA84" s="111" t="n"/>
      <c r="DB84" s="111" t="n"/>
      <c r="DC84" s="111" t="n"/>
      <c r="DD84" s="111" t="n"/>
      <c r="DE84" s="111" t="n"/>
      <c r="DF84" s="111" t="n"/>
      <c r="DG84" s="111" t="n"/>
      <c r="DH84" s="111" t="n"/>
      <c r="DI84" s="111" t="n"/>
      <c r="DJ84" s="111" t="n"/>
      <c r="DK84" s="111" t="n"/>
      <c r="DL84" s="111" t="n"/>
      <c r="DM84" s="111" t="n"/>
      <c r="DN84" s="111" t="n"/>
      <c r="DO84" s="111" t="n"/>
      <c r="DP84" s="111" t="n"/>
      <c r="DQ84" s="111" t="n"/>
      <c r="DR84" s="111" t="n"/>
      <c r="DS84" s="111" t="n"/>
      <c r="DT84" s="111" t="n"/>
      <c r="DU84" s="111" t="n"/>
      <c r="DV84" s="111" t="n"/>
      <c r="DW84" s="111" t="n"/>
      <c r="DX84" s="111" t="n"/>
      <c r="DY84" s="111" t="n"/>
      <c r="DZ84" s="111" t="n"/>
      <c r="EA84" s="111" t="n"/>
      <c r="EB84" s="111" t="n"/>
      <c r="EC84" s="111" t="n"/>
      <c r="ED84" s="111" t="n"/>
      <c r="EE84" s="111" t="n"/>
      <c r="EF84" s="111" t="n"/>
      <c r="EG84" s="111" t="n"/>
      <c r="EH84" s="111" t="n"/>
      <c r="EI84" s="111" t="n"/>
      <c r="EJ84" s="111" t="n"/>
      <c r="EK84" s="111" t="n"/>
      <c r="EL84" s="111" t="n"/>
      <c r="EM84" s="111" t="n"/>
      <c r="EN84" s="111" t="n"/>
      <c r="EO84" s="111" t="n"/>
      <c r="EP84" s="111" t="n"/>
      <c r="EQ84" s="111" t="n"/>
      <c r="ER84" s="111" t="n"/>
      <c r="ES84" s="111" t="n"/>
      <c r="ET84" s="111" t="n"/>
      <c r="EU84" s="111" t="n"/>
      <c r="EV84" s="111" t="n"/>
      <c r="EW84" s="111" t="n"/>
      <c r="EX84" s="111" t="n"/>
      <c r="EY84" s="111" t="n"/>
      <c r="EZ84" s="111" t="n"/>
      <c r="FA84" s="111" t="n"/>
      <c r="FB84" s="111" t="n"/>
      <c r="FC84" s="111" t="n"/>
      <c r="FD84" s="111" t="n"/>
      <c r="FE84" s="111" t="n"/>
      <c r="FF84" s="111" t="n"/>
      <c r="FG84" s="111" t="n"/>
      <c r="FH84" s="111" t="n"/>
      <c r="FI84" s="111" t="n"/>
      <c r="FJ84" s="111" t="n"/>
      <c r="FK84" s="111" t="n"/>
      <c r="FL84" s="111" t="n"/>
      <c r="FM84" s="111" t="n"/>
      <c r="FN84" s="111" t="n"/>
      <c r="FO84" s="111" t="n"/>
      <c r="FP84" s="111" t="n"/>
      <c r="FQ84" s="111" t="n"/>
      <c r="FR84" s="111" t="n"/>
      <c r="FS84" s="111" t="n"/>
      <c r="FT84" s="111" t="n"/>
      <c r="FU84" s="111" t="n"/>
      <c r="FV84" s="111" t="n"/>
      <c r="FW84" s="111" t="n"/>
      <c r="FX84" s="111" t="n"/>
      <c r="FY84" s="111" t="n"/>
      <c r="FZ84" s="111" t="n"/>
      <c r="GA84" s="111" t="n"/>
      <c r="GB84" s="111" t="n"/>
      <c r="GC84" s="111" t="n"/>
      <c r="GD84" s="111" t="n"/>
      <c r="GE84" s="111" t="n"/>
      <c r="GF84" s="111" t="n"/>
      <c r="GG84" s="111" t="n"/>
      <c r="GH84" s="111" t="n"/>
      <c r="GI84" s="111" t="n"/>
      <c r="GJ84" s="111" t="n"/>
      <c r="GK84" s="111" t="n"/>
      <c r="GL84" s="111" t="n"/>
      <c r="GM84" s="111" t="n"/>
      <c r="GN84" s="111" t="n"/>
      <c r="GO84" s="111" t="n"/>
      <c r="GP84" s="111" t="n"/>
      <c r="GQ84" s="111" t="n"/>
      <c r="GR84" s="111" t="n"/>
      <c r="GS84" s="111" t="n"/>
      <c r="GT84" s="111" t="n"/>
      <c r="GU84" s="111" t="n"/>
      <c r="GV84" s="111" t="n"/>
      <c r="GW84" s="111" t="n"/>
      <c r="GX84" s="111" t="n"/>
      <c r="GY84" s="111" t="n"/>
      <c r="GZ84" s="111" t="n"/>
      <c r="HA84" s="111" t="n"/>
      <c r="HB84" s="111" t="n"/>
      <c r="HC84" s="111" t="n"/>
      <c r="HD84" s="111" t="n"/>
      <c r="HE84" s="111" t="n"/>
      <c r="HF84" s="111" t="n"/>
      <c r="HG84" s="111" t="n"/>
      <c r="HH84" s="111" t="n"/>
      <c r="HI84" s="111" t="n"/>
      <c r="HJ84" s="111" t="n"/>
      <c r="HK84" s="111" t="n"/>
      <c r="HL84" s="111" t="n"/>
      <c r="HM84" s="111" t="n"/>
      <c r="HN84" s="111" t="n"/>
      <c r="HO84" s="111" t="n"/>
      <c r="HP84" s="111" t="n"/>
      <c r="HQ84" s="111" t="n"/>
      <c r="HR84" s="111" t="n"/>
      <c r="HS84" s="111" t="n"/>
      <c r="HT84" s="111" t="n"/>
      <c r="HU84" s="111" t="n"/>
      <c r="HV84" s="111" t="n"/>
      <c r="HW84" s="111" t="n"/>
      <c r="HX84" s="111" t="n"/>
      <c r="HY84" s="111" t="n"/>
      <c r="HZ84" s="111" t="n"/>
      <c r="IA84" s="111" t="n"/>
      <c r="IB84" s="111" t="n"/>
      <c r="IC84" s="111" t="n"/>
      <c r="ID84" s="111" t="n"/>
      <c r="IE84" s="111" t="n"/>
      <c r="IF84" s="111" t="n"/>
      <c r="IG84" s="111" t="n"/>
      <c r="IH84" s="111" t="n"/>
      <c r="II84" s="111" t="n"/>
      <c r="IJ84" s="111" t="n"/>
      <c r="IK84" s="111" t="n"/>
      <c r="IL84" s="111" t="n"/>
      <c r="IM84" s="111" t="n"/>
      <c r="IN84" s="111" t="n"/>
      <c r="IO84" s="111" t="n"/>
      <c r="IP84" s="111" t="n"/>
      <c r="IQ84" s="111" t="n"/>
      <c r="IR84" s="111" t="n"/>
      <c r="IS84" s="111" t="n"/>
      <c r="IT84" s="111" t="n"/>
      <c r="IU84" s="111" t="n"/>
      <c r="IV84" s="111" t="n"/>
      <c r="IW84" s="111" t="n"/>
      <c r="IX84" s="111" t="n"/>
      <c r="IY84" s="111" t="n"/>
      <c r="IZ84" s="111" t="n"/>
      <c r="JA84" s="111" t="n"/>
      <c r="JB84" s="111" t="n"/>
      <c r="JC84" s="111" t="n"/>
      <c r="JD84" s="111" t="n"/>
      <c r="JE84" s="111" t="n"/>
      <c r="JF84" s="111" t="n"/>
      <c r="JG84" s="111" t="n"/>
      <c r="JH84" s="111" t="n"/>
      <c r="JI84" s="111" t="n"/>
      <c r="JJ84" s="111" t="n"/>
      <c r="JK84" s="111" t="n"/>
      <c r="JL84" s="111" t="n"/>
      <c r="JM84" s="111" t="n"/>
      <c r="JN84" s="111" t="n"/>
      <c r="JO84" s="111" t="n"/>
      <c r="JP84" s="111" t="n"/>
      <c r="JQ84" s="111" t="n"/>
      <c r="JR84" s="111" t="n"/>
      <c r="JS84" s="111" t="n"/>
      <c r="JT84" s="111" t="n"/>
      <c r="JU84" s="111" t="n"/>
      <c r="JV84" s="111" t="n"/>
      <c r="JW84" s="111" t="n"/>
      <c r="JX84" s="111" t="n"/>
      <c r="JY84" s="111" t="n"/>
      <c r="JZ84" s="111" t="n"/>
      <c r="KA84" s="111" t="n"/>
      <c r="KB84" s="111" t="n"/>
      <c r="KC84" s="111" t="n"/>
      <c r="KD84" s="111" t="n"/>
      <c r="KE84" s="111" t="n"/>
      <c r="KF84" s="111" t="n"/>
      <c r="KG84" s="111" t="n"/>
      <c r="KH84" s="111" t="n"/>
      <c r="KI84" s="111" t="n"/>
      <c r="KJ84" s="111" t="n"/>
      <c r="KK84" s="111" t="n"/>
      <c r="KL84" s="111" t="n"/>
      <c r="KM84" s="111" t="n"/>
      <c r="KN84" s="111" t="n"/>
      <c r="KO84" s="111" t="n"/>
      <c r="KP84" s="111" t="n"/>
      <c r="KQ84" s="111" t="n"/>
      <c r="KR84" s="111" t="n"/>
      <c r="KS84" s="111" t="n"/>
      <c r="KT84" s="111" t="n"/>
      <c r="KU84" s="111" t="n"/>
      <c r="KV84" s="111" t="n"/>
      <c r="KW84" s="111" t="n"/>
      <c r="KX84" s="111" t="n"/>
      <c r="KY84" s="111" t="n"/>
      <c r="KZ84" s="111" t="n"/>
      <c r="LA84" s="111" t="n"/>
      <c r="LB84" s="111" t="n"/>
      <c r="LC84" s="111" t="n"/>
      <c r="LD84" s="111" t="n"/>
      <c r="LE84" s="111" t="n"/>
      <c r="LF84" s="111" t="n"/>
      <c r="LG84" s="111" t="n"/>
      <c r="LH84" s="111" t="n"/>
      <c r="LI84" s="111" t="n"/>
      <c r="LJ84" s="111" t="n"/>
      <c r="LK84" s="111" t="n"/>
      <c r="LL84" s="111" t="n"/>
      <c r="LM84" s="111" t="n"/>
      <c r="LN84" s="111" t="n"/>
      <c r="LO84" s="111" t="n"/>
      <c r="LP84" s="111" t="n"/>
      <c r="LQ84" s="111" t="n"/>
      <c r="LR84" s="111" t="n"/>
      <c r="LS84" s="111" t="n"/>
      <c r="LT84" s="111" t="n"/>
      <c r="LU84" s="111" t="n"/>
      <c r="LV84" s="111" t="n"/>
      <c r="LW84" s="111" t="n"/>
      <c r="LX84" s="111" t="n"/>
      <c r="LY84" s="111" t="n"/>
      <c r="LZ84" s="111" t="n"/>
      <c r="MA84" s="111" t="n"/>
      <c r="MB84" s="111" t="n"/>
      <c r="MC84" s="111" t="n"/>
      <c r="MD84" s="111" t="n"/>
      <c r="ME84" s="111" t="n"/>
      <c r="MF84" s="111" t="n"/>
      <c r="MG84" s="111" t="n"/>
      <c r="MH84" s="111" t="n"/>
      <c r="MI84" s="111" t="n"/>
      <c r="MJ84" s="111" t="n"/>
      <c r="MK84" s="111" t="n"/>
      <c r="ML84" s="111" t="n"/>
      <c r="MM84" s="111" t="n"/>
      <c r="MN84" s="111" t="n"/>
      <c r="MO84" s="111" t="n"/>
      <c r="MP84" s="111" t="n"/>
      <c r="MQ84" s="111" t="n"/>
      <c r="MR84" s="111" t="n"/>
      <c r="MS84" s="111" t="n"/>
      <c r="MT84" s="111" t="n"/>
      <c r="MU84" s="111" t="n"/>
      <c r="MV84" s="111" t="n"/>
      <c r="MW84" s="111" t="n"/>
      <c r="MX84" s="111" t="n"/>
      <c r="MY84" s="111" t="n"/>
      <c r="MZ84" s="111" t="n"/>
      <c r="NA84" s="111" t="n"/>
      <c r="NB84" s="111" t="n"/>
      <c r="NC84" s="111" t="n"/>
      <c r="ND84" s="111" t="n"/>
      <c r="NE84" s="111" t="n"/>
      <c r="NF84" s="111" t="n"/>
      <c r="NG84" s="111" t="n"/>
      <c r="NH84" s="111" t="n"/>
      <c r="NI84" s="111" t="n"/>
      <c r="NJ84" s="111" t="n"/>
      <c r="NK84" s="111" t="n"/>
      <c r="NL84" s="111" t="n"/>
      <c r="NM84" s="111" t="n"/>
      <c r="NN84" s="111" t="n"/>
      <c r="NO84" s="111" t="n"/>
      <c r="NP84" s="111" t="n"/>
      <c r="NQ84" s="111" t="n"/>
    </row>
    <row r="86">
      <c r="M86" s="239" t="inlineStr">
        <is>
          <t>Formula to copy/paste for color-coding based on urgency (see help):</t>
        </is>
      </c>
      <c r="P86" s="105">
        <f>IF(H86&lt;$G$7 +  INDEX(urgency_days,1),"r",IF(H86&lt;$G$7 +  INDEX(urgency_days,2),"o",IF(H86&lt;$G$7 +  INDEX(urgency_days,3),"y","")))</f>
        <v/>
      </c>
    </row>
    <row r="87">
      <c r="M87" s="239" t="inlineStr">
        <is>
          <t>Formula to copy/paste for color-coding based on task lead (see help):</t>
        </is>
      </c>
      <c r="P87" s="105">
        <f>IFERROR( INDEX( lead_color, MATCH(C87, lead, 0) ), "")</f>
        <v/>
      </c>
    </row>
    <row r="88">
      <c r="M88" s="239" t="inlineStr">
        <is>
          <t>Combined (urgency first, task lead second):</t>
        </is>
      </c>
      <c r="P88" s="105">
        <f>IF(H88&lt;$G$7 +  INDEX(urgency_days,1),"r",IF(H88&lt;$G$7 +  INDEX(urgency_days,2),"o",IF(H88&lt;$G$7 +  INDEX(urgency_days,3),"y", IFERROR( INDEX( lead_color, MATCH(C88, lead, 0) ), "") )))</f>
        <v/>
      </c>
    </row>
  </sheetData>
  <mergeCells count="176">
    <mergeCell ref="EU8:FA8"/>
    <mergeCell ref="B7:F7"/>
    <mergeCell ref="MW10:NC10"/>
    <mergeCell ref="GD8:GJ8"/>
    <mergeCell ref="CQ10:CW10"/>
    <mergeCell ref="FI8:FO8"/>
    <mergeCell ref="BO8:BU8"/>
    <mergeCell ref="EU10:FA10"/>
    <mergeCell ref="DS8:DY8"/>
    <mergeCell ref="FP9:FV9"/>
    <mergeCell ref="BO10:BU10"/>
    <mergeCell ref="EG8:EM8"/>
    <mergeCell ref="BA9:BG9"/>
    <mergeCell ref="R8:X8"/>
    <mergeCell ref="DS10:DY10"/>
    <mergeCell ref="IA8:IG8"/>
    <mergeCell ref="DE9:DK9"/>
    <mergeCell ref="HT10:HZ10"/>
    <mergeCell ref="BO9:BU9"/>
    <mergeCell ref="HF9:HL9"/>
    <mergeCell ref="KE8:KK8"/>
    <mergeCell ref="DS9:DY9"/>
    <mergeCell ref="GK8:GQ8"/>
    <mergeCell ref="R10:X10"/>
    <mergeCell ref="KZ10:LF10"/>
    <mergeCell ref="GY8:HE8"/>
    <mergeCell ref="CJ8:CP8"/>
    <mergeCell ref="B8:B10"/>
    <mergeCell ref="AT8:AZ8"/>
    <mergeCell ref="FP10:FV10"/>
    <mergeCell ref="EN8:ET8"/>
    <mergeCell ref="CX8:DD8"/>
    <mergeCell ref="GY10:HE10"/>
    <mergeCell ref="GK9:GQ9"/>
    <mergeCell ref="B6:F6"/>
    <mergeCell ref="CJ10:CP10"/>
    <mergeCell ref="FB8:FH8"/>
    <mergeCell ref="EN10:ET10"/>
    <mergeCell ref="GY9:HE9"/>
    <mergeCell ref="CX10:DD10"/>
    <mergeCell ref="IO10:IU10"/>
    <mergeCell ref="CJ9:CP9"/>
    <mergeCell ref="BV8:CB8"/>
    <mergeCell ref="FI9:FO9"/>
    <mergeCell ref="EN9:ET9"/>
    <mergeCell ref="BH10:BN10"/>
    <mergeCell ref="AM10:AS10"/>
    <mergeCell ref="AT9:AZ9"/>
    <mergeCell ref="LU10:MA10"/>
    <mergeCell ref="KS8:KY8"/>
    <mergeCell ref="HT8:HZ8"/>
    <mergeCell ref="CX9:DD9"/>
    <mergeCell ref="BH9:BN9"/>
    <mergeCell ref="MP9:MV9"/>
    <mergeCell ref="FB9:FH9"/>
    <mergeCell ref="KS10:KY10"/>
    <mergeCell ref="Y8:AE8"/>
    <mergeCell ref="KE9:KK9"/>
    <mergeCell ref="G7:H7"/>
    <mergeCell ref="IO9:IU9"/>
    <mergeCell ref="DE10:DK10"/>
    <mergeCell ref="CC8:CI8"/>
    <mergeCell ref="AM8:AS8"/>
    <mergeCell ref="KS9:KY9"/>
    <mergeCell ref="G8:G10"/>
    <mergeCell ref="CQ8:CW8"/>
    <mergeCell ref="GD9:GJ9"/>
    <mergeCell ref="CC10:CI10"/>
    <mergeCell ref="NK10:NQ10"/>
    <mergeCell ref="MP10:MV10"/>
    <mergeCell ref="Y9:AE9"/>
    <mergeCell ref="FW8:GC8"/>
    <mergeCell ref="LN8:LT8"/>
    <mergeCell ref="JX8:KD8"/>
    <mergeCell ref="CC9:CI9"/>
    <mergeCell ref="NK9:NQ9"/>
    <mergeCell ref="AF10:AL10"/>
    <mergeCell ref="LN10:LT10"/>
    <mergeCell ref="JJ9:JP9"/>
    <mergeCell ref="B5:F5"/>
    <mergeCell ref="N8:N10"/>
    <mergeCell ref="MB10:MH10"/>
    <mergeCell ref="MI9:MO9"/>
    <mergeCell ref="P8:P10"/>
    <mergeCell ref="BH8:BN8"/>
    <mergeCell ref="KZ8:LF8"/>
    <mergeCell ref="IH10:IN10"/>
    <mergeCell ref="HT9:HZ9"/>
    <mergeCell ref="EU9:FA9"/>
    <mergeCell ref="AT10:AZ10"/>
    <mergeCell ref="DL8:DR8"/>
    <mergeCell ref="EG9:EM9"/>
    <mergeCell ref="JX9:KD9"/>
    <mergeCell ref="IH9:IN9"/>
    <mergeCell ref="A8:A10"/>
    <mergeCell ref="AF8:AL8"/>
    <mergeCell ref="KL9:KR9"/>
    <mergeCell ref="JC8:JI8"/>
    <mergeCell ref="HM8:HS8"/>
    <mergeCell ref="MI10:MO10"/>
    <mergeCell ref="R9:X9"/>
    <mergeCell ref="FP8:FV8"/>
    <mergeCell ref="LG8:LM8"/>
    <mergeCell ref="KZ9:LF9"/>
    <mergeCell ref="JQ8:JW8"/>
    <mergeCell ref="ND9:NJ9"/>
    <mergeCell ref="JC10:JI10"/>
    <mergeCell ref="LU8:MA8"/>
    <mergeCell ref="H8:H10"/>
    <mergeCell ref="J8:J10"/>
    <mergeCell ref="LG10:LM10"/>
    <mergeCell ref="JQ10:JW10"/>
    <mergeCell ref="JC9:JI9"/>
    <mergeCell ref="BA8:BG8"/>
    <mergeCell ref="MI8:MO8"/>
    <mergeCell ref="FW9:GC9"/>
    <mergeCell ref="MW8:NC8"/>
    <mergeCell ref="IA9:IG9"/>
    <mergeCell ref="BA10:BG10"/>
    <mergeCell ref="IH8:IN8"/>
    <mergeCell ref="AM9:AS9"/>
    <mergeCell ref="LU9:MA9"/>
    <mergeCell ref="KL8:KR8"/>
    <mergeCell ref="I8:I10"/>
    <mergeCell ref="FW10:GC10"/>
    <mergeCell ref="K8:K10"/>
    <mergeCell ref="GR8:GX8"/>
    <mergeCell ref="NK8:NQ8"/>
    <mergeCell ref="C8:C10"/>
    <mergeCell ref="EG10:EM10"/>
    <mergeCell ref="JX10:KD10"/>
    <mergeCell ref="DE8:DK8"/>
    <mergeCell ref="IV8:JB8"/>
    <mergeCell ref="GK10:GQ10"/>
    <mergeCell ref="KL10:KR10"/>
    <mergeCell ref="GR10:GX10"/>
    <mergeCell ref="MW9:NC9"/>
    <mergeCell ref="IV10:JB10"/>
    <mergeCell ref="LG9:LM9"/>
    <mergeCell ref="CQ9:CW9"/>
    <mergeCell ref="ND8:NJ8"/>
    <mergeCell ref="HF10:HL10"/>
    <mergeCell ref="FI10:FO10"/>
    <mergeCell ref="GR9:GX9"/>
    <mergeCell ref="JJ10:JP10"/>
    <mergeCell ref="M8:M10"/>
    <mergeCell ref="IV9:JB9"/>
    <mergeCell ref="O8:O10"/>
    <mergeCell ref="ND10:NJ10"/>
    <mergeCell ref="MB8:MH8"/>
    <mergeCell ref="G6:H6"/>
    <mergeCell ref="IO8:IU8"/>
    <mergeCell ref="FB10:FH10"/>
    <mergeCell ref="MP8:MV8"/>
    <mergeCell ref="DZ8:EF8"/>
    <mergeCell ref="D8:F10"/>
    <mergeCell ref="DL10:DR10"/>
    <mergeCell ref="LN9:LT9"/>
    <mergeCell ref="BV10:CB10"/>
    <mergeCell ref="HM10:HS10"/>
    <mergeCell ref="G5:H5"/>
    <mergeCell ref="DZ10:EF10"/>
    <mergeCell ref="MB9:MH9"/>
    <mergeCell ref="DL9:DR9"/>
    <mergeCell ref="IA10:IG10"/>
    <mergeCell ref="BV9:CB9"/>
    <mergeCell ref="GD10:GJ10"/>
    <mergeCell ref="HM9:HS9"/>
    <mergeCell ref="KE10:KK10"/>
    <mergeCell ref="DZ9:EF9"/>
    <mergeCell ref="Y10:AE10"/>
    <mergeCell ref="JQ9:JW9"/>
    <mergeCell ref="AF9:AL9"/>
    <mergeCell ref="L8:L10"/>
    <mergeCell ref="HF8:HL8"/>
    <mergeCell ref="JJ8:JP8"/>
  </mergeCells>
  <conditionalFormatting sqref="R8:NQ10">
    <cfRule type="expression" priority="421" dxfId="16">
      <formula>OR($N$1=3,WEEKDAY(R$7,1)=$O$1)</formula>
    </cfRule>
  </conditionalFormatting>
  <conditionalFormatting sqref="R11:NQ84">
    <cfRule type="expression" priority="422" dxfId="15" stopIfTrue="1">
      <formula>AND($G$7&gt;=R$7,$G$7&lt;S$7)</formula>
    </cfRule>
    <cfRule type="expression" priority="423" dxfId="14">
      <formula>AND(OR(R$7&lt;$G11,R$7&gt;$H11),AND($N$1&lt;&gt;3,WEEKDAY(R$9,1)=$O$1))</formula>
    </cfRule>
    <cfRule type="expression" priority="424" dxfId="33">
      <formula>AND($I$1,AND(OR(AND($I11&lt;&gt;"",$I11&lt;&gt;$G11),AND($J11&lt;&gt;"",$J11&lt;&gt;$H11)),NOT(IF($N$1=3,OR(S$7&lt;=$I11,R$7&gt;$J11),OR(R$7&gt;$J11,R$7&lt;$I11)))))</formula>
    </cfRule>
    <cfRule type="expression" priority="425" stopIfTrue="1">
      <formula>IF($N$1=3,OR(S$7&lt;=$G11,R$7&gt;$H11),OR(R$7&gt;$H11,R$7&lt;$G11))</formula>
    </cfRule>
    <cfRule type="expression" priority="426" dxfId="13" stopIfTrue="1">
      <formula>OR($L11&gt;=1,IF($N$1=3,S$7&lt;=$G11+$N11,R$7&lt;$G11+$N11))</formula>
    </cfRule>
    <cfRule type="expression" priority="427" dxfId="12" stopIfTrue="1">
      <formula>$P11="k"</formula>
    </cfRule>
    <cfRule type="expression" priority="428" dxfId="11" stopIfTrue="1">
      <formula>$P11="o"</formula>
    </cfRule>
    <cfRule type="expression" priority="429" dxfId="10" stopIfTrue="1">
      <formula>$P11="y"</formula>
    </cfRule>
    <cfRule type="expression" priority="430" dxfId="9" stopIfTrue="1">
      <formula>$P11="p"</formula>
    </cfRule>
    <cfRule type="expression" priority="431" dxfId="8" stopIfTrue="1">
      <formula>$P11="g"</formula>
    </cfRule>
    <cfRule type="expression" priority="432" dxfId="7" stopIfTrue="1">
      <formula>$P11="r"</formula>
    </cfRule>
    <cfRule type="expression" priority="433" dxfId="6" stopIfTrue="1">
      <formula>$P11=1</formula>
    </cfRule>
    <cfRule type="expression" priority="434" dxfId="5" stopIfTrue="1">
      <formula>$P11=2</formula>
    </cfRule>
    <cfRule type="expression" priority="435" dxfId="4" stopIfTrue="1">
      <formula>$P11=3</formula>
    </cfRule>
    <cfRule type="expression" priority="436" dxfId="3" stopIfTrue="1">
      <formula>$P11=4</formula>
    </cfRule>
    <cfRule type="expression" priority="437" dxfId="2" stopIfTrue="1">
      <formula>$P11=5</formula>
    </cfRule>
    <cfRule type="expression" priority="438" dxfId="1" stopIfTrue="1">
      <formula>$P11=6</formula>
    </cfRule>
    <cfRule type="expression" priority="439" dxfId="0" stopIfTrue="1">
      <formula>TRUE</formula>
    </cfRule>
  </conditionalFormatting>
  <conditionalFormatting sqref="I11:J60 I73:J84">
    <cfRule type="expression" priority="21" dxfId="18">
      <formula>AND(I11&lt;&gt;"",I11&lt;G11)</formula>
    </cfRule>
    <cfRule type="expression" priority="22" dxfId="17">
      <formula>AND(I11&lt;&gt;"",I11&gt;G11)</formula>
    </cfRule>
  </conditionalFormatting>
  <pageMargins left="0.25" right="0.25" top="0.5" bottom="0.5" header="0.5" footer="0.25"/>
  <pageSetup orientation="landscape" scale="53" fitToHeight="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NO89"/>
  <sheetViews>
    <sheetView showGridLines="0" zoomScaleNormal="100" workbookViewId="0">
      <pane ySplit="10" topLeftCell="A11" activePane="bottomLeft" state="frozen"/>
      <selection pane="bottomLeft" activeCell="A5" sqref="A5"/>
    </sheetView>
  </sheetViews>
  <sheetFormatPr baseColWidth="8" defaultColWidth="9.140625" defaultRowHeight="12.75"/>
  <cols>
    <col width="6.140625" customWidth="1" style="99" min="1" max="1"/>
    <col width="22.85546875" customWidth="1" style="99" min="2" max="2"/>
    <col width="6.42578125" customWidth="1" style="99" min="3" max="3"/>
    <col hidden="1" width="5.28515625" customWidth="1" style="99" min="4" max="6"/>
    <col width="10.7109375" customWidth="1" style="99" min="7" max="8"/>
    <col width="5.42578125" customWidth="1" style="99" min="9" max="9"/>
    <col width="5.85546875" customWidth="1" style="99" min="10" max="10"/>
    <col width="4.85546875" customWidth="1" style="99" min="11" max="11"/>
    <col hidden="1" width="4.85546875" customWidth="1" style="99" min="12" max="13"/>
    <col width="3.5703125" customWidth="1" style="99" min="14" max="14"/>
    <col width="1.7109375" customWidth="1" style="99" min="15" max="15"/>
    <col width="0.42578125" customWidth="1" style="99" min="16" max="231"/>
    <col width="0.42578125" customWidth="1" style="99" min="232" max="253"/>
    <col width="0.42578125" customWidth="1" style="99" min="254" max="259"/>
    <col width="0.42578125" customWidth="1" style="99" min="260" max="295"/>
    <col width="0.42578125" customWidth="1" style="99" min="296" max="301"/>
    <col width="0.42578125" customWidth="1" style="99" min="302" max="337"/>
    <col width="0.42578125" customWidth="1" style="99" min="338" max="343"/>
    <col width="0.42578125" customWidth="1" style="99" min="344" max="379"/>
    <col width="9.140625" customWidth="1" style="99" min="380" max="16384"/>
  </cols>
  <sheetData>
    <row r="1" hidden="1" ht="18.75" customHeight="1" s="99">
      <c r="A1" s="40" t="inlineStr">
        <is>
          <t>Gantt Chart Template</t>
        </is>
      </c>
      <c r="B1" s="1" t="n"/>
      <c r="C1" s="112" t="n"/>
      <c r="D1" s="112" t="n"/>
      <c r="E1" s="112" t="n"/>
      <c r="F1" s="112" t="n"/>
      <c r="G1" s="31" t="n"/>
      <c r="H1" s="112" t="n"/>
      <c r="I1" s="31" t="inlineStr">
        <is>
          <t>© 2013 Vertex42.com</t>
        </is>
      </c>
      <c r="J1" s="114" t="b">
        <v>0</v>
      </c>
      <c r="K1" s="115" t="n">
        <v>1</v>
      </c>
      <c r="L1" s="115" t="n">
        <v>1</v>
      </c>
      <c r="M1" s="115" t="n">
        <v>2</v>
      </c>
      <c r="N1" s="120" t="inlineStr">
        <is>
          <t>[Hide this row]</t>
        </is>
      </c>
    </row>
    <row r="2" hidden="1" s="99">
      <c r="L2" s="25" t="n"/>
    </row>
    <row r="3" ht="18" customHeight="1" s="99">
      <c r="A3" s="23" t="inlineStr">
        <is>
          <t>[Project Name] Project Schedule</t>
        </is>
      </c>
    </row>
    <row r="4">
      <c r="A4" s="161" t="inlineStr">
        <is>
          <t>[Company Name]</t>
        </is>
      </c>
    </row>
    <row r="5">
      <c r="B5" s="247" t="inlineStr">
        <is>
          <t xml:space="preserve">Project Lead: </t>
        </is>
      </c>
      <c r="G5" s="240" t="inlineStr">
        <is>
          <t>[ Name of Lead ]</t>
        </is>
      </c>
      <c r="H5" s="260" t="n"/>
    </row>
    <row r="6" s="99">
      <c r="B6" s="247" t="inlineStr">
        <is>
          <t xml:space="preserve">Project Start Date: </t>
        </is>
      </c>
      <c r="G6" s="277" t="n">
        <v>41338</v>
      </c>
      <c r="H6" s="278" t="n"/>
      <c r="I6" s="69" t="n"/>
      <c r="K6" s="26" t="n"/>
    </row>
    <row r="7">
      <c r="B7" s="247" t="inlineStr">
        <is>
          <t xml:space="preserve">Today's Date: </t>
        </is>
      </c>
      <c r="G7" s="279" t="n">
        <v>41340</v>
      </c>
      <c r="H7" s="280" t="n"/>
      <c r="M7" s="118" t="inlineStr">
        <is>
          <t>[42]</t>
        </is>
      </c>
      <c r="P7" s="6">
        <f>IF($L$1=1,(G6-WEEKDAY(G6,1)+M1)+7*(K1-1),IF($L$1=2,(G6-WEEKDAY(G6,1)+M1)+7*(K1-1),IF($L$1=3,DATE(YEAR(G6),MONTH(G6)+K1-1,1),0)))</f>
        <v/>
      </c>
      <c r="Q7" s="6">
        <f>IF($L$1=1,P7,IF($L$1=2,P7+1,IF($L$1=3,P7+4,1)))</f>
        <v/>
      </c>
      <c r="R7" s="6">
        <f>IF($L$1=1,Q7,IF($L$1=2,Q7+1,IF($L$1=3,Q7+4,1)))</f>
        <v/>
      </c>
      <c r="S7" s="6">
        <f>IF($L$1=1,R7,IF($L$1=2,R7+1,IF($L$1=3,R7+4,1)))</f>
        <v/>
      </c>
      <c r="T7" s="6">
        <f>IF($L$1=1,S7,IF($L$1=2,S7+1,IF($L$1=3,S7+4,1)))</f>
        <v/>
      </c>
      <c r="U7" s="6">
        <f>IF($L$1=1,T7,IF($L$1=2,T7+1,IF($L$1=3,T7+4,1)))</f>
        <v/>
      </c>
      <c r="V7" s="6">
        <f>IF($L$1=1,U7,IF($L$1=2,U7+1,IF($L$1=3,U7+4,1)))</f>
        <v/>
      </c>
      <c r="W7" s="6">
        <f>IF($L$1=1,IF(AND(NOT($J$1),WEEKDAY(V7,$M$1+1)=4),V7+3,V7+1),IF($L$1=2,V7+1,IF($L$1=3,DATE(YEAR(P7),MONTH(P7)+1,1),1)))</f>
        <v/>
      </c>
      <c r="X7" s="6">
        <f>IF($L$1=1,W7,IF($L$1=2,W7+1,IF($L$1=3,W7+4,1)))</f>
        <v/>
      </c>
      <c r="Y7" s="6">
        <f>IF($L$1=1,X7,IF($L$1=2,X7+1,IF($L$1=3,X7+4,1)))</f>
        <v/>
      </c>
      <c r="Z7" s="6">
        <f>IF($L$1=1,Y7,IF($L$1=2,Y7+1,IF($L$1=3,Y7+4,1)))</f>
        <v/>
      </c>
      <c r="AA7" s="6">
        <f>IF($L$1=1,Z7,IF($L$1=2,Z7+1,IF($L$1=3,Z7+4,1)))</f>
        <v/>
      </c>
      <c r="AB7" s="6">
        <f>IF($L$1=1,AA7,IF($L$1=2,AA7+1,IF($L$1=3,AA7+4,1)))</f>
        <v/>
      </c>
      <c r="AC7" s="6">
        <f>IF($L$1=1,AB7,IF($L$1=2,AB7+1,IF($L$1=3,AB7+4,1)))</f>
        <v/>
      </c>
      <c r="AD7" s="6">
        <f>IF($L$1=1,IF(AND(NOT($J$1),WEEKDAY(AC7,$M$1+1)=4),AC7+3,AC7+1),IF($L$1=2,AC7+1,IF($L$1=3,DATE(YEAR(W7),MONTH(W7)+1,1),1)))</f>
        <v/>
      </c>
      <c r="AE7" s="6">
        <f>IF($L$1=1,AD7,IF($L$1=2,AD7+1,IF($L$1=3,AD7+4,1)))</f>
        <v/>
      </c>
      <c r="AF7" s="6">
        <f>IF($L$1=1,AE7,IF($L$1=2,AE7+1,IF($L$1=3,AE7+4,1)))</f>
        <v/>
      </c>
      <c r="AG7" s="6">
        <f>IF($L$1=1,AF7,IF($L$1=2,AF7+1,IF($L$1=3,AF7+4,1)))</f>
        <v/>
      </c>
      <c r="AH7" s="6">
        <f>IF($L$1=1,AG7,IF($L$1=2,AG7+1,IF($L$1=3,AG7+4,1)))</f>
        <v/>
      </c>
      <c r="AI7" s="6">
        <f>IF($L$1=1,AH7,IF($L$1=2,AH7+1,IF($L$1=3,AH7+4,1)))</f>
        <v/>
      </c>
      <c r="AJ7" s="6">
        <f>IF($L$1=1,AI7,IF($L$1=2,AI7+1,IF($L$1=3,AI7+4,1)))</f>
        <v/>
      </c>
      <c r="AK7" s="6">
        <f>IF($L$1=1,IF(AND(NOT($J$1),WEEKDAY(AJ7,$M$1+1)=4),AJ7+3,AJ7+1),IF($L$1=2,AJ7+1,IF($L$1=3,DATE(YEAR(AD7),MONTH(AD7)+1,1),1)))</f>
        <v/>
      </c>
      <c r="AL7" s="6">
        <f>IF($L$1=1,AK7,IF($L$1=2,AK7+1,IF($L$1=3,AK7+4,1)))</f>
        <v/>
      </c>
      <c r="AM7" s="6">
        <f>IF($L$1=1,AL7,IF($L$1=2,AL7+1,IF($L$1=3,AL7+4,1)))</f>
        <v/>
      </c>
      <c r="AN7" s="6">
        <f>IF($L$1=1,AM7,IF($L$1=2,AM7+1,IF($L$1=3,AM7+4,1)))</f>
        <v/>
      </c>
      <c r="AO7" s="6">
        <f>IF($L$1=1,AN7,IF($L$1=2,AN7+1,IF($L$1=3,AN7+4,1)))</f>
        <v/>
      </c>
      <c r="AP7" s="6">
        <f>IF($L$1=1,AO7,IF($L$1=2,AO7+1,IF($L$1=3,AO7+4,1)))</f>
        <v/>
      </c>
      <c r="AQ7" s="6">
        <f>IF($L$1=1,AP7,IF($L$1=2,AP7+1,IF($L$1=3,AP7+4,1)))</f>
        <v/>
      </c>
      <c r="AR7" s="6">
        <f>IF($L$1=1,IF(AND(NOT($J$1),WEEKDAY(AQ7,$M$1+1)=4),AQ7+3,AQ7+1),IF($L$1=2,AQ7+1,IF($L$1=3,DATE(YEAR(AK7),MONTH(AK7)+1,1),1)))</f>
        <v/>
      </c>
      <c r="AS7" s="6">
        <f>IF($L$1=1,AR7,IF($L$1=2,AR7+1,IF($L$1=3,AR7+4,1)))</f>
        <v/>
      </c>
      <c r="AT7" s="6">
        <f>IF($L$1=1,AS7,IF($L$1=2,AS7+1,IF($L$1=3,AS7+4,1)))</f>
        <v/>
      </c>
      <c r="AU7" s="6">
        <f>IF($L$1=1,AT7,IF($L$1=2,AT7+1,IF($L$1=3,AT7+4,1)))</f>
        <v/>
      </c>
      <c r="AV7" s="6">
        <f>IF($L$1=1,AU7,IF($L$1=2,AU7+1,IF($L$1=3,AU7+4,1)))</f>
        <v/>
      </c>
      <c r="AW7" s="6">
        <f>IF($L$1=1,AV7,IF($L$1=2,AV7+1,IF($L$1=3,AV7+4,1)))</f>
        <v/>
      </c>
      <c r="AX7" s="6">
        <f>IF($L$1=1,AW7,IF($L$1=2,AW7+1,IF($L$1=3,AW7+4,1)))</f>
        <v/>
      </c>
      <c r="AY7" s="6">
        <f>IF($L$1=1,IF(AND(NOT($J$1),WEEKDAY(AX7,$M$1+1)=4),AX7+3,AX7+1),IF($L$1=2,AX7+1,IF($L$1=3,DATE(YEAR(AR7),MONTH(AR7)+1,1),1)))</f>
        <v/>
      </c>
      <c r="AZ7" s="6">
        <f>IF($L$1=1,AY7,IF($L$1=2,AY7+1,IF($L$1=3,AY7+4,1)))</f>
        <v/>
      </c>
      <c r="BA7" s="6">
        <f>IF($L$1=1,AZ7,IF($L$1=2,AZ7+1,IF($L$1=3,AZ7+4,1)))</f>
        <v/>
      </c>
      <c r="BB7" s="6">
        <f>IF($L$1=1,BA7,IF($L$1=2,BA7+1,IF($L$1=3,BA7+4,1)))</f>
        <v/>
      </c>
      <c r="BC7" s="6">
        <f>IF($L$1=1,BB7,IF($L$1=2,BB7+1,IF($L$1=3,BB7+4,1)))</f>
        <v/>
      </c>
      <c r="BD7" s="6">
        <f>IF($L$1=1,BC7,IF($L$1=2,BC7+1,IF($L$1=3,BC7+4,1)))</f>
        <v/>
      </c>
      <c r="BE7" s="6">
        <f>IF($L$1=1,BD7,IF($L$1=2,BD7+1,IF($L$1=3,BD7+4,1)))</f>
        <v/>
      </c>
      <c r="BF7" s="6">
        <f>IF($L$1=1,IF(AND(NOT($J$1),WEEKDAY(BE7,$M$1+1)=4),BE7+3,BE7+1),IF($L$1=2,BE7+1,IF($L$1=3,DATE(YEAR(AY7),MONTH(AY7)+1,1),1)))</f>
        <v/>
      </c>
      <c r="BG7" s="6">
        <f>IF($L$1=1,BF7,IF($L$1=2,BF7+1,IF($L$1=3,BF7+4,1)))</f>
        <v/>
      </c>
      <c r="BH7" s="6">
        <f>IF($L$1=1,BG7,IF($L$1=2,BG7+1,IF($L$1=3,BG7+4,1)))</f>
        <v/>
      </c>
      <c r="BI7" s="6">
        <f>IF($L$1=1,BH7,IF($L$1=2,BH7+1,IF($L$1=3,BH7+4,1)))</f>
        <v/>
      </c>
      <c r="BJ7" s="6">
        <f>IF($L$1=1,BI7,IF($L$1=2,BI7+1,IF($L$1=3,BI7+4,1)))</f>
        <v/>
      </c>
      <c r="BK7" s="6">
        <f>IF($L$1=1,BJ7,IF($L$1=2,BJ7+1,IF($L$1=3,BJ7+4,1)))</f>
        <v/>
      </c>
      <c r="BL7" s="6">
        <f>IF($L$1=1,BK7,IF($L$1=2,BK7+1,IF($L$1=3,BK7+4,1)))</f>
        <v/>
      </c>
      <c r="BM7" s="6">
        <f>IF($L$1=1,IF(AND(NOT($J$1),WEEKDAY(BL7,$M$1+1)=4),BL7+3,BL7+1),IF($L$1=2,BL7+1,IF($L$1=3,DATE(YEAR(BF7),MONTH(BF7)+1,1),1)))</f>
        <v/>
      </c>
      <c r="BN7" s="6">
        <f>IF($L$1=1,BM7,IF($L$1=2,BM7+1,IF($L$1=3,BM7+4,1)))</f>
        <v/>
      </c>
      <c r="BO7" s="6">
        <f>IF($L$1=1,BN7,IF($L$1=2,BN7+1,IF($L$1=3,BN7+4,1)))</f>
        <v/>
      </c>
      <c r="BP7" s="6">
        <f>IF($L$1=1,BO7,IF($L$1=2,BO7+1,IF($L$1=3,BO7+4,1)))</f>
        <v/>
      </c>
      <c r="BQ7" s="6">
        <f>IF($L$1=1,BP7,IF($L$1=2,BP7+1,IF($L$1=3,BP7+4,1)))</f>
        <v/>
      </c>
      <c r="BR7" s="6">
        <f>IF($L$1=1,BQ7,IF($L$1=2,BQ7+1,IF($L$1=3,BQ7+4,1)))</f>
        <v/>
      </c>
      <c r="BS7" s="6">
        <f>IF($L$1=1,BR7,IF($L$1=2,BR7+1,IF($L$1=3,BR7+4,1)))</f>
        <v/>
      </c>
      <c r="BT7" s="6">
        <f>IF($L$1=1,IF(AND(NOT($J$1),WEEKDAY(BS7,$M$1+1)=4),BS7+3,BS7+1),IF($L$1=2,BS7+1,IF($L$1=3,DATE(YEAR(BM7),MONTH(BM7)+1,1),1)))</f>
        <v/>
      </c>
      <c r="BU7" s="6">
        <f>IF($L$1=1,BT7,IF($L$1=2,BT7+1,IF($L$1=3,BT7+4,1)))</f>
        <v/>
      </c>
      <c r="BV7" s="6">
        <f>IF($L$1=1,BU7,IF($L$1=2,BU7+1,IF($L$1=3,BU7+4,1)))</f>
        <v/>
      </c>
      <c r="BW7" s="6">
        <f>IF($L$1=1,BV7,IF($L$1=2,BV7+1,IF($L$1=3,BV7+4,1)))</f>
        <v/>
      </c>
      <c r="BX7" s="6">
        <f>IF($L$1=1,BW7,IF($L$1=2,BW7+1,IF($L$1=3,BW7+4,1)))</f>
        <v/>
      </c>
      <c r="BY7" s="6">
        <f>IF($L$1=1,BX7,IF($L$1=2,BX7+1,IF($L$1=3,BX7+4,1)))</f>
        <v/>
      </c>
      <c r="BZ7" s="6">
        <f>IF($L$1=1,BY7,IF($L$1=2,BY7+1,IF($L$1=3,BY7+4,1)))</f>
        <v/>
      </c>
      <c r="CA7" s="6">
        <f>IF($L$1=1,IF(AND(NOT($J$1),WEEKDAY(BZ7,$M$1+1)=4),BZ7+3,BZ7+1),IF($L$1=2,BZ7+1,IF($L$1=3,DATE(YEAR(BT7),MONTH(BT7)+1,1),1)))</f>
        <v/>
      </c>
      <c r="CB7" s="6">
        <f>IF($L$1=1,CA7,IF($L$1=2,CA7+1,IF($L$1=3,CA7+4,1)))</f>
        <v/>
      </c>
      <c r="CC7" s="6">
        <f>IF($L$1=1,CB7,IF($L$1=2,CB7+1,IF($L$1=3,CB7+4,1)))</f>
        <v/>
      </c>
      <c r="CD7" s="6">
        <f>IF($L$1=1,CC7,IF($L$1=2,CC7+1,IF($L$1=3,CC7+4,1)))</f>
        <v/>
      </c>
      <c r="CE7" s="6">
        <f>IF($L$1=1,CD7,IF($L$1=2,CD7+1,IF($L$1=3,CD7+4,1)))</f>
        <v/>
      </c>
      <c r="CF7" s="6">
        <f>IF($L$1=1,CE7,IF($L$1=2,CE7+1,IF($L$1=3,CE7+4,1)))</f>
        <v/>
      </c>
      <c r="CG7" s="6">
        <f>IF($L$1=1,CF7,IF($L$1=2,CF7+1,IF($L$1=3,CF7+4,1)))</f>
        <v/>
      </c>
      <c r="CH7" s="6">
        <f>IF($L$1=1,IF(AND(NOT($J$1),WEEKDAY(CG7,$M$1+1)=4),CG7+3,CG7+1),IF($L$1=2,CG7+1,IF($L$1=3,DATE(YEAR(CA7),MONTH(CA7)+1,1),1)))</f>
        <v/>
      </c>
      <c r="CI7" s="6">
        <f>IF($L$1=1,CH7,IF($L$1=2,CH7+1,IF($L$1=3,CH7+4,1)))</f>
        <v/>
      </c>
      <c r="CJ7" s="6">
        <f>IF($L$1=1,CI7,IF($L$1=2,CI7+1,IF($L$1=3,CI7+4,1)))</f>
        <v/>
      </c>
      <c r="CK7" s="6">
        <f>IF($L$1=1,CJ7,IF($L$1=2,CJ7+1,IF($L$1=3,CJ7+4,1)))</f>
        <v/>
      </c>
      <c r="CL7" s="6">
        <f>IF($L$1=1,CK7,IF($L$1=2,CK7+1,IF($L$1=3,CK7+4,1)))</f>
        <v/>
      </c>
      <c r="CM7" s="6">
        <f>IF($L$1=1,CL7,IF($L$1=2,CL7+1,IF($L$1=3,CL7+4,1)))</f>
        <v/>
      </c>
      <c r="CN7" s="6">
        <f>IF($L$1=1,CM7,IF($L$1=2,CM7+1,IF($L$1=3,CM7+4,1)))</f>
        <v/>
      </c>
      <c r="CO7" s="6">
        <f>IF($L$1=1,IF(AND(NOT($J$1),WEEKDAY(CN7,$M$1+1)=4),CN7+3,CN7+1),IF($L$1=2,CN7+1,IF($L$1=3,DATE(YEAR(CH7),MONTH(CH7)+1,1),1)))</f>
        <v/>
      </c>
      <c r="CP7" s="6">
        <f>IF($L$1=1,CO7,IF($L$1=2,CO7+1,IF($L$1=3,CO7+4,1)))</f>
        <v/>
      </c>
      <c r="CQ7" s="6">
        <f>IF($L$1=1,CP7,IF($L$1=2,CP7+1,IF($L$1=3,CP7+4,1)))</f>
        <v/>
      </c>
      <c r="CR7" s="6">
        <f>IF($L$1=1,CQ7,IF($L$1=2,CQ7+1,IF($L$1=3,CQ7+4,1)))</f>
        <v/>
      </c>
      <c r="CS7" s="6">
        <f>IF($L$1=1,CR7,IF($L$1=2,CR7+1,IF($L$1=3,CR7+4,1)))</f>
        <v/>
      </c>
      <c r="CT7" s="6">
        <f>IF($L$1=1,CS7,IF($L$1=2,CS7+1,IF($L$1=3,CS7+4,1)))</f>
        <v/>
      </c>
      <c r="CU7" s="6">
        <f>IF($L$1=1,CT7,IF($L$1=2,CT7+1,IF($L$1=3,CT7+4,1)))</f>
        <v/>
      </c>
      <c r="CV7" s="6">
        <f>IF($L$1=1,IF(AND(NOT($J$1),WEEKDAY(CU7,$M$1+1)=4),CU7+3,CU7+1),IF($L$1=2,CU7+1,IF($L$1=3,DATE(YEAR(CO7),MONTH(CO7)+1,1),1)))</f>
        <v/>
      </c>
      <c r="CW7" s="6">
        <f>IF($L$1=1,CV7,IF($L$1=2,CV7+1,IF($L$1=3,CV7+4,1)))</f>
        <v/>
      </c>
      <c r="CX7" s="6">
        <f>IF($L$1=1,CW7,IF($L$1=2,CW7+1,IF($L$1=3,CW7+4,1)))</f>
        <v/>
      </c>
      <c r="CY7" s="6">
        <f>IF($L$1=1,CX7,IF($L$1=2,CX7+1,IF($L$1=3,CX7+4,1)))</f>
        <v/>
      </c>
      <c r="CZ7" s="6">
        <f>IF($L$1=1,CY7,IF($L$1=2,CY7+1,IF($L$1=3,CY7+4,1)))</f>
        <v/>
      </c>
      <c r="DA7" s="6">
        <f>IF($L$1=1,CZ7,IF($L$1=2,CZ7+1,IF($L$1=3,CZ7+4,1)))</f>
        <v/>
      </c>
      <c r="DB7" s="6">
        <f>IF($L$1=1,DA7,IF($L$1=2,DA7+1,IF($L$1=3,DA7+4,1)))</f>
        <v/>
      </c>
      <c r="DC7" s="6">
        <f>IF($L$1=1,IF(AND(NOT($J$1),WEEKDAY(DB7,$M$1+1)=4),DB7+3,DB7+1),IF($L$1=2,DB7+1,IF($L$1=3,DATE(YEAR(CV7),MONTH(CV7)+1,1),1)))</f>
        <v/>
      </c>
      <c r="DD7" s="6">
        <f>IF($L$1=1,DC7,IF($L$1=2,DC7+1,IF($L$1=3,DC7+4,1)))</f>
        <v/>
      </c>
      <c r="DE7" s="6">
        <f>IF($L$1=1,DD7,IF($L$1=2,DD7+1,IF($L$1=3,DD7+4,1)))</f>
        <v/>
      </c>
      <c r="DF7" s="6">
        <f>IF($L$1=1,DE7,IF($L$1=2,DE7+1,IF($L$1=3,DE7+4,1)))</f>
        <v/>
      </c>
      <c r="DG7" s="6">
        <f>IF($L$1=1,DF7,IF($L$1=2,DF7+1,IF($L$1=3,DF7+4,1)))</f>
        <v/>
      </c>
      <c r="DH7" s="6">
        <f>IF($L$1=1,DG7,IF($L$1=2,DG7+1,IF($L$1=3,DG7+4,1)))</f>
        <v/>
      </c>
      <c r="DI7" s="6">
        <f>IF($L$1=1,DH7,IF($L$1=2,DH7+1,IF($L$1=3,DH7+4,1)))</f>
        <v/>
      </c>
      <c r="DJ7" s="6">
        <f>IF($L$1=1,IF(AND(NOT($J$1),WEEKDAY(DI7,$M$1+1)=4),DI7+3,DI7+1),IF($L$1=2,DI7+1,IF($L$1=3,DATE(YEAR(DC7),MONTH(DC7)+1,1),1)))</f>
        <v/>
      </c>
      <c r="DK7" s="6">
        <f>IF($L$1=1,DJ7,IF($L$1=2,DJ7+1,IF($L$1=3,DJ7+4,1)))</f>
        <v/>
      </c>
      <c r="DL7" s="6">
        <f>IF($L$1=1,DK7,IF($L$1=2,DK7+1,IF($L$1=3,DK7+4,1)))</f>
        <v/>
      </c>
      <c r="DM7" s="6">
        <f>IF($L$1=1,DL7,IF($L$1=2,DL7+1,IF($L$1=3,DL7+4,1)))</f>
        <v/>
      </c>
      <c r="DN7" s="6">
        <f>IF($L$1=1,DM7,IF($L$1=2,DM7+1,IF($L$1=3,DM7+4,1)))</f>
        <v/>
      </c>
      <c r="DO7" s="6">
        <f>IF($L$1=1,DN7,IF($L$1=2,DN7+1,IF($L$1=3,DN7+4,1)))</f>
        <v/>
      </c>
      <c r="DP7" s="6">
        <f>IF($L$1=1,DO7,IF($L$1=2,DO7+1,IF($L$1=3,DO7+4,1)))</f>
        <v/>
      </c>
      <c r="DQ7" s="6">
        <f>IF($L$1=1,IF(AND(NOT($J$1),WEEKDAY(DP7,$M$1+1)=4),DP7+3,DP7+1),IF($L$1=2,DP7+1,IF($L$1=3,DATE(YEAR(DJ7),MONTH(DJ7)+1,1),1)))</f>
        <v/>
      </c>
      <c r="DR7" s="6">
        <f>IF($L$1=1,DQ7,IF($L$1=2,DQ7+1,IF($L$1=3,DQ7+4,1)))</f>
        <v/>
      </c>
      <c r="DS7" s="6">
        <f>IF($L$1=1,DR7,IF($L$1=2,DR7+1,IF($L$1=3,DR7+4,1)))</f>
        <v/>
      </c>
      <c r="DT7" s="6">
        <f>IF($L$1=1,DS7,IF($L$1=2,DS7+1,IF($L$1=3,DS7+4,1)))</f>
        <v/>
      </c>
      <c r="DU7" s="6">
        <f>IF($L$1=1,DT7,IF($L$1=2,DT7+1,IF($L$1=3,DT7+4,1)))</f>
        <v/>
      </c>
      <c r="DV7" s="6">
        <f>IF($L$1=1,DU7,IF($L$1=2,DU7+1,IF($L$1=3,DU7+4,1)))</f>
        <v/>
      </c>
      <c r="DW7" s="6">
        <f>IF($L$1=1,DV7,IF($L$1=2,DV7+1,IF($L$1=3,DV7+4,1)))</f>
        <v/>
      </c>
      <c r="DX7" s="6">
        <f>IF($L$1=1,IF(AND(NOT($J$1),WEEKDAY(DW7,$M$1+1)=4),DW7+3,DW7+1),IF($L$1=2,DW7+1,IF($L$1=3,DATE(YEAR(DQ7),MONTH(DQ7)+1,1),1)))</f>
        <v/>
      </c>
      <c r="DY7" s="6">
        <f>IF($L$1=1,DX7,IF($L$1=2,DX7+1,IF($L$1=3,DX7+4,1)))</f>
        <v/>
      </c>
      <c r="DZ7" s="6">
        <f>IF($L$1=1,DY7,IF($L$1=2,DY7+1,IF($L$1=3,DY7+4,1)))</f>
        <v/>
      </c>
      <c r="EA7" s="6">
        <f>IF($L$1=1,DZ7,IF($L$1=2,DZ7+1,IF($L$1=3,DZ7+4,1)))</f>
        <v/>
      </c>
      <c r="EB7" s="6">
        <f>IF($L$1=1,EA7,IF($L$1=2,EA7+1,IF($L$1=3,EA7+4,1)))</f>
        <v/>
      </c>
      <c r="EC7" s="6">
        <f>IF($L$1=1,EB7,IF($L$1=2,EB7+1,IF($L$1=3,EB7+4,1)))</f>
        <v/>
      </c>
      <c r="ED7" s="6">
        <f>IF($L$1=1,EC7,IF($L$1=2,EC7+1,IF($L$1=3,EC7+4,1)))</f>
        <v/>
      </c>
      <c r="EE7" s="6">
        <f>IF($L$1=1,IF(AND(NOT($J$1),WEEKDAY(ED7,$M$1+1)=4),ED7+3,ED7+1),IF($L$1=2,ED7+1,IF($L$1=3,DATE(YEAR(DX7),MONTH(DX7)+1,1),1)))</f>
        <v/>
      </c>
      <c r="EF7" s="6">
        <f>IF($L$1=1,EE7,IF($L$1=2,EE7+1,IF($L$1=3,EE7+4,1)))</f>
        <v/>
      </c>
      <c r="EG7" s="6">
        <f>IF($L$1=1,EF7,IF($L$1=2,EF7+1,IF($L$1=3,EF7+4,1)))</f>
        <v/>
      </c>
      <c r="EH7" s="6">
        <f>IF($L$1=1,EG7,IF($L$1=2,EG7+1,IF($L$1=3,EG7+4,1)))</f>
        <v/>
      </c>
      <c r="EI7" s="6">
        <f>IF($L$1=1,EH7,IF($L$1=2,EH7+1,IF($L$1=3,EH7+4,1)))</f>
        <v/>
      </c>
      <c r="EJ7" s="6">
        <f>IF($L$1=1,EI7,IF($L$1=2,EI7+1,IF($L$1=3,EI7+4,1)))</f>
        <v/>
      </c>
      <c r="EK7" s="6">
        <f>IF($L$1=1,EJ7,IF($L$1=2,EJ7+1,IF($L$1=3,EJ7+4,1)))</f>
        <v/>
      </c>
      <c r="EL7" s="6">
        <f>IF($L$1=1,IF(AND(NOT($J$1),WEEKDAY(EK7,$M$1+1)=4),EK7+3,EK7+1),IF($L$1=2,EK7+1,IF($L$1=3,DATE(YEAR(EE7),MONTH(EE7)+1,1),1)))</f>
        <v/>
      </c>
      <c r="EM7" s="6">
        <f>IF($L$1=1,EL7,IF($L$1=2,EL7+1,IF($L$1=3,EL7+4,1)))</f>
        <v/>
      </c>
      <c r="EN7" s="6">
        <f>IF($L$1=1,EM7,IF($L$1=2,EM7+1,IF($L$1=3,EM7+4,1)))</f>
        <v/>
      </c>
      <c r="EO7" s="6">
        <f>IF($L$1=1,EN7,IF($L$1=2,EN7+1,IF($L$1=3,EN7+4,1)))</f>
        <v/>
      </c>
      <c r="EP7" s="6">
        <f>IF($L$1=1,EO7,IF($L$1=2,EO7+1,IF($L$1=3,EO7+4,1)))</f>
        <v/>
      </c>
      <c r="EQ7" s="6">
        <f>IF($L$1=1,EP7,IF($L$1=2,EP7+1,IF($L$1=3,EP7+4,1)))</f>
        <v/>
      </c>
      <c r="ER7" s="6">
        <f>IF($L$1=1,EQ7,IF($L$1=2,EQ7+1,IF($L$1=3,EQ7+4,1)))</f>
        <v/>
      </c>
      <c r="ES7" s="6">
        <f>IF($L$1=1,IF(AND(NOT($J$1),WEEKDAY(ER7,$M$1+1)=4),ER7+3,ER7+1),IF($L$1=2,ER7+1,IF($L$1=3,DATE(YEAR(EL7),MONTH(EL7)+1,1),1)))</f>
        <v/>
      </c>
      <c r="ET7" s="6">
        <f>IF($L$1=1,ES7,IF($L$1=2,ES7+1,IF($L$1=3,ES7+4,1)))</f>
        <v/>
      </c>
      <c r="EU7" s="6">
        <f>IF($L$1=1,ET7,IF($L$1=2,ET7+1,IF($L$1=3,ET7+4,1)))</f>
        <v/>
      </c>
      <c r="EV7" s="6">
        <f>IF($L$1=1,EU7,IF($L$1=2,EU7+1,IF($L$1=3,EU7+4,1)))</f>
        <v/>
      </c>
      <c r="EW7" s="6">
        <f>IF($L$1=1,EV7,IF($L$1=2,EV7+1,IF($L$1=3,EV7+4,1)))</f>
        <v/>
      </c>
      <c r="EX7" s="6">
        <f>IF($L$1=1,EW7,IF($L$1=2,EW7+1,IF($L$1=3,EW7+4,1)))</f>
        <v/>
      </c>
      <c r="EY7" s="6">
        <f>IF($L$1=1,EX7,IF($L$1=2,EX7+1,IF($L$1=3,EX7+4,1)))</f>
        <v/>
      </c>
      <c r="EZ7" s="6">
        <f>IF($L$1=1,IF(AND(NOT($J$1),WEEKDAY(EY7,$M$1+1)=4),EY7+3,EY7+1),IF($L$1=2,EY7+1,IF($L$1=3,DATE(YEAR(ES7),MONTH(ES7)+1,1),1)))</f>
        <v/>
      </c>
      <c r="FA7" s="6">
        <f>IF($L$1=1,EZ7,IF($L$1=2,EZ7+1,IF($L$1=3,EZ7+4,1)))</f>
        <v/>
      </c>
      <c r="FB7" s="6">
        <f>IF($L$1=1,FA7,IF($L$1=2,FA7+1,IF($L$1=3,FA7+4,1)))</f>
        <v/>
      </c>
      <c r="FC7" s="6">
        <f>IF($L$1=1,FB7,IF($L$1=2,FB7+1,IF($L$1=3,FB7+4,1)))</f>
        <v/>
      </c>
      <c r="FD7" s="6">
        <f>IF($L$1=1,FC7,IF($L$1=2,FC7+1,IF($L$1=3,FC7+4,1)))</f>
        <v/>
      </c>
      <c r="FE7" s="6">
        <f>IF($L$1=1,FD7,IF($L$1=2,FD7+1,IF($L$1=3,FD7+4,1)))</f>
        <v/>
      </c>
      <c r="FF7" s="6">
        <f>IF($L$1=1,FE7,IF($L$1=2,FE7+1,IF($L$1=3,FE7+4,1)))</f>
        <v/>
      </c>
      <c r="FG7" s="6">
        <f>IF($L$1=1,IF(AND(NOT($J$1),WEEKDAY(FF7,$M$1+1)=4),FF7+3,FF7+1),IF($L$1=2,FF7+1,IF($L$1=3,DATE(YEAR(EZ7),MONTH(EZ7)+1,1),1)))</f>
        <v/>
      </c>
      <c r="FH7" s="6">
        <f>IF($L$1=1,FG7,IF($L$1=2,FG7+1,IF($L$1=3,FG7+4,1)))</f>
        <v/>
      </c>
      <c r="FI7" s="6">
        <f>IF($L$1=1,FH7,IF($L$1=2,FH7+1,IF($L$1=3,FH7+4,1)))</f>
        <v/>
      </c>
      <c r="FJ7" s="6">
        <f>IF($L$1=1,FI7,IF($L$1=2,FI7+1,IF($L$1=3,FI7+4,1)))</f>
        <v/>
      </c>
      <c r="FK7" s="6">
        <f>IF($L$1=1,FJ7,IF($L$1=2,FJ7+1,IF($L$1=3,FJ7+4,1)))</f>
        <v/>
      </c>
      <c r="FL7" s="6">
        <f>IF($L$1=1,FK7,IF($L$1=2,FK7+1,IF($L$1=3,FK7+4,1)))</f>
        <v/>
      </c>
      <c r="FM7" s="6">
        <f>IF($L$1=1,FL7,IF($L$1=2,FL7+1,IF($L$1=3,FL7+4,1)))</f>
        <v/>
      </c>
      <c r="FN7" s="6">
        <f>IF($L$1=1,IF(AND(NOT($J$1),WEEKDAY(FM7,$M$1+1)=4),FM7+3,FM7+1),IF($L$1=2,FM7+1,IF($L$1=3,DATE(YEAR(FG7),MONTH(FG7)+1,1),1)))</f>
        <v/>
      </c>
      <c r="FO7" s="6">
        <f>IF($L$1=1,FN7,IF($L$1=2,FN7+1,IF($L$1=3,FN7+4,1)))</f>
        <v/>
      </c>
      <c r="FP7" s="6">
        <f>IF($L$1=1,FO7,IF($L$1=2,FO7+1,IF($L$1=3,FO7+4,1)))</f>
        <v/>
      </c>
      <c r="FQ7" s="6">
        <f>IF($L$1=1,FP7,IF($L$1=2,FP7+1,IF($L$1=3,FP7+4,1)))</f>
        <v/>
      </c>
      <c r="FR7" s="6">
        <f>IF($L$1=1,FQ7,IF($L$1=2,FQ7+1,IF($L$1=3,FQ7+4,1)))</f>
        <v/>
      </c>
      <c r="FS7" s="6">
        <f>IF($L$1=1,FR7,IF($L$1=2,FR7+1,IF($L$1=3,FR7+4,1)))</f>
        <v/>
      </c>
      <c r="FT7" s="6">
        <f>IF($L$1=1,FS7,IF($L$1=2,FS7+1,IF($L$1=3,FS7+4,1)))</f>
        <v/>
      </c>
      <c r="FU7" s="6">
        <f>IF($L$1=1,IF(AND(NOT($J$1),WEEKDAY(FT7,$M$1+1)=4),FT7+3,FT7+1),IF($L$1=2,FT7+1,IF($L$1=3,DATE(YEAR(FN7),MONTH(FN7)+1,1),1)))</f>
        <v/>
      </c>
      <c r="FV7" s="6">
        <f>IF($L$1=1,FU7,IF($L$1=2,FU7+1,IF($L$1=3,FU7+4,1)))</f>
        <v/>
      </c>
      <c r="FW7" s="6">
        <f>IF($L$1=1,FV7,IF($L$1=2,FV7+1,IF($L$1=3,FV7+4,1)))</f>
        <v/>
      </c>
      <c r="FX7" s="6">
        <f>IF($L$1=1,FW7,IF($L$1=2,FW7+1,IF($L$1=3,FW7+4,1)))</f>
        <v/>
      </c>
      <c r="FY7" s="6">
        <f>IF($L$1=1,FX7,IF($L$1=2,FX7+1,IF($L$1=3,FX7+4,1)))</f>
        <v/>
      </c>
      <c r="FZ7" s="6">
        <f>IF($L$1=1,FY7,IF($L$1=2,FY7+1,IF($L$1=3,FY7+4,1)))</f>
        <v/>
      </c>
      <c r="GA7" s="6">
        <f>IF($L$1=1,FZ7,IF($L$1=2,FZ7+1,IF($L$1=3,FZ7+4,1)))</f>
        <v/>
      </c>
      <c r="GB7" s="6">
        <f>IF($L$1=1,IF(AND(NOT($J$1),WEEKDAY(GA7,$M$1+1)=4),GA7+3,GA7+1),IF($L$1=2,GA7+1,IF($L$1=3,DATE(YEAR(FU7),MONTH(FU7)+1,1),1)))</f>
        <v/>
      </c>
      <c r="GC7" s="6">
        <f>IF($L$1=1,GB7,IF($L$1=2,GB7+1,IF($L$1=3,GB7+4,1)))</f>
        <v/>
      </c>
      <c r="GD7" s="6">
        <f>IF($L$1=1,GC7,IF($L$1=2,GC7+1,IF($L$1=3,GC7+4,1)))</f>
        <v/>
      </c>
      <c r="GE7" s="6">
        <f>IF($L$1=1,GD7,IF($L$1=2,GD7+1,IF($L$1=3,GD7+4,1)))</f>
        <v/>
      </c>
      <c r="GF7" s="6">
        <f>IF($L$1=1,GE7,IF($L$1=2,GE7+1,IF($L$1=3,GE7+4,1)))</f>
        <v/>
      </c>
      <c r="GG7" s="6">
        <f>IF($L$1=1,GF7,IF($L$1=2,GF7+1,IF($L$1=3,GF7+4,1)))</f>
        <v/>
      </c>
      <c r="GH7" s="6">
        <f>IF($L$1=1,GG7,IF($L$1=2,GG7+1,IF($L$1=3,GG7+4,1)))</f>
        <v/>
      </c>
      <c r="GI7" s="6">
        <f>IF($L$1=1,IF(AND(NOT($J$1),WEEKDAY(GH7,$M$1+1)=4),GH7+3,GH7+1),IF($L$1=2,GH7+1,IF($L$1=3,DATE(YEAR(GB7),MONTH(GB7)+1,1),1)))</f>
        <v/>
      </c>
      <c r="GJ7" s="6">
        <f>IF($L$1=1,GI7,IF($L$1=2,GI7+1,IF($L$1=3,GI7+4,1)))</f>
        <v/>
      </c>
      <c r="GK7" s="6">
        <f>IF($L$1=1,GJ7,IF($L$1=2,GJ7+1,IF($L$1=3,GJ7+4,1)))</f>
        <v/>
      </c>
      <c r="GL7" s="6">
        <f>IF($L$1=1,GK7,IF($L$1=2,GK7+1,IF($L$1=3,GK7+4,1)))</f>
        <v/>
      </c>
      <c r="GM7" s="6">
        <f>IF($L$1=1,GL7,IF($L$1=2,GL7+1,IF($L$1=3,GL7+4,1)))</f>
        <v/>
      </c>
      <c r="GN7" s="6">
        <f>IF($L$1=1,GM7,IF($L$1=2,GM7+1,IF($L$1=3,GM7+4,1)))</f>
        <v/>
      </c>
      <c r="GO7" s="6">
        <f>IF($L$1=1,GN7,IF($L$1=2,GN7+1,IF($L$1=3,GN7+4,1)))</f>
        <v/>
      </c>
      <c r="GP7" s="6">
        <f>IF($L$1=1,IF(AND(NOT($J$1),WEEKDAY(GO7,$M$1+1)=4),GO7+3,GO7+1),IF($L$1=2,GO7+1,IF($L$1=3,DATE(YEAR(GI7),MONTH(GI7)+1,1),1)))</f>
        <v/>
      </c>
      <c r="GQ7" s="6">
        <f>IF($L$1=1,GP7,IF($L$1=2,GP7+1,IF($L$1=3,GP7+4,1)))</f>
        <v/>
      </c>
      <c r="GR7" s="6">
        <f>IF($L$1=1,GQ7,IF($L$1=2,GQ7+1,IF($L$1=3,GQ7+4,1)))</f>
        <v/>
      </c>
      <c r="GS7" s="6">
        <f>IF($L$1=1,GR7,IF($L$1=2,GR7+1,IF($L$1=3,GR7+4,1)))</f>
        <v/>
      </c>
      <c r="GT7" s="6">
        <f>IF($L$1=1,GS7,IF($L$1=2,GS7+1,IF($L$1=3,GS7+4,1)))</f>
        <v/>
      </c>
      <c r="GU7" s="6">
        <f>IF($L$1=1,GT7,IF($L$1=2,GT7+1,IF($L$1=3,GT7+4,1)))</f>
        <v/>
      </c>
      <c r="GV7" s="6">
        <f>IF($L$1=1,GU7,IF($L$1=2,GU7+1,IF($L$1=3,GU7+4,1)))</f>
        <v/>
      </c>
      <c r="GW7" s="6">
        <f>IF($L$1=1,IF(AND(NOT($J$1),WEEKDAY(GV7,$M$1+1)=4),GV7+3,GV7+1),IF($L$1=2,GV7+1,IF($L$1=3,DATE(YEAR(GP7),MONTH(GP7)+1,1),1)))</f>
        <v/>
      </c>
      <c r="GX7" s="6">
        <f>IF($L$1=1,GW7,IF($L$1=2,GW7+1,IF($L$1=3,GW7+4,1)))</f>
        <v/>
      </c>
      <c r="GY7" s="6">
        <f>IF($L$1=1,GX7,IF($L$1=2,GX7+1,IF($L$1=3,GX7+4,1)))</f>
        <v/>
      </c>
      <c r="GZ7" s="6">
        <f>IF($L$1=1,GY7,IF($L$1=2,GY7+1,IF($L$1=3,GY7+4,1)))</f>
        <v/>
      </c>
      <c r="HA7" s="6">
        <f>IF($L$1=1,GZ7,IF($L$1=2,GZ7+1,IF($L$1=3,GZ7+4,1)))</f>
        <v/>
      </c>
      <c r="HB7" s="6">
        <f>IF($L$1=1,HA7,IF($L$1=2,HA7+1,IF($L$1=3,HA7+4,1)))</f>
        <v/>
      </c>
      <c r="HC7" s="6">
        <f>IF($L$1=1,HB7,IF($L$1=2,HB7+1,IF($L$1=3,HB7+4,1)))</f>
        <v/>
      </c>
      <c r="HD7" s="6">
        <f>IF($L$1=1,IF(AND(NOT($J$1),WEEKDAY(HC7,$M$1+1)=4),HC7+3,HC7+1),IF($L$1=2,HC7+1,IF($L$1=3,DATE(YEAR(GW7),MONTH(GW7)+1,1),1)))</f>
        <v/>
      </c>
      <c r="HE7" s="6">
        <f>IF($L$1=1,HD7,IF($L$1=2,HD7+1,IF($L$1=3,HD7+4,1)))</f>
        <v/>
      </c>
      <c r="HF7" s="6">
        <f>IF($L$1=1,HE7,IF($L$1=2,HE7+1,IF($L$1=3,HE7+4,1)))</f>
        <v/>
      </c>
      <c r="HG7" s="6">
        <f>IF($L$1=1,HF7,IF($L$1=2,HF7+1,IF($L$1=3,HF7+4,1)))</f>
        <v/>
      </c>
      <c r="HH7" s="6">
        <f>IF($L$1=1,HG7,IF($L$1=2,HG7+1,IF($L$1=3,HG7+4,1)))</f>
        <v/>
      </c>
      <c r="HI7" s="6">
        <f>IF($L$1=1,HH7,IF($L$1=2,HH7+1,IF($L$1=3,HH7+4,1)))</f>
        <v/>
      </c>
      <c r="HJ7" s="6">
        <f>IF($L$1=1,HI7,IF($L$1=2,HI7+1,IF($L$1=3,HI7+4,1)))</f>
        <v/>
      </c>
      <c r="HK7" s="6">
        <f>IF($L$1=1,IF(AND(NOT($J$1),WEEKDAY(HJ7,$M$1+1)=4),HJ7+3,HJ7+1),IF($L$1=2,HJ7+1,IF($L$1=3,DATE(YEAR(HD7),MONTH(HD7)+1,1),1)))</f>
        <v/>
      </c>
      <c r="HL7" s="6">
        <f>IF($L$1=1,HK7,IF($L$1=2,HK7+1,IF($L$1=3,HK7+4,1)))</f>
        <v/>
      </c>
      <c r="HM7" s="6">
        <f>IF($L$1=1,HL7,IF($L$1=2,HL7+1,IF($L$1=3,HL7+4,1)))</f>
        <v/>
      </c>
      <c r="HN7" s="6">
        <f>IF($L$1=1,HM7,IF($L$1=2,HM7+1,IF($L$1=3,HM7+4,1)))</f>
        <v/>
      </c>
      <c r="HO7" s="6">
        <f>IF($L$1=1,HN7,IF($L$1=2,HN7+1,IF($L$1=3,HN7+4,1)))</f>
        <v/>
      </c>
      <c r="HP7" s="6">
        <f>IF($L$1=1,HO7,IF($L$1=2,HO7+1,IF($L$1=3,HO7+4,1)))</f>
        <v/>
      </c>
      <c r="HQ7" s="6">
        <f>IF($L$1=1,HP7,IF($L$1=2,HP7+1,IF($L$1=3,HP7+4,1)))</f>
        <v/>
      </c>
      <c r="HR7" s="6">
        <f>IF($L$1=1,IF(AND(NOT($J$1),WEEKDAY(HQ7,$M$1+1)=4),HQ7+3,HQ7+1),IF($L$1=2,HQ7+1,IF($L$1=3,DATE(YEAR(HK7),MONTH(HK7)+1,1),1)))</f>
        <v/>
      </c>
      <c r="HS7" s="6">
        <f>IF($L$1=1,HR7,IF($L$1=2,HR7+1,IF($L$1=3,HR7+4,1)))</f>
        <v/>
      </c>
      <c r="HT7" s="6">
        <f>IF($L$1=1,HS7,IF($L$1=2,HS7+1,IF($L$1=3,HS7+4,1)))</f>
        <v/>
      </c>
      <c r="HU7" s="6">
        <f>IF($L$1=1,HT7,IF($L$1=2,HT7+1,IF($L$1=3,HT7+4,1)))</f>
        <v/>
      </c>
      <c r="HV7" s="6">
        <f>IF($L$1=1,HU7,IF($L$1=2,HU7+1,IF($L$1=3,HU7+4,1)))</f>
        <v/>
      </c>
      <c r="HW7" s="6">
        <f>IF($L$1=1,HV7,IF($L$1=2,HV7+1,IF($L$1=3,HV7+4,1)))</f>
        <v/>
      </c>
      <c r="HX7" s="6">
        <f>IF($L$1=1,HW7,IF($L$1=2,HW7+1,IF($L$1=3,HW7+4,1)))</f>
        <v/>
      </c>
      <c r="HY7" s="6">
        <f>IF($L$1=1,IF(AND(NOT($J$1),WEEKDAY(HX7,$M$1+1)=4),HX7+3,HX7+1),IF($L$1=2,HX7+1,IF($L$1=3,DATE(YEAR(HR7),MONTH(HR7)+1,1),1)))</f>
        <v/>
      </c>
      <c r="HZ7" s="6">
        <f>IF($L$1=1,HY7,IF($L$1=2,HY7+1,IF($L$1=3,HY7+4,1)))</f>
        <v/>
      </c>
      <c r="IA7" s="6">
        <f>IF($L$1=1,HZ7,IF($L$1=2,HZ7+1,IF($L$1=3,HZ7+4,1)))</f>
        <v/>
      </c>
      <c r="IB7" s="6">
        <f>IF($L$1=1,IA7,IF($L$1=2,IA7+1,IF($L$1=3,IA7+4,1)))</f>
        <v/>
      </c>
      <c r="IC7" s="6">
        <f>IF($L$1=1,IB7,IF($L$1=2,IB7+1,IF($L$1=3,IB7+4,1)))</f>
        <v/>
      </c>
      <c r="ID7" s="6">
        <f>IF($L$1=1,IC7,IF($L$1=2,IC7+1,IF($L$1=3,IC7+4,1)))</f>
        <v/>
      </c>
      <c r="IE7" s="6">
        <f>IF($L$1=1,ID7,IF($L$1=2,ID7+1,IF($L$1=3,ID7+4,1)))</f>
        <v/>
      </c>
      <c r="IF7" s="6">
        <f>IF($L$1=1,IF(AND(NOT($J$1),WEEKDAY(IE7,$M$1+1)=4),IE7+3,IE7+1),IF($L$1=2,IE7+1,IF($L$1=3,DATE(YEAR(HY7),MONTH(HY7)+1,1),1)))</f>
        <v/>
      </c>
      <c r="IG7" s="6">
        <f>IF($L$1=1,IF7,IF($L$1=2,IF7+1,IF($L$1=3,IF7+4,1)))</f>
        <v/>
      </c>
      <c r="IH7" s="6">
        <f>IF($L$1=1,IG7,IF($L$1=2,IG7+1,IF($L$1=3,IG7+4,1)))</f>
        <v/>
      </c>
      <c r="II7" s="6">
        <f>IF($L$1=1,IH7,IF($L$1=2,IH7+1,IF($L$1=3,IH7+4,1)))</f>
        <v/>
      </c>
      <c r="IJ7" s="6">
        <f>IF($L$1=1,II7,IF($L$1=2,II7+1,IF($L$1=3,II7+4,1)))</f>
        <v/>
      </c>
      <c r="IK7" s="6">
        <f>IF($L$1=1,IJ7,IF($L$1=2,IJ7+1,IF($L$1=3,IJ7+4,1)))</f>
        <v/>
      </c>
      <c r="IL7" s="6">
        <f>IF($L$1=1,IK7,IF($L$1=2,IK7+1,IF($L$1=3,IK7+4,1)))</f>
        <v/>
      </c>
      <c r="IM7" s="6">
        <f>IF($L$1=1,IF(AND(NOT($J$1),WEEKDAY(IL7,$M$1+1)=4),IL7+3,IL7+1),IF($L$1=2,IL7+1,IF($L$1=3,DATE(YEAR(IF7),MONTH(IF7)+1,1),1)))</f>
        <v/>
      </c>
      <c r="IN7" s="6">
        <f>IF($L$1=1,IM7,IF($L$1=2,IM7+1,IF($L$1=3,IM7+4,1)))</f>
        <v/>
      </c>
      <c r="IO7" s="6">
        <f>IF($L$1=1,IN7,IF($L$1=2,IN7+1,IF($L$1=3,IN7+4,1)))</f>
        <v/>
      </c>
      <c r="IP7" s="6">
        <f>IF($L$1=1,IO7,IF($L$1=2,IO7+1,IF($L$1=3,IO7+4,1)))</f>
        <v/>
      </c>
      <c r="IQ7" s="6">
        <f>IF($L$1=1,IP7,IF($L$1=2,IP7+1,IF($L$1=3,IP7+4,1)))</f>
        <v/>
      </c>
      <c r="IR7" s="6">
        <f>IF($L$1=1,IQ7,IF($L$1=2,IQ7+1,IF($L$1=3,IQ7+4,1)))</f>
        <v/>
      </c>
      <c r="IS7" s="6">
        <f>IF($L$1=1,IR7,IF($L$1=2,IR7+1,IF($L$1=3,IR7+4,1)))</f>
        <v/>
      </c>
      <c r="IT7" s="6">
        <f>IF($L$1=1,IF(AND(NOT($J$1),WEEKDAY(IS7,$M$1+1)=4),IS7+3,IS7+1),IF($L$1=2,IS7+1,IF($L$1=3,DATE(YEAR(IM7),MONTH(IM7)+1,1),1)))</f>
        <v/>
      </c>
      <c r="IU7" s="6">
        <f>IF($L$1=1,IT7,IF($L$1=2,IT7+1,IF($L$1=3,IT7+4,1)))</f>
        <v/>
      </c>
      <c r="IV7" s="6">
        <f>IF($L$1=1,IU7,IF($L$1=2,IU7+1,IF($L$1=3,IU7+4,1)))</f>
        <v/>
      </c>
      <c r="IW7" s="6">
        <f>IF($L$1=1,IV7,IF($L$1=2,IV7+1,IF($L$1=3,IV7+4,1)))</f>
        <v/>
      </c>
      <c r="IX7" s="6">
        <f>IF($L$1=1,IW7,IF($L$1=2,IW7+1,IF($L$1=3,IW7+4,1)))</f>
        <v/>
      </c>
      <c r="IY7" s="6">
        <f>IF($L$1=1,IX7,IF($L$1=2,IX7+1,IF($L$1=3,IX7+4,1)))</f>
        <v/>
      </c>
      <c r="IZ7" s="6">
        <f>IF($L$1=1,IY7,IF($L$1=2,IY7+1,IF($L$1=3,IY7+4,1)))</f>
        <v/>
      </c>
      <c r="JA7" s="6">
        <f>IF($L$1=1,IF(AND(NOT($J$1),WEEKDAY(IZ7,$M$1+1)=4),IZ7+3,IZ7+1),IF($L$1=2,IZ7+1,IF($L$1=3,DATE(YEAR(IT7),MONTH(IT7)+1,1),1)))</f>
        <v/>
      </c>
      <c r="JB7" s="6">
        <f>IF($L$1=1,JA7,IF($L$1=2,JA7+1,IF($L$1=3,JA7+4,1)))</f>
        <v/>
      </c>
      <c r="JC7" s="6">
        <f>IF($L$1=1,JB7,IF($L$1=2,JB7+1,IF($L$1=3,JB7+4,1)))</f>
        <v/>
      </c>
      <c r="JD7" s="6">
        <f>IF($L$1=1,JC7,IF($L$1=2,JC7+1,IF($L$1=3,JC7+4,1)))</f>
        <v/>
      </c>
      <c r="JE7" s="6">
        <f>IF($L$1=1,JD7,IF($L$1=2,JD7+1,IF($L$1=3,JD7+4,1)))</f>
        <v/>
      </c>
      <c r="JF7" s="6">
        <f>IF($L$1=1,JE7,IF($L$1=2,JE7+1,IF($L$1=3,JE7+4,1)))</f>
        <v/>
      </c>
      <c r="JG7" s="6">
        <f>IF($L$1=1,JF7,IF($L$1=2,JF7+1,IF($L$1=3,JF7+4,1)))</f>
        <v/>
      </c>
      <c r="JH7" s="6">
        <f>IF($L$1=1,IF(AND(NOT($J$1),WEEKDAY(JG7,$M$1+1)=4),JG7+3,JG7+1),IF($L$1=2,JG7+1,IF($L$1=3,DATE(YEAR(JA7),MONTH(JA7)+1,1),1)))</f>
        <v/>
      </c>
      <c r="JI7" s="6">
        <f>IF($L$1=1,JH7,IF($L$1=2,JH7+1,IF($L$1=3,JH7+4,1)))</f>
        <v/>
      </c>
      <c r="JJ7" s="6">
        <f>IF($L$1=1,JI7,IF($L$1=2,JI7+1,IF($L$1=3,JI7+4,1)))</f>
        <v/>
      </c>
      <c r="JK7" s="6">
        <f>IF($L$1=1,JJ7,IF($L$1=2,JJ7+1,IF($L$1=3,JJ7+4,1)))</f>
        <v/>
      </c>
      <c r="JL7" s="6">
        <f>IF($L$1=1,JK7,IF($L$1=2,JK7+1,IF($L$1=3,JK7+4,1)))</f>
        <v/>
      </c>
      <c r="JM7" s="6">
        <f>IF($L$1=1,JL7,IF($L$1=2,JL7+1,IF($L$1=3,JL7+4,1)))</f>
        <v/>
      </c>
      <c r="JN7" s="6">
        <f>IF($L$1=1,JM7,IF($L$1=2,JM7+1,IF($L$1=3,JM7+4,1)))</f>
        <v/>
      </c>
      <c r="JO7" s="6">
        <f>IF($L$1=1,IF(AND(NOT($J$1),WEEKDAY(JN7,$M$1+1)=4),JN7+3,JN7+1),IF($L$1=2,JN7+1,IF($L$1=3,DATE(YEAR(JH7),MONTH(JH7)+1,1),1)))</f>
        <v/>
      </c>
      <c r="JP7" s="6">
        <f>IF($L$1=1,JO7,IF($L$1=2,JO7+1,IF($L$1=3,JO7+4,1)))</f>
        <v/>
      </c>
      <c r="JQ7" s="6">
        <f>IF($L$1=1,JP7,IF($L$1=2,JP7+1,IF($L$1=3,JP7+4,1)))</f>
        <v/>
      </c>
      <c r="JR7" s="6">
        <f>IF($L$1=1,JQ7,IF($L$1=2,JQ7+1,IF($L$1=3,JQ7+4,1)))</f>
        <v/>
      </c>
      <c r="JS7" s="6">
        <f>IF($L$1=1,JR7,IF($L$1=2,JR7+1,IF($L$1=3,JR7+4,1)))</f>
        <v/>
      </c>
      <c r="JT7" s="6">
        <f>IF($L$1=1,JS7,IF($L$1=2,JS7+1,IF($L$1=3,JS7+4,1)))</f>
        <v/>
      </c>
      <c r="JU7" s="6">
        <f>IF($L$1=1,JT7,IF($L$1=2,JT7+1,IF($L$1=3,JT7+4,1)))</f>
        <v/>
      </c>
      <c r="JV7" s="6">
        <f>IF($L$1=1,IF(AND(NOT($J$1),WEEKDAY(JU7,$M$1+1)=4),JU7+3,JU7+1),IF($L$1=2,JU7+1,IF($L$1=3,DATE(YEAR(JO7),MONTH(JO7)+1,1),1)))</f>
        <v/>
      </c>
      <c r="JW7" s="6">
        <f>IF($L$1=1,JV7,IF($L$1=2,JV7+1,IF($L$1=3,JV7+4,1)))</f>
        <v/>
      </c>
      <c r="JX7" s="6">
        <f>IF($L$1=1,JW7,IF($L$1=2,JW7+1,IF($L$1=3,JW7+4,1)))</f>
        <v/>
      </c>
      <c r="JY7" s="6">
        <f>IF($L$1=1,JX7,IF($L$1=2,JX7+1,IF($L$1=3,JX7+4,1)))</f>
        <v/>
      </c>
      <c r="JZ7" s="6">
        <f>IF($L$1=1,JY7,IF($L$1=2,JY7+1,IF($L$1=3,JY7+4,1)))</f>
        <v/>
      </c>
      <c r="KA7" s="6">
        <f>IF($L$1=1,JZ7,IF($L$1=2,JZ7+1,IF($L$1=3,JZ7+4,1)))</f>
        <v/>
      </c>
      <c r="KB7" s="6">
        <f>IF($L$1=1,KA7,IF($L$1=2,KA7+1,IF($L$1=3,KA7+4,1)))</f>
        <v/>
      </c>
      <c r="KC7" s="6">
        <f>IF($L$1=1,IF(AND(NOT($J$1),WEEKDAY(KB7,$M$1+1)=4),KB7+3,KB7+1),IF($L$1=2,KB7+1,IF($L$1=3,DATE(YEAR(JV7),MONTH(JV7)+1,1),1)))</f>
        <v/>
      </c>
      <c r="KD7" s="6">
        <f>IF($L$1=1,KC7,IF($L$1=2,KC7+1,IF($L$1=3,KC7+4,1)))</f>
        <v/>
      </c>
      <c r="KE7" s="6">
        <f>IF($L$1=1,KD7,IF($L$1=2,KD7+1,IF($L$1=3,KD7+4,1)))</f>
        <v/>
      </c>
      <c r="KF7" s="6">
        <f>IF($L$1=1,KE7,IF($L$1=2,KE7+1,IF($L$1=3,KE7+4,1)))</f>
        <v/>
      </c>
      <c r="KG7" s="6">
        <f>IF($L$1=1,KF7,IF($L$1=2,KF7+1,IF($L$1=3,KF7+4,1)))</f>
        <v/>
      </c>
      <c r="KH7" s="6">
        <f>IF($L$1=1,KG7,IF($L$1=2,KG7+1,IF($L$1=3,KG7+4,1)))</f>
        <v/>
      </c>
      <c r="KI7" s="6">
        <f>IF($L$1=1,KH7,IF($L$1=2,KH7+1,IF($L$1=3,KH7+4,1)))</f>
        <v/>
      </c>
      <c r="KJ7" s="6">
        <f>IF($L$1=1,IF(AND(NOT($J$1),WEEKDAY(KI7,$M$1+1)=4),KI7+3,KI7+1),IF($L$1=2,KI7+1,IF($L$1=3,DATE(YEAR(KC7),MONTH(KC7)+1,1),1)))</f>
        <v/>
      </c>
      <c r="KK7" s="6">
        <f>IF($L$1=1,KJ7,IF($L$1=2,KJ7+1,IF($L$1=3,KJ7+4,1)))</f>
        <v/>
      </c>
      <c r="KL7" s="6">
        <f>IF($L$1=1,KK7,IF($L$1=2,KK7+1,IF($L$1=3,KK7+4,1)))</f>
        <v/>
      </c>
      <c r="KM7" s="6">
        <f>IF($L$1=1,KL7,IF($L$1=2,KL7+1,IF($L$1=3,KL7+4,1)))</f>
        <v/>
      </c>
      <c r="KN7" s="6">
        <f>IF($L$1=1,KM7,IF($L$1=2,KM7+1,IF($L$1=3,KM7+4,1)))</f>
        <v/>
      </c>
      <c r="KO7" s="6">
        <f>IF($L$1=1,KN7,IF($L$1=2,KN7+1,IF($L$1=3,KN7+4,1)))</f>
        <v/>
      </c>
      <c r="KP7" s="6">
        <f>IF($L$1=1,KO7,IF($L$1=2,KO7+1,IF($L$1=3,KO7+4,1)))</f>
        <v/>
      </c>
      <c r="KQ7" s="6">
        <f>IF($L$1=1,IF(AND(NOT($J$1),WEEKDAY(KP7,$M$1+1)=4),KP7+3,KP7+1),IF($L$1=2,KP7+1,IF($L$1=3,DATE(YEAR(KJ7),MONTH(KJ7)+1,1),1)))</f>
        <v/>
      </c>
      <c r="KR7" s="6">
        <f>IF($L$1=1,KQ7,IF($L$1=2,KQ7+1,IF($L$1=3,KQ7+4,1)))</f>
        <v/>
      </c>
      <c r="KS7" s="6">
        <f>IF($L$1=1,KR7,IF($L$1=2,KR7+1,IF($L$1=3,KR7+4,1)))</f>
        <v/>
      </c>
      <c r="KT7" s="6">
        <f>IF($L$1=1,KS7,IF($L$1=2,KS7+1,IF($L$1=3,KS7+4,1)))</f>
        <v/>
      </c>
      <c r="KU7" s="6">
        <f>IF($L$1=1,KT7,IF($L$1=2,KT7+1,IF($L$1=3,KT7+4,1)))</f>
        <v/>
      </c>
      <c r="KV7" s="6">
        <f>IF($L$1=1,KU7,IF($L$1=2,KU7+1,IF($L$1=3,KU7+4,1)))</f>
        <v/>
      </c>
      <c r="KW7" s="6">
        <f>IF($L$1=1,KV7,IF($L$1=2,KV7+1,IF($L$1=3,KV7+4,1)))</f>
        <v/>
      </c>
      <c r="KX7" s="6">
        <f>IF($L$1=1,IF(AND(NOT($J$1),WEEKDAY(KW7,$M$1+1)=4),KW7+3,KW7+1),IF($L$1=2,KW7+1,IF($L$1=3,DATE(YEAR(KQ7),MONTH(KQ7)+1,1),1)))</f>
        <v/>
      </c>
      <c r="KY7" s="6">
        <f>IF($L$1=1,KX7,IF($L$1=2,KX7+1,IF($L$1=3,KX7+4,1)))</f>
        <v/>
      </c>
      <c r="KZ7" s="6">
        <f>IF($L$1=1,KY7,IF($L$1=2,KY7+1,IF($L$1=3,KY7+4,1)))</f>
        <v/>
      </c>
      <c r="LA7" s="6">
        <f>IF($L$1=1,KZ7,IF($L$1=2,KZ7+1,IF($L$1=3,KZ7+4,1)))</f>
        <v/>
      </c>
      <c r="LB7" s="6">
        <f>IF($L$1=1,LA7,IF($L$1=2,LA7+1,IF($L$1=3,LA7+4,1)))</f>
        <v/>
      </c>
      <c r="LC7" s="6">
        <f>IF($L$1=1,LB7,IF($L$1=2,LB7+1,IF($L$1=3,LB7+4,1)))</f>
        <v/>
      </c>
      <c r="LD7" s="6">
        <f>IF($L$1=1,LC7,IF($L$1=2,LC7+1,IF($L$1=3,LC7+4,1)))</f>
        <v/>
      </c>
      <c r="LE7" s="6">
        <f>IF($L$1=1,IF(AND(NOT($J$1),WEEKDAY(LD7,$M$1+1)=4),LD7+3,LD7+1),IF($L$1=2,LD7+1,IF($L$1=3,DATE(YEAR(KX7),MONTH(KX7)+1,1),1)))</f>
        <v/>
      </c>
      <c r="LF7" s="6">
        <f>IF($L$1=1,LE7,IF($L$1=2,LE7+1,IF($L$1=3,LE7+4,1)))</f>
        <v/>
      </c>
      <c r="LG7" s="6">
        <f>IF($L$1=1,LF7,IF($L$1=2,LF7+1,IF($L$1=3,LF7+4,1)))</f>
        <v/>
      </c>
      <c r="LH7" s="6">
        <f>IF($L$1=1,LG7,IF($L$1=2,LG7+1,IF($L$1=3,LG7+4,1)))</f>
        <v/>
      </c>
      <c r="LI7" s="6">
        <f>IF($L$1=1,LH7,IF($L$1=2,LH7+1,IF($L$1=3,LH7+4,1)))</f>
        <v/>
      </c>
      <c r="LJ7" s="6">
        <f>IF($L$1=1,LI7,IF($L$1=2,LI7+1,IF($L$1=3,LI7+4,1)))</f>
        <v/>
      </c>
      <c r="LK7" s="6">
        <f>IF($L$1=1,LJ7,IF($L$1=2,LJ7+1,IF($L$1=3,LJ7+4,1)))</f>
        <v/>
      </c>
      <c r="LL7" s="6">
        <f>IF($L$1=1,IF(AND(NOT($J$1),WEEKDAY(LK7,$M$1+1)=4),LK7+3,LK7+1),IF($L$1=2,LK7+1,IF($L$1=3,DATE(YEAR(LE7),MONTH(LE7)+1,1),1)))</f>
        <v/>
      </c>
      <c r="LM7" s="6">
        <f>IF($L$1=1,LL7,IF($L$1=2,LL7+1,IF($L$1=3,LL7+4,1)))</f>
        <v/>
      </c>
      <c r="LN7" s="6">
        <f>IF($L$1=1,LM7,IF($L$1=2,LM7+1,IF($L$1=3,LM7+4,1)))</f>
        <v/>
      </c>
      <c r="LO7" s="6">
        <f>IF($L$1=1,LN7,IF($L$1=2,LN7+1,IF($L$1=3,LN7+4,1)))</f>
        <v/>
      </c>
      <c r="LP7" s="6">
        <f>IF($L$1=1,LO7,IF($L$1=2,LO7+1,IF($L$1=3,LO7+4,1)))</f>
        <v/>
      </c>
      <c r="LQ7" s="6">
        <f>IF($L$1=1,LP7,IF($L$1=2,LP7+1,IF($L$1=3,LP7+4,1)))</f>
        <v/>
      </c>
      <c r="LR7" s="6">
        <f>IF($L$1=1,LQ7,IF($L$1=2,LQ7+1,IF($L$1=3,LQ7+4,1)))</f>
        <v/>
      </c>
      <c r="LS7" s="6">
        <f>IF($L$1=1,IF(AND(NOT($J$1),WEEKDAY(LR7,$M$1+1)=4),LR7+3,LR7+1),IF($L$1=2,LR7+1,IF($L$1=3,DATE(YEAR(LL7),MONTH(LL7)+1,1),1)))</f>
        <v/>
      </c>
      <c r="LT7" s="6">
        <f>IF($L$1=1,LS7,IF($L$1=2,LS7+1,IF($L$1=3,LS7+4,1)))</f>
        <v/>
      </c>
      <c r="LU7" s="6">
        <f>IF($L$1=1,LT7,IF($L$1=2,LT7+1,IF($L$1=3,LT7+4,1)))</f>
        <v/>
      </c>
      <c r="LV7" s="6">
        <f>IF($L$1=1,LU7,IF($L$1=2,LU7+1,IF($L$1=3,LU7+4,1)))</f>
        <v/>
      </c>
      <c r="LW7" s="6">
        <f>IF($L$1=1,LV7,IF($L$1=2,LV7+1,IF($L$1=3,LV7+4,1)))</f>
        <v/>
      </c>
      <c r="LX7" s="6">
        <f>IF($L$1=1,LW7,IF($L$1=2,LW7+1,IF($L$1=3,LW7+4,1)))</f>
        <v/>
      </c>
      <c r="LY7" s="6">
        <f>IF($L$1=1,LX7,IF($L$1=2,LX7+1,IF($L$1=3,LX7+4,1)))</f>
        <v/>
      </c>
      <c r="LZ7" s="6">
        <f>IF($L$1=1,IF(AND(NOT($J$1),WEEKDAY(LY7,$M$1+1)=4),LY7+3,LY7+1),IF($L$1=2,LY7+1,IF($L$1=3,DATE(YEAR(LS7),MONTH(LS7)+1,1),1)))</f>
        <v/>
      </c>
      <c r="MA7" s="6">
        <f>IF($L$1=1,LZ7,IF($L$1=2,LZ7+1,IF($L$1=3,LZ7+4,1)))</f>
        <v/>
      </c>
      <c r="MB7" s="6">
        <f>IF($L$1=1,MA7,IF($L$1=2,MA7+1,IF($L$1=3,MA7+4,1)))</f>
        <v/>
      </c>
      <c r="MC7" s="6">
        <f>IF($L$1=1,MB7,IF($L$1=2,MB7+1,IF($L$1=3,MB7+4,1)))</f>
        <v/>
      </c>
      <c r="MD7" s="6">
        <f>IF($L$1=1,MC7,IF($L$1=2,MC7+1,IF($L$1=3,MC7+4,1)))</f>
        <v/>
      </c>
      <c r="ME7" s="6">
        <f>IF($L$1=1,MD7,IF($L$1=2,MD7+1,IF($L$1=3,MD7+4,1)))</f>
        <v/>
      </c>
      <c r="MF7" s="6">
        <f>IF($L$1=1,ME7,IF($L$1=2,ME7+1,IF($L$1=3,ME7+4,1)))</f>
        <v/>
      </c>
      <c r="MG7" s="6">
        <f>IF($L$1=1,IF(AND(NOT($J$1),WEEKDAY(MF7,$M$1+1)=4),MF7+3,MF7+1),IF($L$1=2,MF7+1,IF($L$1=3,DATE(YEAR(LZ7),MONTH(LZ7)+1,1),1)))</f>
        <v/>
      </c>
      <c r="MH7" s="6">
        <f>IF($L$1=1,MG7,IF($L$1=2,MG7+1,IF($L$1=3,MG7+4,1)))</f>
        <v/>
      </c>
      <c r="MI7" s="6">
        <f>IF($L$1=1,MH7,IF($L$1=2,MH7+1,IF($L$1=3,MH7+4,1)))</f>
        <v/>
      </c>
      <c r="MJ7" s="6">
        <f>IF($L$1=1,MI7,IF($L$1=2,MI7+1,IF($L$1=3,MI7+4,1)))</f>
        <v/>
      </c>
      <c r="MK7" s="6">
        <f>IF($L$1=1,MJ7,IF($L$1=2,MJ7+1,IF($L$1=3,MJ7+4,1)))</f>
        <v/>
      </c>
      <c r="ML7" s="6">
        <f>IF($L$1=1,MK7,IF($L$1=2,MK7+1,IF($L$1=3,MK7+4,1)))</f>
        <v/>
      </c>
      <c r="MM7" s="6">
        <f>IF($L$1=1,ML7,IF($L$1=2,ML7+1,IF($L$1=3,ML7+4,1)))</f>
        <v/>
      </c>
      <c r="MN7" s="6">
        <f>IF($L$1=1,IF(AND(NOT($J$1),WEEKDAY(MM7,$M$1+1)=4),MM7+3,MM7+1),IF($L$1=2,MM7+1,IF($L$1=3,DATE(YEAR(MG7),MONTH(MG7)+1,1),1)))</f>
        <v/>
      </c>
      <c r="MO7" s="6">
        <f>IF($L$1=1,MN7,IF($L$1=2,MN7+1,IF($L$1=3,MN7+4,1)))</f>
        <v/>
      </c>
      <c r="MP7" s="6">
        <f>IF($L$1=1,MO7,IF($L$1=2,MO7+1,IF($L$1=3,MO7+4,1)))</f>
        <v/>
      </c>
      <c r="MQ7" s="6">
        <f>IF($L$1=1,MP7,IF($L$1=2,MP7+1,IF($L$1=3,MP7+4,1)))</f>
        <v/>
      </c>
      <c r="MR7" s="6">
        <f>IF($L$1=1,MQ7,IF($L$1=2,MQ7+1,IF($L$1=3,MQ7+4,1)))</f>
        <v/>
      </c>
      <c r="MS7" s="6">
        <f>IF($L$1=1,MR7,IF($L$1=2,MR7+1,IF($L$1=3,MR7+4,1)))</f>
        <v/>
      </c>
      <c r="MT7" s="6">
        <f>IF($L$1=1,MS7,IF($L$1=2,MS7+1,IF($L$1=3,MS7+4,1)))</f>
        <v/>
      </c>
      <c r="MU7" s="6">
        <f>IF($L$1=1,IF(AND(NOT($J$1),WEEKDAY(MT7,$M$1+1)=4),MT7+3,MT7+1),IF($L$1=2,MT7+1,IF($L$1=3,DATE(YEAR(MN7),MONTH(MN7)+1,1),1)))</f>
        <v/>
      </c>
      <c r="MV7" s="6">
        <f>IF($L$1=1,MU7,IF($L$1=2,MU7+1,IF($L$1=3,MU7+4,1)))</f>
        <v/>
      </c>
      <c r="MW7" s="6">
        <f>IF($L$1=1,MV7,IF($L$1=2,MV7+1,IF($L$1=3,MV7+4,1)))</f>
        <v/>
      </c>
      <c r="MX7" s="6">
        <f>IF($L$1=1,MW7,IF($L$1=2,MW7+1,IF($L$1=3,MW7+4,1)))</f>
        <v/>
      </c>
      <c r="MY7" s="6">
        <f>IF($L$1=1,MX7,IF($L$1=2,MX7+1,IF($L$1=3,MX7+4,1)))</f>
        <v/>
      </c>
      <c r="MZ7" s="6">
        <f>IF($L$1=1,MY7,IF($L$1=2,MY7+1,IF($L$1=3,MY7+4,1)))</f>
        <v/>
      </c>
      <c r="NA7" s="6">
        <f>IF($L$1=1,MZ7,IF($L$1=2,MZ7+1,IF($L$1=3,MZ7+4,1)))</f>
        <v/>
      </c>
      <c r="NB7" s="6">
        <f>IF($L$1=1,IF(AND(NOT($J$1),WEEKDAY(NA7,$M$1+1)=4),NA7+3,NA7+1),IF($L$1=2,NA7+1,IF($L$1=3,DATE(YEAR(MU7),MONTH(MU7)+1,1),1)))</f>
        <v/>
      </c>
      <c r="NC7" s="6">
        <f>IF($L$1=1,NB7,IF($L$1=2,NB7+1,IF($L$1=3,NB7+4,1)))</f>
        <v/>
      </c>
      <c r="ND7" s="6">
        <f>IF($L$1=1,NC7,IF($L$1=2,NC7+1,IF($L$1=3,NC7+4,1)))</f>
        <v/>
      </c>
      <c r="NE7" s="6">
        <f>IF($L$1=1,ND7,IF($L$1=2,ND7+1,IF($L$1=3,ND7+4,1)))</f>
        <v/>
      </c>
      <c r="NF7" s="6">
        <f>IF($L$1=1,NE7,IF($L$1=2,NE7+1,IF($L$1=3,NE7+4,1)))</f>
        <v/>
      </c>
      <c r="NG7" s="6">
        <f>IF($L$1=1,NF7,IF($L$1=2,NF7+1,IF($L$1=3,NF7+4,1)))</f>
        <v/>
      </c>
      <c r="NH7" s="6">
        <f>IF($L$1=1,NG7,IF($L$1=2,NG7+1,IF($L$1=3,NG7+4,1)))</f>
        <v/>
      </c>
      <c r="NI7" s="6">
        <f>IF($L$1=1,IF(AND(NOT($J$1),WEEKDAY(NH7,$M$1+1)=4),NH7+3,NH7+1),IF($L$1=2,NH7+1,IF($L$1=3,DATE(YEAR(NB7),MONTH(NB7)+1,1),1)))</f>
        <v/>
      </c>
      <c r="NJ7" s="6">
        <f>IF($L$1=1,NI7,IF($L$1=2,NI7+1,IF($L$1=3,NI7+4,1)))</f>
        <v/>
      </c>
      <c r="NK7" s="6">
        <f>IF($L$1=1,NJ7,IF($L$1=2,NJ7+1,IF($L$1=3,NJ7+4,1)))</f>
        <v/>
      </c>
      <c r="NL7" s="6">
        <f>IF($L$1=1,NK7,IF($L$1=2,NK7+1,IF($L$1=3,NK7+4,1)))</f>
        <v/>
      </c>
      <c r="NM7" s="6">
        <f>IF($L$1=1,NL7,IF($L$1=2,NL7+1,IF($L$1=3,NL7+4,1)))</f>
        <v/>
      </c>
      <c r="NN7" s="6">
        <f>IF($L$1=1,NM7,IF($L$1=2,NM7+1,IF($L$1=3,NM7+4,1)))</f>
        <v/>
      </c>
      <c r="NO7" s="6">
        <f>IF($L$1=1,NN7,IF($L$1=2,NN7+1,IF($L$1=3,NN7+4,1)))</f>
        <v/>
      </c>
    </row>
    <row r="8" ht="60" customHeight="1" s="99">
      <c r="A8" s="229" t="inlineStr">
        <is>
          <t>WBS</t>
        </is>
      </c>
      <c r="B8" s="230" t="inlineStr">
        <is>
          <t>Task</t>
        </is>
      </c>
      <c r="C8" s="232" t="inlineStr">
        <is>
          <t>Lead</t>
        </is>
      </c>
      <c r="D8" s="232" t="inlineStr">
        <is>
          <t>Predecessors</t>
        </is>
      </c>
      <c r="G8" s="233" t="inlineStr">
        <is>
          <t>Start</t>
        </is>
      </c>
      <c r="H8" s="233" t="inlineStr">
        <is>
          <t>End</t>
        </is>
      </c>
      <c r="I8" s="234" t="inlineStr">
        <is>
          <t>Work Days</t>
        </is>
      </c>
      <c r="J8" s="234" t="inlineStr">
        <is>
          <t>% Done</t>
        </is>
      </c>
      <c r="K8" s="234" t="inlineStr">
        <is>
          <t>Cal Days</t>
        </is>
      </c>
      <c r="L8" s="235" t="inlineStr">
        <is>
          <t>Days Done</t>
        </is>
      </c>
      <c r="M8" s="235" t="inlineStr">
        <is>
          <t>Days Left</t>
        </is>
      </c>
      <c r="N8" s="234" t="inlineStr">
        <is>
          <t>Color</t>
        </is>
      </c>
      <c r="P8" s="271">
        <f>P7</f>
        <v/>
      </c>
      <c r="W8" s="271">
        <f>W7</f>
        <v/>
      </c>
      <c r="AD8" s="271">
        <f>AD7</f>
        <v/>
      </c>
      <c r="AK8" s="271">
        <f>AK7</f>
        <v/>
      </c>
      <c r="AR8" s="271">
        <f>AR7</f>
        <v/>
      </c>
      <c r="AY8" s="271">
        <f>AY7</f>
        <v/>
      </c>
      <c r="BF8" s="271">
        <f>BF7</f>
        <v/>
      </c>
      <c r="BM8" s="271">
        <f>BM7</f>
        <v/>
      </c>
      <c r="BT8" s="271">
        <f>BT7</f>
        <v/>
      </c>
      <c r="CA8" s="271">
        <f>CA7</f>
        <v/>
      </c>
      <c r="CH8" s="271">
        <f>CH7</f>
        <v/>
      </c>
      <c r="CO8" s="271">
        <f>CO7</f>
        <v/>
      </c>
      <c r="CV8" s="271">
        <f>CV7</f>
        <v/>
      </c>
      <c r="DC8" s="271">
        <f>DC7</f>
        <v/>
      </c>
      <c r="DJ8" s="271">
        <f>DJ7</f>
        <v/>
      </c>
      <c r="DQ8" s="271">
        <f>DQ7</f>
        <v/>
      </c>
      <c r="DX8" s="271">
        <f>DX7</f>
        <v/>
      </c>
      <c r="EE8" s="271">
        <f>EE7</f>
        <v/>
      </c>
      <c r="EL8" s="271">
        <f>EL7</f>
        <v/>
      </c>
      <c r="ES8" s="271">
        <f>ES7</f>
        <v/>
      </c>
      <c r="EZ8" s="271">
        <f>EZ7</f>
        <v/>
      </c>
      <c r="FG8" s="271">
        <f>FG7</f>
        <v/>
      </c>
      <c r="FN8" s="271">
        <f>FN7</f>
        <v/>
      </c>
      <c r="FU8" s="271">
        <f>FU7</f>
        <v/>
      </c>
      <c r="GB8" s="271">
        <f>GB7</f>
        <v/>
      </c>
      <c r="GI8" s="271">
        <f>GI7</f>
        <v/>
      </c>
      <c r="GP8" s="271">
        <f>GP7</f>
        <v/>
      </c>
      <c r="GW8" s="271">
        <f>GW7</f>
        <v/>
      </c>
      <c r="HD8" s="271">
        <f>HD7</f>
        <v/>
      </c>
      <c r="HK8" s="271">
        <f>HK7</f>
        <v/>
      </c>
      <c r="HR8" s="271">
        <f>HR7</f>
        <v/>
      </c>
      <c r="HY8" s="271">
        <f>HY7</f>
        <v/>
      </c>
      <c r="IF8" s="271">
        <f>IF7</f>
        <v/>
      </c>
      <c r="IM8" s="271">
        <f>IM7</f>
        <v/>
      </c>
      <c r="IT8" s="271">
        <f>IT7</f>
        <v/>
      </c>
      <c r="JA8" s="271">
        <f>JA7</f>
        <v/>
      </c>
      <c r="JH8" s="271">
        <f>JH7</f>
        <v/>
      </c>
      <c r="JO8" s="271">
        <f>JO7</f>
        <v/>
      </c>
      <c r="JV8" s="271">
        <f>JV7</f>
        <v/>
      </c>
      <c r="KC8" s="271">
        <f>KC7</f>
        <v/>
      </c>
      <c r="KJ8" s="271">
        <f>KJ7</f>
        <v/>
      </c>
      <c r="KQ8" s="271">
        <f>KQ7</f>
        <v/>
      </c>
      <c r="KX8" s="271">
        <f>KX7</f>
        <v/>
      </c>
      <c r="LE8" s="271">
        <f>LE7</f>
        <v/>
      </c>
      <c r="LL8" s="271">
        <f>LL7</f>
        <v/>
      </c>
      <c r="LS8" s="271">
        <f>LS7</f>
        <v/>
      </c>
      <c r="LZ8" s="271">
        <f>LZ7</f>
        <v/>
      </c>
      <c r="MG8" s="271">
        <f>MG7</f>
        <v/>
      </c>
      <c r="MN8" s="271">
        <f>MN7</f>
        <v/>
      </c>
      <c r="MU8" s="271">
        <f>MU7</f>
        <v/>
      </c>
      <c r="NB8" s="271">
        <f>NB7</f>
        <v/>
      </c>
      <c r="NI8" s="271">
        <f>NI7</f>
        <v/>
      </c>
    </row>
    <row r="9" hidden="1" ht="12.75" customHeight="1" s="99">
      <c r="P9" s="259">
        <f>P7</f>
        <v/>
      </c>
      <c r="W9" s="259">
        <f>W7</f>
        <v/>
      </c>
      <c r="AD9" s="259">
        <f>AD7</f>
        <v/>
      </c>
      <c r="AK9" s="259">
        <f>AK7</f>
        <v/>
      </c>
      <c r="AR9" s="259">
        <f>AR7</f>
        <v/>
      </c>
      <c r="AY9" s="259">
        <f>AY7</f>
        <v/>
      </c>
      <c r="BF9" s="259">
        <f>BF7</f>
        <v/>
      </c>
      <c r="BM9" s="259">
        <f>BM7</f>
        <v/>
      </c>
      <c r="BT9" s="259">
        <f>BT7</f>
        <v/>
      </c>
      <c r="CA9" s="259">
        <f>CA7</f>
        <v/>
      </c>
      <c r="CH9" s="259">
        <f>CH7</f>
        <v/>
      </c>
      <c r="CO9" s="259">
        <f>CO7</f>
        <v/>
      </c>
      <c r="CV9" s="259">
        <f>CV7</f>
        <v/>
      </c>
      <c r="DC9" s="259">
        <f>DC7</f>
        <v/>
      </c>
      <c r="DJ9" s="259">
        <f>DJ7</f>
        <v/>
      </c>
      <c r="DQ9" s="259">
        <f>DQ7</f>
        <v/>
      </c>
      <c r="DX9" s="259">
        <f>DX7</f>
        <v/>
      </c>
      <c r="EE9" s="259">
        <f>EE7</f>
        <v/>
      </c>
      <c r="EL9" s="259">
        <f>EL7</f>
        <v/>
      </c>
      <c r="ES9" s="259">
        <f>ES7</f>
        <v/>
      </c>
      <c r="EZ9" s="259">
        <f>EZ7</f>
        <v/>
      </c>
      <c r="FG9" s="259">
        <f>FG7</f>
        <v/>
      </c>
      <c r="FN9" s="259">
        <f>FN7</f>
        <v/>
      </c>
      <c r="FU9" s="259">
        <f>FU7</f>
        <v/>
      </c>
      <c r="GB9" s="259">
        <f>GB7</f>
        <v/>
      </c>
      <c r="GI9" s="259">
        <f>GI7</f>
        <v/>
      </c>
      <c r="GP9" s="259">
        <f>GP7</f>
        <v/>
      </c>
      <c r="GW9" s="259">
        <f>GW7</f>
        <v/>
      </c>
      <c r="HD9" s="259">
        <f>HD7</f>
        <v/>
      </c>
      <c r="HK9" s="259">
        <f>HK7</f>
        <v/>
      </c>
      <c r="HR9" s="259">
        <f>HR7</f>
        <v/>
      </c>
      <c r="HY9" s="259">
        <f>HY7</f>
        <v/>
      </c>
      <c r="IF9" s="259">
        <f>IF7</f>
        <v/>
      </c>
      <c r="IM9" s="259">
        <f>IM7</f>
        <v/>
      </c>
      <c r="IT9" s="259">
        <f>IT7</f>
        <v/>
      </c>
      <c r="JA9" s="259">
        <f>JA7</f>
        <v/>
      </c>
      <c r="JH9" s="259">
        <f>JH7</f>
        <v/>
      </c>
      <c r="JO9" s="259">
        <f>JO7</f>
        <v/>
      </c>
      <c r="JV9" s="259">
        <f>JV7</f>
        <v/>
      </c>
      <c r="KC9" s="259">
        <f>KC7</f>
        <v/>
      </c>
      <c r="KJ9" s="259">
        <f>KJ7</f>
        <v/>
      </c>
      <c r="KQ9" s="259">
        <f>KQ7</f>
        <v/>
      </c>
      <c r="KX9" s="259">
        <f>KX7</f>
        <v/>
      </c>
      <c r="LE9" s="259">
        <f>LE7</f>
        <v/>
      </c>
      <c r="LL9" s="259">
        <f>LL7</f>
        <v/>
      </c>
      <c r="LS9" s="259">
        <f>LS7</f>
        <v/>
      </c>
      <c r="LZ9" s="259">
        <f>LZ7</f>
        <v/>
      </c>
      <c r="MG9" s="259">
        <f>MG7</f>
        <v/>
      </c>
      <c r="MN9" s="259">
        <f>MN7</f>
        <v/>
      </c>
      <c r="MU9" s="259">
        <f>MU7</f>
        <v/>
      </c>
      <c r="NB9" s="259">
        <f>NB7</f>
        <v/>
      </c>
      <c r="NI9" s="259">
        <f>NI7</f>
        <v/>
      </c>
    </row>
    <row r="10" s="99">
      <c r="A10" s="225" t="n"/>
      <c r="B10" s="225" t="n"/>
      <c r="C10" s="225" t="n"/>
      <c r="D10" s="225" t="n"/>
      <c r="E10" s="225" t="n"/>
      <c r="F10" s="225" t="n"/>
      <c r="G10" s="225" t="n"/>
      <c r="H10" s="225" t="n"/>
      <c r="I10" s="225" t="n"/>
      <c r="J10" s="225" t="n"/>
      <c r="K10" s="225" t="n"/>
      <c r="L10" s="225" t="n"/>
      <c r="M10" s="225" t="n"/>
      <c r="N10" s="225" t="n"/>
      <c r="O10" s="225" t="n"/>
      <c r="P10" s="237">
        <f>IF($L$1=1,INDEX({"Su";"M";"Tu";"W";"Th";"F";"Sa"},WEEKDAY(P7,1)),IF($L$1=2,$K$1+INT((COLUMN()-COLUMN($P$7))/7),""))</f>
        <v/>
      </c>
      <c r="Q10" s="225" t="n"/>
      <c r="R10" s="225" t="n"/>
      <c r="S10" s="225" t="n"/>
      <c r="T10" s="225" t="n"/>
      <c r="U10" s="225" t="n"/>
      <c r="V10" s="225" t="n"/>
      <c r="W10" s="237">
        <f>IF($L$1=1,INDEX({"Su";"M";"Tu";"W";"Th";"F";"Sa"},WEEKDAY(W7,1)),IF($L$1=2,$K$1+INT((COLUMN()-COLUMN($P$7))/7),""))</f>
        <v/>
      </c>
      <c r="X10" s="225" t="n"/>
      <c r="Y10" s="225" t="n"/>
      <c r="Z10" s="225" t="n"/>
      <c r="AA10" s="225" t="n"/>
      <c r="AB10" s="225" t="n"/>
      <c r="AC10" s="225" t="n"/>
      <c r="AD10" s="237">
        <f>IF($L$1=1,INDEX({"Su";"M";"Tu";"W";"Th";"F";"Sa"},WEEKDAY(AD7,1)),IF($L$1=2,$K$1+INT((COLUMN()-COLUMN($P$7))/7),""))</f>
        <v/>
      </c>
      <c r="AE10" s="225" t="n"/>
      <c r="AF10" s="225" t="n"/>
      <c r="AG10" s="225" t="n"/>
      <c r="AH10" s="225" t="n"/>
      <c r="AI10" s="225" t="n"/>
      <c r="AJ10" s="225" t="n"/>
      <c r="AK10" s="237">
        <f>IF($L$1=1,INDEX({"Su";"M";"Tu";"W";"Th";"F";"Sa"},WEEKDAY(AK7,1)),IF($L$1=2,$K$1+INT((COLUMN()-COLUMN($P$7))/7),""))</f>
        <v/>
      </c>
      <c r="AL10" s="225" t="n"/>
      <c r="AM10" s="225" t="n"/>
      <c r="AN10" s="225" t="n"/>
      <c r="AO10" s="225" t="n"/>
      <c r="AP10" s="225" t="n"/>
      <c r="AQ10" s="225" t="n"/>
      <c r="AR10" s="237">
        <f>IF($L$1=1,INDEX({"Su";"M";"Tu";"W";"Th";"F";"Sa"},WEEKDAY(AR7,1)),IF($L$1=2,$K$1+INT((COLUMN()-COLUMN($P$7))/7),""))</f>
        <v/>
      </c>
      <c r="AS10" s="225" t="n"/>
      <c r="AT10" s="225" t="n"/>
      <c r="AU10" s="225" t="n"/>
      <c r="AV10" s="225" t="n"/>
      <c r="AW10" s="225" t="n"/>
      <c r="AX10" s="225" t="n"/>
      <c r="AY10" s="237">
        <f>IF($L$1=1,INDEX({"Su";"M";"Tu";"W";"Th";"F";"Sa"},WEEKDAY(AY7,1)),IF($L$1=2,$K$1+INT((COLUMN()-COLUMN($P$7))/7),""))</f>
        <v/>
      </c>
      <c r="AZ10" s="225" t="n"/>
      <c r="BA10" s="225" t="n"/>
      <c r="BB10" s="225" t="n"/>
      <c r="BC10" s="225" t="n"/>
      <c r="BD10" s="225" t="n"/>
      <c r="BE10" s="225" t="n"/>
      <c r="BF10" s="237">
        <f>IF($L$1=1,INDEX({"Su";"M";"Tu";"W";"Th";"F";"Sa"},WEEKDAY(BF7,1)),IF($L$1=2,$K$1+INT((COLUMN()-COLUMN($P$7))/7),""))</f>
        <v/>
      </c>
      <c r="BG10" s="225" t="n"/>
      <c r="BH10" s="225" t="n"/>
      <c r="BI10" s="225" t="n"/>
      <c r="BJ10" s="225" t="n"/>
      <c r="BK10" s="225" t="n"/>
      <c r="BL10" s="225" t="n"/>
      <c r="BM10" s="237">
        <f>IF($L$1=1,INDEX({"Su";"M";"Tu";"W";"Th";"F";"Sa"},WEEKDAY(BM7,1)),IF($L$1=2,$K$1+INT((COLUMN()-COLUMN($P$7))/7),""))</f>
        <v/>
      </c>
      <c r="BN10" s="225" t="n"/>
      <c r="BO10" s="225" t="n"/>
      <c r="BP10" s="225" t="n"/>
      <c r="BQ10" s="225" t="n"/>
      <c r="BR10" s="225" t="n"/>
      <c r="BS10" s="225" t="n"/>
      <c r="BT10" s="237">
        <f>IF($L$1=1,INDEX({"Su";"M";"Tu";"W";"Th";"F";"Sa"},WEEKDAY(BT7,1)),IF($L$1=2,$K$1+INT((COLUMN()-COLUMN($P$7))/7),""))</f>
        <v/>
      </c>
      <c r="BU10" s="225" t="n"/>
      <c r="BV10" s="225" t="n"/>
      <c r="BW10" s="225" t="n"/>
      <c r="BX10" s="225" t="n"/>
      <c r="BY10" s="225" t="n"/>
      <c r="BZ10" s="225" t="n"/>
      <c r="CA10" s="237">
        <f>IF($L$1=1,INDEX({"Su";"M";"Tu";"W";"Th";"F";"Sa"},WEEKDAY(CA7,1)),IF($L$1=2,$K$1+INT((COLUMN()-COLUMN($P$7))/7),""))</f>
        <v/>
      </c>
      <c r="CB10" s="225" t="n"/>
      <c r="CC10" s="225" t="n"/>
      <c r="CD10" s="225" t="n"/>
      <c r="CE10" s="225" t="n"/>
      <c r="CF10" s="225" t="n"/>
      <c r="CG10" s="225" t="n"/>
      <c r="CH10" s="237">
        <f>IF($L$1=1,INDEX({"Su";"M";"Tu";"W";"Th";"F";"Sa"},WEEKDAY(CH7,1)),IF($L$1=2,$K$1+INT((COLUMN()-COLUMN($P$7))/7),""))</f>
        <v/>
      </c>
      <c r="CI10" s="225" t="n"/>
      <c r="CJ10" s="225" t="n"/>
      <c r="CK10" s="225" t="n"/>
      <c r="CL10" s="225" t="n"/>
      <c r="CM10" s="225" t="n"/>
      <c r="CN10" s="225" t="n"/>
      <c r="CO10" s="237">
        <f>IF($L$1=1,INDEX({"Su";"M";"Tu";"W";"Th";"F";"Sa"},WEEKDAY(CO7,1)),IF($L$1=2,$K$1+INT((COLUMN()-COLUMN($P$7))/7),""))</f>
        <v/>
      </c>
      <c r="CP10" s="225" t="n"/>
      <c r="CQ10" s="225" t="n"/>
      <c r="CR10" s="225" t="n"/>
      <c r="CS10" s="225" t="n"/>
      <c r="CT10" s="225" t="n"/>
      <c r="CU10" s="225" t="n"/>
      <c r="CV10" s="237">
        <f>IF($L$1=1,INDEX({"Su";"M";"Tu";"W";"Th";"F";"Sa"},WEEKDAY(CV7,1)),IF($L$1=2,$K$1+INT((COLUMN()-COLUMN($P$7))/7),""))</f>
        <v/>
      </c>
      <c r="CW10" s="225" t="n"/>
      <c r="CX10" s="225" t="n"/>
      <c r="CY10" s="225" t="n"/>
      <c r="CZ10" s="225" t="n"/>
      <c r="DA10" s="225" t="n"/>
      <c r="DB10" s="225" t="n"/>
      <c r="DC10" s="237">
        <f>IF($L$1=1,INDEX({"Su";"M";"Tu";"W";"Th";"F";"Sa"},WEEKDAY(DC7,1)),IF($L$1=2,$K$1+INT((COLUMN()-COLUMN($P$7))/7),""))</f>
        <v/>
      </c>
      <c r="DD10" s="225" t="n"/>
      <c r="DE10" s="225" t="n"/>
      <c r="DF10" s="225" t="n"/>
      <c r="DG10" s="225" t="n"/>
      <c r="DH10" s="225" t="n"/>
      <c r="DI10" s="225" t="n"/>
      <c r="DJ10" s="237">
        <f>IF($L$1=1,INDEX({"Su";"M";"Tu";"W";"Th";"F";"Sa"},WEEKDAY(DJ7,1)),IF($L$1=2,$K$1+INT((COLUMN()-COLUMN($P$7))/7),""))</f>
        <v/>
      </c>
      <c r="DK10" s="225" t="n"/>
      <c r="DL10" s="225" t="n"/>
      <c r="DM10" s="225" t="n"/>
      <c r="DN10" s="225" t="n"/>
      <c r="DO10" s="225" t="n"/>
      <c r="DP10" s="225" t="n"/>
      <c r="DQ10" s="237">
        <f>IF($L$1=1,INDEX({"Su";"M";"Tu";"W";"Th";"F";"Sa"},WEEKDAY(DQ7,1)),IF($L$1=2,$K$1+INT((COLUMN()-COLUMN($P$7))/7),""))</f>
        <v/>
      </c>
      <c r="DR10" s="225" t="n"/>
      <c r="DS10" s="225" t="n"/>
      <c r="DT10" s="225" t="n"/>
      <c r="DU10" s="225" t="n"/>
      <c r="DV10" s="225" t="n"/>
      <c r="DW10" s="225" t="n"/>
      <c r="DX10" s="237">
        <f>IF($L$1=1,INDEX({"Su";"M";"Tu";"W";"Th";"F";"Sa"},WEEKDAY(DX7,1)),IF($L$1=2,$K$1+INT((COLUMN()-COLUMN($P$7))/7),""))</f>
        <v/>
      </c>
      <c r="DY10" s="225" t="n"/>
      <c r="DZ10" s="225" t="n"/>
      <c r="EA10" s="225" t="n"/>
      <c r="EB10" s="225" t="n"/>
      <c r="EC10" s="225" t="n"/>
      <c r="ED10" s="225" t="n"/>
      <c r="EE10" s="237">
        <f>IF($L$1=1,INDEX({"Su";"M";"Tu";"W";"Th";"F";"Sa"},WEEKDAY(EE7,1)),IF($L$1=2,$K$1+INT((COLUMN()-COLUMN($P$7))/7),""))</f>
        <v/>
      </c>
      <c r="EF10" s="225" t="n"/>
      <c r="EG10" s="225" t="n"/>
      <c r="EH10" s="225" t="n"/>
      <c r="EI10" s="225" t="n"/>
      <c r="EJ10" s="225" t="n"/>
      <c r="EK10" s="225" t="n"/>
      <c r="EL10" s="237">
        <f>IF($L$1=1,INDEX({"Su";"M";"Tu";"W";"Th";"F";"Sa"},WEEKDAY(EL7,1)),IF($L$1=2,$K$1+INT((COLUMN()-COLUMN($P$7))/7),""))</f>
        <v/>
      </c>
      <c r="EM10" s="225" t="n"/>
      <c r="EN10" s="225" t="n"/>
      <c r="EO10" s="225" t="n"/>
      <c r="EP10" s="225" t="n"/>
      <c r="EQ10" s="225" t="n"/>
      <c r="ER10" s="225" t="n"/>
      <c r="ES10" s="237">
        <f>IF($L$1=1,INDEX({"Su";"M";"Tu";"W";"Th";"F";"Sa"},WEEKDAY(ES7,1)),IF($L$1=2,$K$1+INT((COLUMN()-COLUMN($P$7))/7),""))</f>
        <v/>
      </c>
      <c r="ET10" s="225" t="n"/>
      <c r="EU10" s="225" t="n"/>
      <c r="EV10" s="225" t="n"/>
      <c r="EW10" s="225" t="n"/>
      <c r="EX10" s="225" t="n"/>
      <c r="EY10" s="225" t="n"/>
      <c r="EZ10" s="237">
        <f>IF($L$1=1,INDEX({"Su";"M";"Tu";"W";"Th";"F";"Sa"},WEEKDAY(EZ7,1)),IF($L$1=2,$K$1+INT((COLUMN()-COLUMN($P$7))/7),""))</f>
        <v/>
      </c>
      <c r="FA10" s="225" t="n"/>
      <c r="FB10" s="225" t="n"/>
      <c r="FC10" s="225" t="n"/>
      <c r="FD10" s="225" t="n"/>
      <c r="FE10" s="225" t="n"/>
      <c r="FF10" s="225" t="n"/>
      <c r="FG10" s="237">
        <f>IF($L$1=1,INDEX({"Su";"M";"Tu";"W";"Th";"F";"Sa"},WEEKDAY(FG7,1)),IF($L$1=2,$K$1+INT((COLUMN()-COLUMN($P$7))/7),""))</f>
        <v/>
      </c>
      <c r="FH10" s="225" t="n"/>
      <c r="FI10" s="225" t="n"/>
      <c r="FJ10" s="225" t="n"/>
      <c r="FK10" s="225" t="n"/>
      <c r="FL10" s="225" t="n"/>
      <c r="FM10" s="225" t="n"/>
      <c r="FN10" s="237">
        <f>IF($L$1=1,INDEX({"Su";"M";"Tu";"W";"Th";"F";"Sa"},WEEKDAY(FN7,1)),IF($L$1=2,$K$1+INT((COLUMN()-COLUMN($P$7))/7),""))</f>
        <v/>
      </c>
      <c r="FO10" s="225" t="n"/>
      <c r="FP10" s="225" t="n"/>
      <c r="FQ10" s="225" t="n"/>
      <c r="FR10" s="225" t="n"/>
      <c r="FS10" s="225" t="n"/>
      <c r="FT10" s="225" t="n"/>
      <c r="FU10" s="237">
        <f>IF($L$1=1,INDEX({"Su";"M";"Tu";"W";"Th";"F";"Sa"},WEEKDAY(FU7,1)),IF($L$1=2,$K$1+INT((COLUMN()-COLUMN($P$7))/7),""))</f>
        <v/>
      </c>
      <c r="FV10" s="225" t="n"/>
      <c r="FW10" s="225" t="n"/>
      <c r="FX10" s="225" t="n"/>
      <c r="FY10" s="225" t="n"/>
      <c r="FZ10" s="225" t="n"/>
      <c r="GA10" s="225" t="n"/>
      <c r="GB10" s="237">
        <f>IF($L$1=1,INDEX({"Su";"M";"Tu";"W";"Th";"F";"Sa"},WEEKDAY(GB7,1)),IF($L$1=2,$K$1+INT((COLUMN()-COLUMN($P$7))/7),""))</f>
        <v/>
      </c>
      <c r="GC10" s="225" t="n"/>
      <c r="GD10" s="225" t="n"/>
      <c r="GE10" s="225" t="n"/>
      <c r="GF10" s="225" t="n"/>
      <c r="GG10" s="225" t="n"/>
      <c r="GH10" s="225" t="n"/>
      <c r="GI10" s="237">
        <f>IF($L$1=1,INDEX({"Su";"M";"Tu";"W";"Th";"F";"Sa"},WEEKDAY(GI7,1)),IF($L$1=2,$K$1+INT((COLUMN()-COLUMN($P$7))/7),""))</f>
        <v/>
      </c>
      <c r="GJ10" s="225" t="n"/>
      <c r="GK10" s="225" t="n"/>
      <c r="GL10" s="225" t="n"/>
      <c r="GM10" s="225" t="n"/>
      <c r="GN10" s="225" t="n"/>
      <c r="GO10" s="225" t="n"/>
      <c r="GP10" s="237">
        <f>IF($L$1=1,INDEX({"Su";"M";"Tu";"W";"Th";"F";"Sa"},WEEKDAY(GP7,1)),IF($L$1=2,$K$1+INT((COLUMN()-COLUMN($P$7))/7),""))</f>
        <v/>
      </c>
      <c r="GQ10" s="225" t="n"/>
      <c r="GR10" s="225" t="n"/>
      <c r="GS10" s="225" t="n"/>
      <c r="GT10" s="225" t="n"/>
      <c r="GU10" s="225" t="n"/>
      <c r="GV10" s="225" t="n"/>
      <c r="GW10" s="237">
        <f>IF($L$1=1,INDEX({"Su";"M";"Tu";"W";"Th";"F";"Sa"},WEEKDAY(GW7,1)),IF($L$1=2,$K$1+INT((COLUMN()-COLUMN($P$7))/7),""))</f>
        <v/>
      </c>
      <c r="GX10" s="225" t="n"/>
      <c r="GY10" s="225" t="n"/>
      <c r="GZ10" s="225" t="n"/>
      <c r="HA10" s="225" t="n"/>
      <c r="HB10" s="225" t="n"/>
      <c r="HC10" s="225" t="n"/>
      <c r="HD10" s="237">
        <f>IF($L$1=1,INDEX({"Su";"M";"Tu";"W";"Th";"F";"Sa"},WEEKDAY(HD7,1)),IF($L$1=2,$K$1+INT((COLUMN()-COLUMN($P$7))/7),""))</f>
        <v/>
      </c>
      <c r="HE10" s="225" t="n"/>
      <c r="HF10" s="225" t="n"/>
      <c r="HG10" s="225" t="n"/>
      <c r="HH10" s="225" t="n"/>
      <c r="HI10" s="225" t="n"/>
      <c r="HJ10" s="225" t="n"/>
      <c r="HK10" s="237">
        <f>IF($L$1=1,INDEX({"Su";"M";"Tu";"W";"Th";"F";"Sa"},WEEKDAY(HK7,1)),IF($L$1=2,$K$1+INT((COLUMN()-COLUMN($P$7))/7),""))</f>
        <v/>
      </c>
      <c r="HL10" s="225" t="n"/>
      <c r="HM10" s="225" t="n"/>
      <c r="HN10" s="225" t="n"/>
      <c r="HO10" s="225" t="n"/>
      <c r="HP10" s="225" t="n"/>
      <c r="HQ10" s="225" t="n"/>
      <c r="HR10" s="237">
        <f>IF($L$1=1,INDEX({"Su";"M";"Tu";"W";"Th";"F";"Sa"},WEEKDAY(HR7,1)),IF($L$1=2,$K$1+INT((COLUMN()-COLUMN($P$7))/7),""))</f>
        <v/>
      </c>
      <c r="HS10" s="225" t="n"/>
      <c r="HT10" s="225" t="n"/>
      <c r="HU10" s="225" t="n"/>
      <c r="HV10" s="225" t="n"/>
      <c r="HW10" s="225" t="n"/>
      <c r="HX10" s="225" t="n"/>
      <c r="HY10" s="237">
        <f>IF($L$1=1,INDEX({"Su";"M";"Tu";"W";"Th";"F";"Sa"},WEEKDAY(HY7,1)),IF($L$1=2,$K$1+INT((COLUMN()-COLUMN($P$7))/7),""))</f>
        <v/>
      </c>
      <c r="HZ10" s="225" t="n"/>
      <c r="IA10" s="225" t="n"/>
      <c r="IB10" s="225" t="n"/>
      <c r="IC10" s="225" t="n"/>
      <c r="ID10" s="225" t="n"/>
      <c r="IE10" s="225" t="n"/>
      <c r="IF10" s="237">
        <f>IF($L$1=1,INDEX({"Su";"M";"Tu";"W";"Th";"F";"Sa"},WEEKDAY(IF7,1)),IF($L$1=2,$K$1+INT((COLUMN()-COLUMN($P$7))/7),""))</f>
        <v/>
      </c>
      <c r="IG10" s="225" t="n"/>
      <c r="IH10" s="225" t="n"/>
      <c r="II10" s="225" t="n"/>
      <c r="IJ10" s="225" t="n"/>
      <c r="IK10" s="225" t="n"/>
      <c r="IL10" s="225" t="n"/>
      <c r="IM10" s="237">
        <f>IF($L$1=1,INDEX({"Su";"M";"Tu";"W";"Th";"F";"Sa"},WEEKDAY(IM7,1)),IF($L$1=2,$K$1+INT((COLUMN()-COLUMN($P$7))/7),""))</f>
        <v/>
      </c>
      <c r="IN10" s="225" t="n"/>
      <c r="IO10" s="225" t="n"/>
      <c r="IP10" s="225" t="n"/>
      <c r="IQ10" s="225" t="n"/>
      <c r="IR10" s="225" t="n"/>
      <c r="IS10" s="225" t="n"/>
      <c r="IT10" s="237">
        <f>IF($L$1=1,INDEX({"Su";"M";"Tu";"W";"Th";"F";"Sa"},WEEKDAY(IT7,1)),IF($L$1=2,$K$1+INT((COLUMN()-COLUMN($P$7))/7),""))</f>
        <v/>
      </c>
      <c r="IU10" s="225" t="n"/>
      <c r="IV10" s="225" t="n"/>
      <c r="IW10" s="225" t="n"/>
      <c r="IX10" s="225" t="n"/>
      <c r="IY10" s="225" t="n"/>
      <c r="IZ10" s="225" t="n"/>
      <c r="JA10" s="237">
        <f>IF($L$1=1,INDEX({"Su";"M";"Tu";"W";"Th";"F";"Sa"},WEEKDAY(JA7,1)),IF($L$1=2,$K$1+INT((COLUMN()-COLUMN($P$7))/7),""))</f>
        <v/>
      </c>
      <c r="JB10" s="225" t="n"/>
      <c r="JC10" s="225" t="n"/>
      <c r="JD10" s="225" t="n"/>
      <c r="JE10" s="225" t="n"/>
      <c r="JF10" s="225" t="n"/>
      <c r="JG10" s="225" t="n"/>
      <c r="JH10" s="237">
        <f>IF($L$1=1,INDEX({"Su";"M";"Tu";"W";"Th";"F";"Sa"},WEEKDAY(JH7,1)),IF($L$1=2,$K$1+INT((COLUMN()-COLUMN($P$7))/7),""))</f>
        <v/>
      </c>
      <c r="JI10" s="225" t="n"/>
      <c r="JJ10" s="225" t="n"/>
      <c r="JK10" s="225" t="n"/>
      <c r="JL10" s="225" t="n"/>
      <c r="JM10" s="225" t="n"/>
      <c r="JN10" s="225" t="n"/>
      <c r="JO10" s="237">
        <f>IF($L$1=1,INDEX({"Su";"M";"Tu";"W";"Th";"F";"Sa"},WEEKDAY(JO7,1)),IF($L$1=2,$K$1+INT((COLUMN()-COLUMN($P$7))/7),""))</f>
        <v/>
      </c>
      <c r="JP10" s="225" t="n"/>
      <c r="JQ10" s="225" t="n"/>
      <c r="JR10" s="225" t="n"/>
      <c r="JS10" s="225" t="n"/>
      <c r="JT10" s="225" t="n"/>
      <c r="JU10" s="225" t="n"/>
      <c r="JV10" s="237">
        <f>IF($L$1=1,INDEX({"Su";"M";"Tu";"W";"Th";"F";"Sa"},WEEKDAY(JV7,1)),IF($L$1=2,$K$1+INT((COLUMN()-COLUMN($P$7))/7),""))</f>
        <v/>
      </c>
      <c r="JW10" s="225" t="n"/>
      <c r="JX10" s="225" t="n"/>
      <c r="JY10" s="225" t="n"/>
      <c r="JZ10" s="225" t="n"/>
      <c r="KA10" s="225" t="n"/>
      <c r="KB10" s="225" t="n"/>
      <c r="KC10" s="237">
        <f>IF($L$1=1,INDEX({"Su";"M";"Tu";"W";"Th";"F";"Sa"},WEEKDAY(KC7,1)),IF($L$1=2,$K$1+INT((COLUMN()-COLUMN($P$7))/7),""))</f>
        <v/>
      </c>
      <c r="KD10" s="225" t="n"/>
      <c r="KE10" s="225" t="n"/>
      <c r="KF10" s="225" t="n"/>
      <c r="KG10" s="225" t="n"/>
      <c r="KH10" s="225" t="n"/>
      <c r="KI10" s="225" t="n"/>
      <c r="KJ10" s="237">
        <f>IF($L$1=1,INDEX({"Su";"M";"Tu";"W";"Th";"F";"Sa"},WEEKDAY(KJ7,1)),IF($L$1=2,$K$1+INT((COLUMN()-COLUMN($P$7))/7),""))</f>
        <v/>
      </c>
      <c r="KK10" s="225" t="n"/>
      <c r="KL10" s="225" t="n"/>
      <c r="KM10" s="225" t="n"/>
      <c r="KN10" s="225" t="n"/>
      <c r="KO10" s="225" t="n"/>
      <c r="KP10" s="225" t="n"/>
      <c r="KQ10" s="237">
        <f>IF($L$1=1,INDEX({"Su";"M";"Tu";"W";"Th";"F";"Sa"},WEEKDAY(KQ7,1)),IF($L$1=2,$K$1+INT((COLUMN()-COLUMN($P$7))/7),""))</f>
        <v/>
      </c>
      <c r="KR10" s="225" t="n"/>
      <c r="KS10" s="225" t="n"/>
      <c r="KT10" s="225" t="n"/>
      <c r="KU10" s="225" t="n"/>
      <c r="KV10" s="225" t="n"/>
      <c r="KW10" s="225" t="n"/>
      <c r="KX10" s="237">
        <f>IF($L$1=1,INDEX({"Su";"M";"Tu";"W";"Th";"F";"Sa"},WEEKDAY(KX7,1)),IF($L$1=2,$K$1+INT((COLUMN()-COLUMN($P$7))/7),""))</f>
        <v/>
      </c>
      <c r="KY10" s="225" t="n"/>
      <c r="KZ10" s="225" t="n"/>
      <c r="LA10" s="225" t="n"/>
      <c r="LB10" s="225" t="n"/>
      <c r="LC10" s="225" t="n"/>
      <c r="LD10" s="225" t="n"/>
      <c r="LE10" s="237">
        <f>IF($L$1=1,INDEX({"Su";"M";"Tu";"W";"Th";"F";"Sa"},WEEKDAY(LE7,1)),IF($L$1=2,$K$1+INT((COLUMN()-COLUMN($P$7))/7),""))</f>
        <v/>
      </c>
      <c r="LF10" s="225" t="n"/>
      <c r="LG10" s="225" t="n"/>
      <c r="LH10" s="225" t="n"/>
      <c r="LI10" s="225" t="n"/>
      <c r="LJ10" s="225" t="n"/>
      <c r="LK10" s="225" t="n"/>
      <c r="LL10" s="237">
        <f>IF($L$1=1,INDEX({"Su";"M";"Tu";"W";"Th";"F";"Sa"},WEEKDAY(LL7,1)),IF($L$1=2,$K$1+INT((COLUMN()-COLUMN($P$7))/7),""))</f>
        <v/>
      </c>
      <c r="LM10" s="225" t="n"/>
      <c r="LN10" s="225" t="n"/>
      <c r="LO10" s="225" t="n"/>
      <c r="LP10" s="225" t="n"/>
      <c r="LQ10" s="225" t="n"/>
      <c r="LR10" s="225" t="n"/>
      <c r="LS10" s="237">
        <f>IF($L$1=1,INDEX({"Su";"M";"Tu";"W";"Th";"F";"Sa"},WEEKDAY(LS7,1)),IF($L$1=2,$K$1+INT((COLUMN()-COLUMN($P$7))/7),""))</f>
        <v/>
      </c>
      <c r="LT10" s="225" t="n"/>
      <c r="LU10" s="225" t="n"/>
      <c r="LV10" s="225" t="n"/>
      <c r="LW10" s="225" t="n"/>
      <c r="LX10" s="225" t="n"/>
      <c r="LY10" s="225" t="n"/>
      <c r="LZ10" s="237">
        <f>IF($L$1=1,INDEX({"Su";"M";"Tu";"W";"Th";"F";"Sa"},WEEKDAY(LZ7,1)),IF($L$1=2,$K$1+INT((COLUMN()-COLUMN($P$7))/7),""))</f>
        <v/>
      </c>
      <c r="MA10" s="225" t="n"/>
      <c r="MB10" s="225" t="n"/>
      <c r="MC10" s="225" t="n"/>
      <c r="MD10" s="225" t="n"/>
      <c r="ME10" s="225" t="n"/>
      <c r="MF10" s="225" t="n"/>
      <c r="MG10" s="237">
        <f>IF($L$1=1,INDEX({"Su";"M";"Tu";"W";"Th";"F";"Sa"},WEEKDAY(MG7,1)),IF($L$1=2,$K$1+INT((COLUMN()-COLUMN($P$7))/7),""))</f>
        <v/>
      </c>
      <c r="MH10" s="225" t="n"/>
      <c r="MI10" s="225" t="n"/>
      <c r="MJ10" s="225" t="n"/>
      <c r="MK10" s="225" t="n"/>
      <c r="ML10" s="225" t="n"/>
      <c r="MM10" s="225" t="n"/>
      <c r="MN10" s="237">
        <f>IF($L$1=1,INDEX({"Su";"M";"Tu";"W";"Th";"F";"Sa"},WEEKDAY(MN7,1)),IF($L$1=2,$K$1+INT((COLUMN()-COLUMN($P$7))/7),""))</f>
        <v/>
      </c>
      <c r="MO10" s="225" t="n"/>
      <c r="MP10" s="225" t="n"/>
      <c r="MQ10" s="225" t="n"/>
      <c r="MR10" s="225" t="n"/>
      <c r="MS10" s="225" t="n"/>
      <c r="MT10" s="225" t="n"/>
      <c r="MU10" s="237">
        <f>IF($L$1=1,INDEX({"Su";"M";"Tu";"W";"Th";"F";"Sa"},WEEKDAY(MU7,1)),IF($L$1=2,$K$1+INT((COLUMN()-COLUMN($P$7))/7),""))</f>
        <v/>
      </c>
      <c r="MV10" s="225" t="n"/>
      <c r="MW10" s="225" t="n"/>
      <c r="MX10" s="225" t="n"/>
      <c r="MY10" s="225" t="n"/>
      <c r="MZ10" s="225" t="n"/>
      <c r="NA10" s="225" t="n"/>
      <c r="NB10" s="237">
        <f>IF($L$1=1,INDEX({"Su";"M";"Tu";"W";"Th";"F";"Sa"},WEEKDAY(NB7,1)),IF($L$1=2,$K$1+INT((COLUMN()-COLUMN($P$7))/7),""))</f>
        <v/>
      </c>
      <c r="NC10" s="225" t="n"/>
      <c r="ND10" s="225" t="n"/>
      <c r="NE10" s="225" t="n"/>
      <c r="NF10" s="225" t="n"/>
      <c r="NG10" s="225" t="n"/>
      <c r="NH10" s="225" t="n"/>
      <c r="NI10" s="237">
        <f>IF($L$1=1,INDEX({"Su";"M";"Tu";"W";"Th";"F";"Sa"},WEEKDAY(NI7,1)),IF($L$1=2,$K$1+INT((COLUMN()-COLUMN($P$7))/7),""))</f>
        <v/>
      </c>
      <c r="NJ10" s="225" t="n"/>
      <c r="NK10" s="225" t="n"/>
      <c r="NL10" s="225" t="n"/>
      <c r="NM10" s="225" t="n"/>
      <c r="NN10" s="225" t="n"/>
      <c r="NO10" s="225" t="n"/>
    </row>
    <row r="11" s="99"/>
    <row r="12" customFormat="1" s="76">
      <c r="A12" s="70">
        <f>IF(ISERROR(VALUE(SUBSTITUTE(OFFSET(A12,-1,0,1,1),".",""))),"1",IF(ISERROR(FIND("`",SUBSTITUTE(OFFSET(A12,-1,0,1,1),".","`",1))),TEXT(VALUE(OFFSET(A12,-1,0,1,1))+1,"#"),TEXT(VALUE(LEFT(OFFSET(A12,-1,0,1,1),FIND("`",SUBSTITUTE(OFFSET(A12,-1,0,1,1),".","`",1))-1))+1,"#")))</f>
        <v/>
      </c>
      <c r="B12" s="71" t="inlineStr">
        <is>
          <t>[ Task Category ]</t>
        </is>
      </c>
      <c r="C12" s="72" t="inlineStr">
        <is>
          <t>[ name ]</t>
        </is>
      </c>
      <c r="D12" s="73" t="n"/>
      <c r="E12" s="73" t="n"/>
      <c r="F12" s="73" t="n"/>
      <c r="G12" s="273">
        <f>MIN(G13:G25)</f>
        <v/>
      </c>
      <c r="H12" s="273">
        <f>MAX(H13:H25)</f>
        <v/>
      </c>
      <c r="I12" s="74">
        <f>NETWORKDAYS(G12,H12,holidays)</f>
        <v/>
      </c>
      <c r="J12" s="83">
        <f>SUMPRODUCT(I13:I25,J13:J25)/SUM(I13:I25)</f>
        <v/>
      </c>
      <c r="K12" s="75">
        <f>IF(OR(G12=0,H12=0),0,H12-G12+1)</f>
        <v/>
      </c>
      <c r="L12" s="75">
        <f>MIN(K12,WORKDAY(G12,ROUNDDOWN(J12*I12,0),holidays)-G12)</f>
        <v/>
      </c>
      <c r="M12" s="74">
        <f>K12-L12</f>
        <v/>
      </c>
      <c r="N12" s="113" t="inlineStr">
        <is>
          <t>k</t>
        </is>
      </c>
      <c r="O12" s="17" t="n"/>
      <c r="P12" s="111" t="n"/>
      <c r="Q12" s="111" t="n"/>
      <c r="R12" s="111" t="n"/>
      <c r="S12" s="111" t="n"/>
      <c r="T12" s="111" t="n"/>
      <c r="U12" s="111" t="n"/>
      <c r="V12" s="111" t="n"/>
      <c r="W12" s="111" t="n"/>
      <c r="X12" s="111" t="n"/>
      <c r="Y12" s="111" t="n"/>
      <c r="Z12" s="111" t="n"/>
      <c r="AA12" s="111" t="n"/>
      <c r="AB12" s="111" t="n"/>
      <c r="AC12" s="111" t="n"/>
      <c r="AD12" s="111" t="n"/>
      <c r="AE12" s="111" t="n"/>
      <c r="AF12" s="111" t="n"/>
      <c r="AG12" s="111" t="n"/>
      <c r="AH12" s="111" t="n"/>
      <c r="AI12" s="111" t="n"/>
      <c r="AJ12" s="111" t="n"/>
      <c r="AK12" s="111" t="n"/>
      <c r="AL12" s="111" t="n"/>
      <c r="AM12" s="111" t="n"/>
      <c r="AN12" s="111" t="n"/>
      <c r="AO12" s="111" t="n"/>
      <c r="AP12" s="111" t="n"/>
      <c r="AQ12" s="111" t="n"/>
      <c r="AR12" s="111" t="n"/>
      <c r="AS12" s="111" t="n"/>
      <c r="AT12" s="111" t="n"/>
      <c r="AU12" s="111" t="n"/>
      <c r="AV12" s="111" t="n"/>
      <c r="AW12" s="111" t="n"/>
      <c r="AX12" s="111" t="n"/>
      <c r="AY12" s="111" t="n"/>
      <c r="AZ12" s="111" t="n"/>
      <c r="BA12" s="111" t="n"/>
      <c r="BB12" s="111" t="n"/>
      <c r="BC12" s="111" t="n"/>
      <c r="BD12" s="111" t="n"/>
      <c r="BE12" s="111" t="n"/>
      <c r="BF12" s="111" t="n"/>
      <c r="BG12" s="111" t="n"/>
      <c r="BH12" s="111" t="n"/>
      <c r="BI12" s="111" t="n"/>
      <c r="BJ12" s="111" t="n"/>
      <c r="BK12" s="111" t="n"/>
      <c r="BL12" s="111" t="n"/>
      <c r="BM12" s="111" t="n"/>
      <c r="BN12" s="111" t="n"/>
      <c r="BO12" s="111" t="n"/>
      <c r="BP12" s="111" t="n"/>
      <c r="BQ12" s="111" t="n"/>
      <c r="BR12" s="111" t="n"/>
      <c r="BS12" s="111" t="n"/>
      <c r="BT12" s="111" t="n"/>
      <c r="BU12" s="111" t="n"/>
      <c r="BV12" s="111" t="n"/>
      <c r="BW12" s="111" t="n"/>
      <c r="BX12" s="111" t="n"/>
      <c r="BY12" s="111" t="n"/>
      <c r="BZ12" s="111" t="n"/>
      <c r="CA12" s="111" t="n"/>
      <c r="CB12" s="111" t="n"/>
      <c r="CC12" s="111" t="n"/>
      <c r="CD12" s="111" t="n"/>
      <c r="CE12" s="111" t="n"/>
      <c r="CF12" s="111" t="n"/>
      <c r="CG12" s="111" t="n"/>
      <c r="CH12" s="111" t="n"/>
      <c r="CI12" s="111" t="n"/>
      <c r="CJ12" s="111" t="n"/>
      <c r="CK12" s="111" t="n"/>
      <c r="CL12" s="111" t="n"/>
      <c r="CM12" s="111" t="n"/>
      <c r="CN12" s="111" t="n"/>
      <c r="CO12" s="111" t="n"/>
      <c r="CP12" s="111" t="n"/>
      <c r="CQ12" s="111" t="n"/>
      <c r="CR12" s="111" t="n"/>
      <c r="CS12" s="111" t="n"/>
      <c r="CT12" s="111" t="n"/>
      <c r="CU12" s="111" t="n"/>
      <c r="CV12" s="111" t="n"/>
      <c r="CW12" s="111" t="n"/>
      <c r="CX12" s="111" t="n"/>
      <c r="CY12" s="111" t="n"/>
      <c r="CZ12" s="111" t="n"/>
      <c r="DA12" s="111" t="n"/>
      <c r="DB12" s="111" t="n"/>
      <c r="DC12" s="111" t="n"/>
      <c r="DD12" s="111" t="n"/>
      <c r="DE12" s="111" t="n"/>
      <c r="DF12" s="111" t="n"/>
      <c r="DG12" s="111" t="n"/>
      <c r="DH12" s="111" t="n"/>
      <c r="DI12" s="111" t="n"/>
      <c r="DJ12" s="111" t="n"/>
      <c r="DK12" s="111" t="n"/>
      <c r="DL12" s="111" t="n"/>
      <c r="DM12" s="111" t="n"/>
      <c r="DN12" s="111" t="n"/>
      <c r="DO12" s="111" t="n"/>
      <c r="DP12" s="111" t="n"/>
      <c r="DQ12" s="111" t="n"/>
      <c r="DR12" s="111" t="n"/>
      <c r="DS12" s="111" t="n"/>
      <c r="DT12" s="111" t="n"/>
      <c r="DU12" s="111" t="n"/>
      <c r="DV12" s="111" t="n"/>
      <c r="DW12" s="111" t="n"/>
      <c r="DX12" s="111" t="n"/>
      <c r="DY12" s="111" t="n"/>
      <c r="DZ12" s="111" t="n"/>
      <c r="EA12" s="111" t="n"/>
      <c r="EB12" s="111" t="n"/>
      <c r="EC12" s="111" t="n"/>
      <c r="ED12" s="111" t="n"/>
      <c r="EE12" s="111" t="n"/>
      <c r="EF12" s="111" t="n"/>
      <c r="EG12" s="111" t="n"/>
      <c r="EH12" s="111" t="n"/>
      <c r="EI12" s="111" t="n"/>
      <c r="EJ12" s="111" t="n"/>
      <c r="EK12" s="111" t="n"/>
      <c r="EL12" s="111" t="n"/>
      <c r="EM12" s="111" t="n"/>
      <c r="EN12" s="111" t="n"/>
      <c r="EO12" s="111" t="n"/>
      <c r="EP12" s="111" t="n"/>
      <c r="EQ12" s="111" t="n"/>
      <c r="ER12" s="111" t="n"/>
      <c r="ES12" s="111" t="n"/>
      <c r="ET12" s="111" t="n"/>
      <c r="EU12" s="111" t="n"/>
      <c r="EV12" s="111" t="n"/>
      <c r="EW12" s="111" t="n"/>
      <c r="EX12" s="111" t="n"/>
      <c r="EY12" s="111" t="n"/>
      <c r="EZ12" s="111" t="n"/>
      <c r="FA12" s="111" t="n"/>
      <c r="FB12" s="111" t="n"/>
      <c r="FC12" s="111" t="n"/>
      <c r="FD12" s="111" t="n"/>
      <c r="FE12" s="111" t="n"/>
      <c r="FF12" s="111" t="n"/>
      <c r="FG12" s="111" t="n"/>
      <c r="FH12" s="111" t="n"/>
      <c r="FI12" s="111" t="n"/>
      <c r="FJ12" s="111" t="n"/>
      <c r="FK12" s="111" t="n"/>
      <c r="FL12" s="111" t="n"/>
      <c r="FM12" s="111" t="n"/>
      <c r="FN12" s="111" t="n"/>
      <c r="FO12" s="111" t="n"/>
      <c r="FP12" s="111" t="n"/>
      <c r="FQ12" s="111" t="n"/>
      <c r="FR12" s="111" t="n"/>
      <c r="FS12" s="111" t="n"/>
      <c r="FT12" s="111" t="n"/>
      <c r="FU12" s="111" t="n"/>
      <c r="FV12" s="111" t="n"/>
      <c r="FW12" s="111" t="n"/>
      <c r="FX12" s="111" t="n"/>
      <c r="FY12" s="111" t="n"/>
      <c r="FZ12" s="111" t="n"/>
      <c r="GA12" s="111" t="n"/>
      <c r="GB12" s="111" t="n"/>
      <c r="GC12" s="111" t="n"/>
      <c r="GD12" s="111" t="n"/>
      <c r="GE12" s="111" t="n"/>
      <c r="GF12" s="111" t="n"/>
      <c r="GG12" s="111" t="n"/>
      <c r="GH12" s="111" t="n"/>
      <c r="GI12" s="111" t="n"/>
      <c r="GJ12" s="111" t="n"/>
      <c r="GK12" s="111" t="n"/>
      <c r="GL12" s="111" t="n"/>
      <c r="GM12" s="111" t="n"/>
      <c r="GN12" s="111" t="n"/>
      <c r="GO12" s="111" t="n"/>
      <c r="GP12" s="111" t="n"/>
      <c r="GQ12" s="111" t="n"/>
      <c r="GR12" s="111" t="n"/>
      <c r="GS12" s="111" t="n"/>
      <c r="GT12" s="111" t="n"/>
      <c r="GU12" s="111" t="n"/>
      <c r="GV12" s="111" t="n"/>
      <c r="GW12" s="111" t="n"/>
      <c r="GX12" s="111" t="n"/>
      <c r="GY12" s="111" t="n"/>
      <c r="GZ12" s="111" t="n"/>
      <c r="HA12" s="111" t="n"/>
      <c r="HB12" s="111" t="n"/>
      <c r="HC12" s="111" t="n"/>
      <c r="HD12" s="111" t="n"/>
      <c r="HE12" s="111" t="n"/>
      <c r="HF12" s="111" t="n"/>
      <c r="HG12" s="111" t="n"/>
      <c r="HH12" s="111" t="n"/>
      <c r="HI12" s="111" t="n"/>
      <c r="HJ12" s="111" t="n"/>
      <c r="HK12" s="111" t="n"/>
      <c r="HL12" s="111" t="n"/>
      <c r="HM12" s="111" t="n"/>
      <c r="HN12" s="111" t="n"/>
      <c r="HO12" s="111" t="n"/>
      <c r="HP12" s="111" t="n"/>
      <c r="HQ12" s="111" t="n"/>
      <c r="HR12" s="111" t="n"/>
      <c r="HS12" s="111" t="n"/>
      <c r="HT12" s="111" t="n"/>
      <c r="HU12" s="111" t="n"/>
      <c r="HV12" s="111" t="n"/>
      <c r="HW12" s="111" t="n"/>
      <c r="HX12" s="111" t="n"/>
      <c r="HY12" s="111" t="n"/>
      <c r="HZ12" s="111" t="n"/>
      <c r="IA12" s="111" t="n"/>
      <c r="IB12" s="111" t="n"/>
      <c r="IC12" s="111" t="n"/>
      <c r="ID12" s="111" t="n"/>
      <c r="IE12" s="111" t="n"/>
      <c r="IF12" s="111" t="n"/>
      <c r="IG12" s="111" t="n"/>
      <c r="IH12" s="111" t="n"/>
      <c r="II12" s="111" t="n"/>
      <c r="IJ12" s="111" t="n"/>
      <c r="IK12" s="111" t="n"/>
      <c r="IL12" s="111" t="n"/>
      <c r="IM12" s="111" t="n"/>
      <c r="IN12" s="111" t="n"/>
      <c r="IO12" s="111" t="n"/>
      <c r="IP12" s="111" t="n"/>
      <c r="IQ12" s="111" t="n"/>
      <c r="IR12" s="111" t="n"/>
      <c r="IS12" s="111" t="n"/>
      <c r="IT12" s="111" t="n"/>
      <c r="IU12" s="111" t="n"/>
      <c r="IV12" s="111" t="n"/>
      <c r="IW12" s="111" t="n"/>
      <c r="IX12" s="111" t="n"/>
      <c r="IY12" s="111" t="n"/>
      <c r="IZ12" s="111" t="n"/>
      <c r="JA12" s="111" t="n"/>
      <c r="JB12" s="111" t="n"/>
      <c r="JC12" s="111" t="n"/>
      <c r="JD12" s="111" t="n"/>
      <c r="JE12" s="111" t="n"/>
      <c r="JF12" s="111" t="n"/>
      <c r="JG12" s="111" t="n"/>
      <c r="JH12" s="111" t="n"/>
      <c r="JI12" s="111" t="n"/>
      <c r="JJ12" s="111" t="n"/>
      <c r="JK12" s="111" t="n"/>
      <c r="JL12" s="111" t="n"/>
      <c r="JM12" s="111" t="n"/>
      <c r="JN12" s="111" t="n"/>
      <c r="JO12" s="111" t="n"/>
      <c r="JP12" s="111" t="n"/>
      <c r="JQ12" s="111" t="n"/>
      <c r="JR12" s="111" t="n"/>
      <c r="JS12" s="111" t="n"/>
      <c r="JT12" s="111" t="n"/>
      <c r="JU12" s="111" t="n"/>
      <c r="JV12" s="111" t="n"/>
      <c r="JW12" s="111" t="n"/>
      <c r="JX12" s="111" t="n"/>
      <c r="JY12" s="111" t="n"/>
      <c r="JZ12" s="111" t="n"/>
      <c r="KA12" s="111" t="n"/>
      <c r="KB12" s="111" t="n"/>
      <c r="KC12" s="111" t="n"/>
      <c r="KD12" s="111" t="n"/>
      <c r="KE12" s="111" t="n"/>
      <c r="KF12" s="111" t="n"/>
      <c r="KG12" s="111" t="n"/>
      <c r="KH12" s="111" t="n"/>
      <c r="KI12" s="111" t="n"/>
      <c r="KJ12" s="111" t="n"/>
      <c r="KK12" s="111" t="n"/>
      <c r="KL12" s="111" t="n"/>
      <c r="KM12" s="111" t="n"/>
      <c r="KN12" s="111" t="n"/>
      <c r="KO12" s="111" t="n"/>
      <c r="KP12" s="111" t="n"/>
      <c r="KQ12" s="111" t="n"/>
      <c r="KR12" s="111" t="n"/>
      <c r="KS12" s="111" t="n"/>
      <c r="KT12" s="111" t="n"/>
      <c r="KU12" s="111" t="n"/>
      <c r="KV12" s="111" t="n"/>
      <c r="KW12" s="111" t="n"/>
      <c r="KX12" s="111" t="n"/>
      <c r="KY12" s="111" t="n"/>
      <c r="KZ12" s="111" t="n"/>
      <c r="LA12" s="111" t="n"/>
      <c r="LB12" s="111" t="n"/>
      <c r="LC12" s="111" t="n"/>
      <c r="LD12" s="111" t="n"/>
      <c r="LE12" s="111" t="n"/>
      <c r="LF12" s="111" t="n"/>
      <c r="LG12" s="111" t="n"/>
      <c r="LH12" s="111" t="n"/>
      <c r="LI12" s="111" t="n"/>
      <c r="LJ12" s="111" t="n"/>
      <c r="LK12" s="111" t="n"/>
      <c r="LL12" s="111" t="n"/>
      <c r="LM12" s="111" t="n"/>
      <c r="LN12" s="111" t="n"/>
      <c r="LO12" s="111" t="n"/>
      <c r="LP12" s="111" t="n"/>
      <c r="LQ12" s="111" t="n"/>
      <c r="LR12" s="111" t="n"/>
      <c r="LS12" s="111" t="n"/>
      <c r="LT12" s="111" t="n"/>
      <c r="LU12" s="111" t="n"/>
      <c r="LV12" s="111" t="n"/>
      <c r="LW12" s="111" t="n"/>
      <c r="LX12" s="111" t="n"/>
      <c r="LY12" s="111" t="n"/>
      <c r="LZ12" s="111" t="n"/>
      <c r="MA12" s="111" t="n"/>
      <c r="MB12" s="111" t="n"/>
      <c r="MC12" s="111" t="n"/>
      <c r="MD12" s="111" t="n"/>
      <c r="ME12" s="111" t="n"/>
      <c r="MF12" s="111" t="n"/>
      <c r="MG12" s="111" t="n"/>
      <c r="MH12" s="111" t="n"/>
      <c r="MI12" s="111" t="n"/>
      <c r="MJ12" s="111" t="n"/>
      <c r="MK12" s="111" t="n"/>
      <c r="ML12" s="111" t="n"/>
      <c r="MM12" s="111" t="n"/>
      <c r="MN12" s="111" t="n"/>
      <c r="MO12" s="111" t="n"/>
      <c r="MP12" s="111" t="n"/>
      <c r="MQ12" s="111" t="n"/>
      <c r="MR12" s="111" t="n"/>
      <c r="MS12" s="111" t="n"/>
      <c r="MT12" s="111" t="n"/>
      <c r="MU12" s="111" t="n"/>
      <c r="MV12" s="111" t="n"/>
      <c r="MW12" s="111" t="n"/>
      <c r="MX12" s="111" t="n"/>
      <c r="MY12" s="111" t="n"/>
      <c r="MZ12" s="111" t="n"/>
      <c r="NA12" s="111" t="n"/>
      <c r="NB12" s="111" t="n"/>
      <c r="NC12" s="111" t="n"/>
      <c r="ND12" s="111" t="n"/>
      <c r="NE12" s="111" t="n"/>
      <c r="NF12" s="111" t="n"/>
      <c r="NG12" s="111" t="n"/>
      <c r="NH12" s="111" t="n"/>
      <c r="NI12" s="111" t="n"/>
      <c r="NJ12" s="111" t="n"/>
      <c r="NK12" s="111" t="n"/>
      <c r="NL12" s="111" t="n"/>
      <c r="NM12" s="111" t="n"/>
      <c r="NN12" s="111" t="n"/>
      <c r="NO12" s="111" t="n"/>
    </row>
    <row r="13" customFormat="1" s="17">
      <c r="A13" s="33">
        <f>IF(ISERROR(VALUE(SUBSTITUTE(OFFSET(A13,-1,0,1,1),".",""))),"0.1",IF(ISERROR(FIND("`",SUBSTITUTE(OFFSET(A13,-1,0,1,1),".","`",1))),OFFSET(A13,-1,0,1,1)&amp;".1",LEFT(OFFSET(A13,-1,0,1,1),FIND("`",SUBSTITUTE(OFFSET(A13,-1,0,1,1),".","`",1)))&amp;IF(ISERROR(FIND("`",SUBSTITUTE(OFFSET(A13,-1,0,1,1),".","`",2))),VALUE(RIGHT(OFFSET(A13,-1,0,1,1),LEN(OFFSET(A13,-1,0,1,1))-FIND("`",SUBSTITUTE(OFFSET(A13,-1,0,1,1),".","`",1))))+1,VALUE(MID(OFFSET(A13,-1,0,1,1),FIND("`",SUBSTITUTE(OFFSET(A13,-1,0,1,1),".","`",1))+1,(FIND("`",SUBSTITUTE(OFFSET(A13,-1,0,1,1),".","`",2))-FIND("`",SUBSTITUTE(OFFSET(A13,-1,0,1,1),".","`",1))-1)))+1)))</f>
        <v/>
      </c>
      <c r="B13" s="10" t="inlineStr">
        <is>
          <t>[ Level 2 Task ]</t>
        </is>
      </c>
      <c r="C13" s="11" t="inlineStr">
        <is>
          <t>[name]</t>
        </is>
      </c>
      <c r="D13" s="37" t="n"/>
      <c r="E13" s="37" t="n"/>
      <c r="F13" s="37" t="n"/>
      <c r="G13" s="274" t="n">
        <v>41338</v>
      </c>
      <c r="H13" s="275">
        <f>IF(I13=0,G13,WORKDAY(IF(WEEKDAY(G13,1)=7,G13+2,IF(WEEKDAY(G13,1)=1,G13+1,G13)),I13-1,holidays))</f>
        <v/>
      </c>
      <c r="I13" s="79" t="n">
        <v>10</v>
      </c>
      <c r="J13" s="80" t="n">
        <v>0.5</v>
      </c>
      <c r="K13" s="15">
        <f>IF(OR(G13=0,H13=0),0,H13-G13+1)</f>
        <v/>
      </c>
      <c r="L13" s="15">
        <f>MIN(K13,WORKDAY(G13,ROUNDDOWN(J13*I13,0),holidays)-G13)</f>
        <v/>
      </c>
      <c r="M13" s="14">
        <f>K13-L13</f>
        <v/>
      </c>
      <c r="N13" s="113" t="n"/>
      <c r="O13" s="17" t="n"/>
      <c r="P13" s="111" t="n"/>
      <c r="Q13" s="111" t="n"/>
      <c r="R13" s="111" t="n"/>
      <c r="S13" s="111" t="n"/>
      <c r="T13" s="111" t="n"/>
      <c r="U13" s="111" t="n"/>
      <c r="V13" s="111" t="n"/>
      <c r="W13" s="111" t="n"/>
      <c r="X13" s="111" t="n"/>
      <c r="Y13" s="111" t="n"/>
      <c r="Z13" s="111" t="n"/>
      <c r="AA13" s="111" t="n"/>
      <c r="AB13" s="111" t="n"/>
      <c r="AC13" s="111" t="n"/>
      <c r="AD13" s="111" t="n"/>
      <c r="AE13" s="111" t="n"/>
      <c r="AF13" s="111" t="n"/>
      <c r="AG13" s="111" t="n"/>
      <c r="AH13" s="111" t="n"/>
      <c r="AI13" s="111" t="n"/>
      <c r="AJ13" s="111" t="n"/>
      <c r="AK13" s="111" t="n"/>
      <c r="AL13" s="111" t="n"/>
      <c r="AM13" s="111" t="n"/>
      <c r="AN13" s="111" t="n"/>
      <c r="AO13" s="111" t="n"/>
      <c r="AP13" s="111" t="n"/>
      <c r="AQ13" s="111" t="n"/>
      <c r="AR13" s="111" t="n"/>
      <c r="AS13" s="111" t="n"/>
      <c r="AT13" s="111" t="n"/>
      <c r="AU13" s="111" t="n"/>
      <c r="AV13" s="111" t="n"/>
      <c r="AW13" s="111" t="n"/>
      <c r="AX13" s="111" t="n"/>
      <c r="AY13" s="111" t="n"/>
      <c r="AZ13" s="111" t="n"/>
      <c r="BA13" s="111" t="n"/>
      <c r="BB13" s="111" t="n"/>
      <c r="BC13" s="111" t="n"/>
      <c r="BD13" s="111" t="n"/>
      <c r="BE13" s="111" t="n"/>
      <c r="BF13" s="111" t="n"/>
      <c r="BG13" s="111" t="n"/>
      <c r="BH13" s="111" t="n"/>
      <c r="BI13" s="111" t="n"/>
      <c r="BJ13" s="111" t="n"/>
      <c r="BK13" s="111" t="n"/>
      <c r="BL13" s="111" t="n"/>
      <c r="BM13" s="111" t="n"/>
      <c r="BN13" s="111" t="n"/>
      <c r="BO13" s="111" t="n"/>
      <c r="BP13" s="111" t="n"/>
      <c r="BQ13" s="111" t="n"/>
      <c r="BR13" s="111" t="n"/>
      <c r="BS13" s="111" t="n"/>
      <c r="BT13" s="111" t="n"/>
      <c r="BU13" s="111" t="n"/>
      <c r="BV13" s="111" t="n"/>
      <c r="BW13" s="111" t="n"/>
      <c r="BX13" s="111" t="n"/>
      <c r="BY13" s="111" t="n"/>
      <c r="BZ13" s="111" t="n"/>
      <c r="CA13" s="111" t="n"/>
      <c r="CB13" s="111" t="n"/>
      <c r="CC13" s="111" t="n"/>
      <c r="CD13" s="111" t="n"/>
      <c r="CE13" s="111" t="n"/>
      <c r="CF13" s="111" t="n"/>
      <c r="CG13" s="111" t="n"/>
      <c r="CH13" s="111" t="n"/>
      <c r="CI13" s="111" t="n"/>
      <c r="CJ13" s="111" t="n"/>
      <c r="CK13" s="111" t="n"/>
      <c r="CL13" s="111" t="n"/>
      <c r="CM13" s="111" t="n"/>
      <c r="CN13" s="111" t="n"/>
      <c r="CO13" s="111" t="n"/>
      <c r="CP13" s="111" t="n"/>
      <c r="CQ13" s="111" t="n"/>
      <c r="CR13" s="111" t="n"/>
      <c r="CS13" s="111" t="n"/>
      <c r="CT13" s="111" t="n"/>
      <c r="CU13" s="111" t="n"/>
      <c r="CV13" s="111" t="n"/>
      <c r="CW13" s="111" t="n"/>
      <c r="CX13" s="111" t="n"/>
      <c r="CY13" s="111" t="n"/>
      <c r="CZ13" s="111" t="n"/>
      <c r="DA13" s="111" t="n"/>
      <c r="DB13" s="111" t="n"/>
      <c r="DC13" s="111" t="n"/>
      <c r="DD13" s="111" t="n"/>
      <c r="DE13" s="111" t="n"/>
      <c r="DF13" s="111" t="n"/>
      <c r="DG13" s="111" t="n"/>
      <c r="DH13" s="111" t="n"/>
      <c r="DI13" s="111" t="n"/>
      <c r="DJ13" s="111" t="n"/>
      <c r="DK13" s="111" t="n"/>
      <c r="DL13" s="111" t="n"/>
      <c r="DM13" s="111" t="n"/>
      <c r="DN13" s="111" t="n"/>
      <c r="DO13" s="111" t="n"/>
      <c r="DP13" s="111" t="n"/>
      <c r="DQ13" s="111" t="n"/>
      <c r="DR13" s="111" t="n"/>
      <c r="DS13" s="111" t="n"/>
      <c r="DT13" s="111" t="n"/>
      <c r="DU13" s="111" t="n"/>
      <c r="DV13" s="111" t="n"/>
      <c r="DW13" s="111" t="n"/>
      <c r="DX13" s="111" t="n"/>
      <c r="DY13" s="111" t="n"/>
      <c r="DZ13" s="111" t="n"/>
      <c r="EA13" s="111" t="n"/>
      <c r="EB13" s="111" t="n"/>
      <c r="EC13" s="111" t="n"/>
      <c r="ED13" s="111" t="n"/>
      <c r="EE13" s="111" t="n"/>
      <c r="EF13" s="111" t="n"/>
      <c r="EG13" s="111" t="n"/>
      <c r="EH13" s="111" t="n"/>
      <c r="EI13" s="111" t="n"/>
      <c r="EJ13" s="111" t="n"/>
      <c r="EK13" s="111" t="n"/>
      <c r="EL13" s="111" t="n"/>
      <c r="EM13" s="111" t="n"/>
      <c r="EN13" s="111" t="n"/>
      <c r="EO13" s="111" t="n"/>
      <c r="EP13" s="111" t="n"/>
      <c r="EQ13" s="111" t="n"/>
      <c r="ER13" s="111" t="n"/>
      <c r="ES13" s="111" t="n"/>
      <c r="ET13" s="111" t="n"/>
      <c r="EU13" s="111" t="n"/>
      <c r="EV13" s="111" t="n"/>
      <c r="EW13" s="111" t="n"/>
      <c r="EX13" s="111" t="n"/>
      <c r="EY13" s="111" t="n"/>
      <c r="EZ13" s="111" t="n"/>
      <c r="FA13" s="111" t="n"/>
      <c r="FB13" s="111" t="n"/>
      <c r="FC13" s="111" t="n"/>
      <c r="FD13" s="111" t="n"/>
      <c r="FE13" s="111" t="n"/>
      <c r="FF13" s="111" t="n"/>
      <c r="FG13" s="111" t="n"/>
      <c r="FH13" s="111" t="n"/>
      <c r="FI13" s="111" t="n"/>
      <c r="FJ13" s="111" t="n"/>
      <c r="FK13" s="111" t="n"/>
      <c r="FL13" s="111" t="n"/>
      <c r="FM13" s="111" t="n"/>
      <c r="FN13" s="111" t="n"/>
      <c r="FO13" s="111" t="n"/>
      <c r="FP13" s="111" t="n"/>
      <c r="FQ13" s="111" t="n"/>
      <c r="FR13" s="111" t="n"/>
      <c r="FS13" s="111" t="n"/>
      <c r="FT13" s="111" t="n"/>
      <c r="FU13" s="111" t="n"/>
      <c r="FV13" s="111" t="n"/>
      <c r="FW13" s="111" t="n"/>
      <c r="FX13" s="111" t="n"/>
      <c r="FY13" s="111" t="n"/>
      <c r="FZ13" s="111" t="n"/>
      <c r="GA13" s="111" t="n"/>
      <c r="GB13" s="111" t="n"/>
      <c r="GC13" s="111" t="n"/>
      <c r="GD13" s="111" t="n"/>
      <c r="GE13" s="111" t="n"/>
      <c r="GF13" s="111" t="n"/>
      <c r="GG13" s="111" t="n"/>
      <c r="GH13" s="111" t="n"/>
      <c r="GI13" s="111" t="n"/>
      <c r="GJ13" s="111" t="n"/>
      <c r="GK13" s="111" t="n"/>
      <c r="GL13" s="111" t="n"/>
      <c r="GM13" s="111" t="n"/>
      <c r="GN13" s="111" t="n"/>
      <c r="GO13" s="111" t="n"/>
      <c r="GP13" s="111" t="n"/>
      <c r="GQ13" s="111" t="n"/>
      <c r="GR13" s="111" t="n"/>
      <c r="GS13" s="111" t="n"/>
      <c r="GT13" s="111" t="n"/>
      <c r="GU13" s="111" t="n"/>
      <c r="GV13" s="111" t="n"/>
      <c r="GW13" s="111" t="n"/>
      <c r="GX13" s="111" t="n"/>
      <c r="GY13" s="111" t="n"/>
      <c r="GZ13" s="111" t="n"/>
      <c r="HA13" s="111" t="n"/>
      <c r="HB13" s="111" t="n"/>
      <c r="HC13" s="111" t="n"/>
      <c r="HD13" s="111" t="n"/>
      <c r="HE13" s="111" t="n"/>
      <c r="HF13" s="111" t="n"/>
      <c r="HG13" s="111" t="n"/>
      <c r="HH13" s="111" t="n"/>
      <c r="HI13" s="111" t="n"/>
      <c r="HJ13" s="111" t="n"/>
      <c r="HK13" s="111" t="n"/>
      <c r="HL13" s="111" t="n"/>
      <c r="HM13" s="111" t="n"/>
      <c r="HN13" s="111" t="n"/>
      <c r="HO13" s="111" t="n"/>
      <c r="HP13" s="111" t="n"/>
      <c r="HQ13" s="111" t="n"/>
      <c r="HR13" s="111" t="n"/>
      <c r="HS13" s="111" t="n"/>
      <c r="HT13" s="111" t="n"/>
      <c r="HU13" s="111" t="n"/>
      <c r="HV13" s="111" t="n"/>
      <c r="HW13" s="111" t="n"/>
      <c r="HX13" s="111" t="n"/>
      <c r="HY13" s="111" t="n"/>
      <c r="HZ13" s="111" t="n"/>
      <c r="IA13" s="111" t="n"/>
      <c r="IB13" s="111" t="n"/>
      <c r="IC13" s="111" t="n"/>
      <c r="ID13" s="111" t="n"/>
      <c r="IE13" s="111" t="n"/>
      <c r="IF13" s="111" t="n"/>
      <c r="IG13" s="111" t="n"/>
      <c r="IH13" s="111" t="n"/>
      <c r="II13" s="111" t="n"/>
      <c r="IJ13" s="111" t="n"/>
      <c r="IK13" s="111" t="n"/>
      <c r="IL13" s="111" t="n"/>
      <c r="IM13" s="111" t="n"/>
      <c r="IN13" s="111" t="n"/>
      <c r="IO13" s="111" t="n"/>
      <c r="IP13" s="111" t="n"/>
      <c r="IQ13" s="111" t="n"/>
      <c r="IR13" s="111" t="n"/>
      <c r="IS13" s="111" t="n"/>
      <c r="IT13" s="111" t="n"/>
      <c r="IU13" s="111" t="n"/>
      <c r="IV13" s="111" t="n"/>
      <c r="IW13" s="111" t="n"/>
      <c r="IX13" s="111" t="n"/>
      <c r="IY13" s="111" t="n"/>
      <c r="IZ13" s="111" t="n"/>
      <c r="JA13" s="111" t="n"/>
      <c r="JB13" s="111" t="n"/>
      <c r="JC13" s="111" t="n"/>
      <c r="JD13" s="111" t="n"/>
      <c r="JE13" s="111" t="n"/>
      <c r="JF13" s="111" t="n"/>
      <c r="JG13" s="111" t="n"/>
      <c r="JH13" s="111" t="n"/>
      <c r="JI13" s="111" t="n"/>
      <c r="JJ13" s="111" t="n"/>
      <c r="JK13" s="111" t="n"/>
      <c r="JL13" s="111" t="n"/>
      <c r="JM13" s="111" t="n"/>
      <c r="JN13" s="111" t="n"/>
      <c r="JO13" s="111" t="n"/>
      <c r="JP13" s="111" t="n"/>
      <c r="JQ13" s="111" t="n"/>
      <c r="JR13" s="111" t="n"/>
      <c r="JS13" s="111" t="n"/>
      <c r="JT13" s="111" t="n"/>
      <c r="JU13" s="111" t="n"/>
      <c r="JV13" s="111" t="n"/>
      <c r="JW13" s="111" t="n"/>
      <c r="JX13" s="111" t="n"/>
      <c r="JY13" s="111" t="n"/>
      <c r="JZ13" s="111" t="n"/>
      <c r="KA13" s="111" t="n"/>
      <c r="KB13" s="111" t="n"/>
      <c r="KC13" s="111" t="n"/>
      <c r="KD13" s="111" t="n"/>
      <c r="KE13" s="111" t="n"/>
      <c r="KF13" s="111" t="n"/>
      <c r="KG13" s="111" t="n"/>
      <c r="KH13" s="111" t="n"/>
      <c r="KI13" s="111" t="n"/>
      <c r="KJ13" s="111" t="n"/>
      <c r="KK13" s="111" t="n"/>
      <c r="KL13" s="111" t="n"/>
      <c r="KM13" s="111" t="n"/>
      <c r="KN13" s="111" t="n"/>
      <c r="KO13" s="111" t="n"/>
      <c r="KP13" s="111" t="n"/>
      <c r="KQ13" s="111" t="n"/>
      <c r="KR13" s="111" t="n"/>
      <c r="KS13" s="111" t="n"/>
      <c r="KT13" s="111" t="n"/>
      <c r="KU13" s="111" t="n"/>
      <c r="KV13" s="111" t="n"/>
      <c r="KW13" s="111" t="n"/>
      <c r="KX13" s="111" t="n"/>
      <c r="KY13" s="111" t="n"/>
      <c r="KZ13" s="111" t="n"/>
      <c r="LA13" s="111" t="n"/>
      <c r="LB13" s="111" t="n"/>
      <c r="LC13" s="111" t="n"/>
      <c r="LD13" s="111" t="n"/>
      <c r="LE13" s="111" t="n"/>
      <c r="LF13" s="111" t="n"/>
      <c r="LG13" s="111" t="n"/>
      <c r="LH13" s="111" t="n"/>
      <c r="LI13" s="111" t="n"/>
      <c r="LJ13" s="111" t="n"/>
      <c r="LK13" s="111" t="n"/>
      <c r="LL13" s="111" t="n"/>
      <c r="LM13" s="111" t="n"/>
      <c r="LN13" s="111" t="n"/>
      <c r="LO13" s="111" t="n"/>
      <c r="LP13" s="111" t="n"/>
      <c r="LQ13" s="111" t="n"/>
      <c r="LR13" s="111" t="n"/>
      <c r="LS13" s="111" t="n"/>
      <c r="LT13" s="111" t="n"/>
      <c r="LU13" s="111" t="n"/>
      <c r="LV13" s="111" t="n"/>
      <c r="LW13" s="111" t="n"/>
      <c r="LX13" s="111" t="n"/>
      <c r="LY13" s="111" t="n"/>
      <c r="LZ13" s="111" t="n"/>
      <c r="MA13" s="111" t="n"/>
      <c r="MB13" s="111" t="n"/>
      <c r="MC13" s="111" t="n"/>
      <c r="MD13" s="111" t="n"/>
      <c r="ME13" s="111" t="n"/>
      <c r="MF13" s="111" t="n"/>
      <c r="MG13" s="111" t="n"/>
      <c r="MH13" s="111" t="n"/>
      <c r="MI13" s="111" t="n"/>
      <c r="MJ13" s="111" t="n"/>
      <c r="MK13" s="111" t="n"/>
      <c r="ML13" s="111" t="n"/>
      <c r="MM13" s="111" t="n"/>
      <c r="MN13" s="111" t="n"/>
      <c r="MO13" s="111" t="n"/>
      <c r="MP13" s="111" t="n"/>
      <c r="MQ13" s="111" t="n"/>
      <c r="MR13" s="111" t="n"/>
      <c r="MS13" s="111" t="n"/>
      <c r="MT13" s="111" t="n"/>
      <c r="MU13" s="111" t="n"/>
      <c r="MV13" s="111" t="n"/>
      <c r="MW13" s="111" t="n"/>
      <c r="MX13" s="111" t="n"/>
      <c r="MY13" s="111" t="n"/>
      <c r="MZ13" s="111" t="n"/>
      <c r="NA13" s="111" t="n"/>
      <c r="NB13" s="111" t="n"/>
      <c r="NC13" s="111" t="n"/>
      <c r="ND13" s="111" t="n"/>
      <c r="NE13" s="111" t="n"/>
      <c r="NF13" s="111" t="n"/>
      <c r="NG13" s="111" t="n"/>
      <c r="NH13" s="111" t="n"/>
      <c r="NI13" s="111" t="n"/>
      <c r="NJ13" s="111" t="n"/>
      <c r="NK13" s="111" t="n"/>
      <c r="NL13" s="111" t="n"/>
      <c r="NM13" s="111" t="n"/>
      <c r="NN13" s="111" t="n"/>
      <c r="NO13" s="111" t="n"/>
    </row>
    <row r="14" customFormat="1" s="17">
      <c r="A14" s="33">
        <f>IF(ISERROR(VALUE(SUBSTITUTE(OFFSET(A14,-1,0,1,1),".",""))),"0.1",IF(ISERROR(FIND("`",SUBSTITUTE(OFFSET(A14,-1,0,1,1),".","`",1))),OFFSET(A14,-1,0,1,1)&amp;".1",LEFT(OFFSET(A14,-1,0,1,1),FIND("`",SUBSTITUTE(OFFSET(A14,-1,0,1,1),".","`",1)))&amp;IF(ISERROR(FIND("`",SUBSTITUTE(OFFSET(A14,-1,0,1,1),".","`",2))),VALUE(RIGHT(OFFSET(A14,-1,0,1,1),LEN(OFFSET(A14,-1,0,1,1))-FIND("`",SUBSTITUTE(OFFSET(A14,-1,0,1,1),".","`",1))))+1,VALUE(MID(OFFSET(A14,-1,0,1,1),FIND("`",SUBSTITUTE(OFFSET(A14,-1,0,1,1),".","`",1))+1,(FIND("`",SUBSTITUTE(OFFSET(A14,-1,0,1,1),".","`",2))-FIND("`",SUBSTITUTE(OFFSET(A14,-1,0,1,1),".","`",1))-1)))+1)))</f>
        <v/>
      </c>
      <c r="B14" s="10" t="inlineStr">
        <is>
          <t>[ Level 2 Task ]</t>
        </is>
      </c>
      <c r="C14" s="11" t="inlineStr">
        <is>
          <t>[name]</t>
        </is>
      </c>
      <c r="D14" s="37" t="n"/>
      <c r="E14" s="37" t="n"/>
      <c r="F14" s="37" t="n"/>
      <c r="G14" s="274" t="n">
        <v>41340</v>
      </c>
      <c r="H14" s="275">
        <f>IF(I14=0,G14,WORKDAY(IF(WEEKDAY(G14,1)=7,G14+2,IF(WEEKDAY(G14,1)=1,G14+1,G14)),I14-1,holidays))</f>
        <v/>
      </c>
      <c r="I14" s="79" t="n">
        <v>15</v>
      </c>
      <c r="J14" s="80" t="n">
        <v>0.5</v>
      </c>
      <c r="K14" s="15">
        <f>IF(OR(G14=0,H14=0),0,H14-G14+1)</f>
        <v/>
      </c>
      <c r="L14" s="15">
        <f>MIN(K14,WORKDAY(G14,ROUNDDOWN(J14*I14,0),holidays)-G14)</f>
        <v/>
      </c>
      <c r="M14" s="14">
        <f>K14-L14</f>
        <v/>
      </c>
      <c r="N14" s="113" t="inlineStr">
        <is>
          <t>r</t>
        </is>
      </c>
      <c r="O14" s="17" t="n"/>
      <c r="P14" s="111" t="n"/>
      <c r="Q14" s="111" t="n"/>
      <c r="R14" s="111" t="n"/>
      <c r="S14" s="111" t="n"/>
      <c r="T14" s="111" t="n"/>
      <c r="U14" s="111" t="n"/>
      <c r="V14" s="111" t="n"/>
      <c r="W14" s="111" t="n"/>
      <c r="X14" s="111" t="n"/>
      <c r="Y14" s="111" t="n"/>
      <c r="Z14" s="111" t="n"/>
      <c r="AA14" s="111" t="n"/>
      <c r="AB14" s="111" t="n"/>
      <c r="AC14" s="111" t="n"/>
      <c r="AD14" s="111" t="n"/>
      <c r="AE14" s="111" t="n"/>
      <c r="AF14" s="111" t="n"/>
      <c r="AG14" s="111" t="n"/>
      <c r="AH14" s="111" t="n"/>
      <c r="AI14" s="111" t="n"/>
      <c r="AJ14" s="111" t="n"/>
      <c r="AK14" s="111" t="n"/>
      <c r="AL14" s="111" t="n"/>
      <c r="AM14" s="111" t="n"/>
      <c r="AN14" s="111" t="n"/>
      <c r="AO14" s="111" t="n"/>
      <c r="AP14" s="111" t="n"/>
      <c r="AQ14" s="111" t="n"/>
      <c r="AR14" s="111" t="n"/>
      <c r="AS14" s="111" t="n"/>
      <c r="AT14" s="111" t="n"/>
      <c r="AU14" s="111" t="n"/>
      <c r="AV14" s="111" t="n"/>
      <c r="AW14" s="111" t="n"/>
      <c r="AX14" s="111" t="n"/>
      <c r="AY14" s="111" t="n"/>
      <c r="AZ14" s="111" t="n"/>
      <c r="BA14" s="111" t="n"/>
      <c r="BB14" s="111" t="n"/>
      <c r="BC14" s="111" t="n"/>
      <c r="BD14" s="111" t="n"/>
      <c r="BE14" s="111" t="n"/>
      <c r="BF14" s="111" t="n"/>
      <c r="BG14" s="111" t="n"/>
      <c r="BH14" s="111" t="n"/>
      <c r="BI14" s="111" t="n"/>
      <c r="BJ14" s="111" t="n"/>
      <c r="BK14" s="111" t="n"/>
      <c r="BL14" s="111" t="n"/>
      <c r="BM14" s="111" t="n"/>
      <c r="BN14" s="111" t="n"/>
      <c r="BO14" s="111" t="n"/>
      <c r="BP14" s="111" t="n"/>
      <c r="BQ14" s="111" t="n"/>
      <c r="BR14" s="111" t="n"/>
      <c r="BS14" s="111" t="n"/>
      <c r="BT14" s="111" t="n"/>
      <c r="BU14" s="111" t="n"/>
      <c r="BV14" s="111" t="n"/>
      <c r="BW14" s="111" t="n"/>
      <c r="BX14" s="111" t="n"/>
      <c r="BY14" s="111" t="n"/>
      <c r="BZ14" s="111" t="n"/>
      <c r="CA14" s="111" t="n"/>
      <c r="CB14" s="111" t="n"/>
      <c r="CC14" s="111" t="n"/>
      <c r="CD14" s="111" t="n"/>
      <c r="CE14" s="111" t="n"/>
      <c r="CF14" s="111" t="n"/>
      <c r="CG14" s="111" t="n"/>
      <c r="CH14" s="111" t="n"/>
      <c r="CI14" s="111" t="n"/>
      <c r="CJ14" s="111" t="n"/>
      <c r="CK14" s="111" t="n"/>
      <c r="CL14" s="111" t="n"/>
      <c r="CM14" s="111" t="n"/>
      <c r="CN14" s="111" t="n"/>
      <c r="CO14" s="111" t="n"/>
      <c r="CP14" s="111" t="n"/>
      <c r="CQ14" s="111" t="n"/>
      <c r="CR14" s="111" t="n"/>
      <c r="CS14" s="111" t="n"/>
      <c r="CT14" s="111" t="n"/>
      <c r="CU14" s="111" t="n"/>
      <c r="CV14" s="111" t="n"/>
      <c r="CW14" s="111" t="n"/>
      <c r="CX14" s="111" t="n"/>
      <c r="CY14" s="111" t="n"/>
      <c r="CZ14" s="111" t="n"/>
      <c r="DA14" s="111" t="n"/>
      <c r="DB14" s="111" t="n"/>
      <c r="DC14" s="111" t="n"/>
      <c r="DD14" s="111" t="n"/>
      <c r="DE14" s="111" t="n"/>
      <c r="DF14" s="111" t="n"/>
      <c r="DG14" s="111" t="n"/>
      <c r="DH14" s="111" t="n"/>
      <c r="DI14" s="111" t="n"/>
      <c r="DJ14" s="111" t="n"/>
      <c r="DK14" s="111" t="n"/>
      <c r="DL14" s="111" t="n"/>
      <c r="DM14" s="111" t="n"/>
      <c r="DN14" s="111" t="n"/>
      <c r="DO14" s="111" t="n"/>
      <c r="DP14" s="111" t="n"/>
      <c r="DQ14" s="111" t="n"/>
      <c r="DR14" s="111" t="n"/>
      <c r="DS14" s="111" t="n"/>
      <c r="DT14" s="111" t="n"/>
      <c r="DU14" s="111" t="n"/>
      <c r="DV14" s="111" t="n"/>
      <c r="DW14" s="111" t="n"/>
      <c r="DX14" s="111" t="n"/>
      <c r="DY14" s="111" t="n"/>
      <c r="DZ14" s="111" t="n"/>
      <c r="EA14" s="111" t="n"/>
      <c r="EB14" s="111" t="n"/>
      <c r="EC14" s="111" t="n"/>
      <c r="ED14" s="111" t="n"/>
      <c r="EE14" s="111" t="n"/>
      <c r="EF14" s="111" t="n"/>
      <c r="EG14" s="111" t="n"/>
      <c r="EH14" s="111" t="n"/>
      <c r="EI14" s="111" t="n"/>
      <c r="EJ14" s="111" t="n"/>
      <c r="EK14" s="111" t="n"/>
      <c r="EL14" s="111" t="n"/>
      <c r="EM14" s="111" t="n"/>
      <c r="EN14" s="111" t="n"/>
      <c r="EO14" s="111" t="n"/>
      <c r="EP14" s="111" t="n"/>
      <c r="EQ14" s="111" t="n"/>
      <c r="ER14" s="111" t="n"/>
      <c r="ES14" s="111" t="n"/>
      <c r="ET14" s="111" t="n"/>
      <c r="EU14" s="111" t="n"/>
      <c r="EV14" s="111" t="n"/>
      <c r="EW14" s="111" t="n"/>
      <c r="EX14" s="111" t="n"/>
      <c r="EY14" s="111" t="n"/>
      <c r="EZ14" s="111" t="n"/>
      <c r="FA14" s="111" t="n"/>
      <c r="FB14" s="111" t="n"/>
      <c r="FC14" s="111" t="n"/>
      <c r="FD14" s="111" t="n"/>
      <c r="FE14" s="111" t="n"/>
      <c r="FF14" s="111" t="n"/>
      <c r="FG14" s="111" t="n"/>
      <c r="FH14" s="111" t="n"/>
      <c r="FI14" s="111" t="n"/>
      <c r="FJ14" s="111" t="n"/>
      <c r="FK14" s="111" t="n"/>
      <c r="FL14" s="111" t="n"/>
      <c r="FM14" s="111" t="n"/>
      <c r="FN14" s="111" t="n"/>
      <c r="FO14" s="111" t="n"/>
      <c r="FP14" s="111" t="n"/>
      <c r="FQ14" s="111" t="n"/>
      <c r="FR14" s="111" t="n"/>
      <c r="FS14" s="111" t="n"/>
      <c r="FT14" s="111" t="n"/>
      <c r="FU14" s="111" t="n"/>
      <c r="FV14" s="111" t="n"/>
      <c r="FW14" s="111" t="n"/>
      <c r="FX14" s="111" t="n"/>
      <c r="FY14" s="111" t="n"/>
      <c r="FZ14" s="111" t="n"/>
      <c r="GA14" s="111" t="n"/>
      <c r="GB14" s="111" t="n"/>
      <c r="GC14" s="111" t="n"/>
      <c r="GD14" s="111" t="n"/>
      <c r="GE14" s="111" t="n"/>
      <c r="GF14" s="111" t="n"/>
      <c r="GG14" s="111" t="n"/>
      <c r="GH14" s="111" t="n"/>
      <c r="GI14" s="111" t="n"/>
      <c r="GJ14" s="111" t="n"/>
      <c r="GK14" s="111" t="n"/>
      <c r="GL14" s="111" t="n"/>
      <c r="GM14" s="111" t="n"/>
      <c r="GN14" s="111" t="n"/>
      <c r="GO14" s="111" t="n"/>
      <c r="GP14" s="111" t="n"/>
      <c r="GQ14" s="111" t="n"/>
      <c r="GR14" s="111" t="n"/>
      <c r="GS14" s="111" t="n"/>
      <c r="GT14" s="111" t="n"/>
      <c r="GU14" s="111" t="n"/>
      <c r="GV14" s="111" t="n"/>
      <c r="GW14" s="111" t="n"/>
      <c r="GX14" s="111" t="n"/>
      <c r="GY14" s="111" t="n"/>
      <c r="GZ14" s="111" t="n"/>
      <c r="HA14" s="111" t="n"/>
      <c r="HB14" s="111" t="n"/>
      <c r="HC14" s="111" t="n"/>
      <c r="HD14" s="111" t="n"/>
      <c r="HE14" s="111" t="n"/>
      <c r="HF14" s="111" t="n"/>
      <c r="HG14" s="111" t="n"/>
      <c r="HH14" s="111" t="n"/>
      <c r="HI14" s="111" t="n"/>
      <c r="HJ14" s="111" t="n"/>
      <c r="HK14" s="111" t="n"/>
      <c r="HL14" s="111" t="n"/>
      <c r="HM14" s="111" t="n"/>
      <c r="HN14" s="111" t="n"/>
      <c r="HO14" s="111" t="n"/>
      <c r="HP14" s="111" t="n"/>
      <c r="HQ14" s="111" t="n"/>
      <c r="HR14" s="111" t="n"/>
      <c r="HS14" s="111" t="n"/>
      <c r="HT14" s="111" t="n"/>
      <c r="HU14" s="111" t="n"/>
      <c r="HV14" s="111" t="n"/>
      <c r="HW14" s="111" t="n"/>
      <c r="HX14" s="111" t="n"/>
      <c r="HY14" s="111" t="n"/>
      <c r="HZ14" s="111" t="n"/>
      <c r="IA14" s="111" t="n"/>
      <c r="IB14" s="111" t="n"/>
      <c r="IC14" s="111" t="n"/>
      <c r="ID14" s="111" t="n"/>
      <c r="IE14" s="111" t="n"/>
      <c r="IF14" s="111" t="n"/>
      <c r="IG14" s="111" t="n"/>
      <c r="IH14" s="111" t="n"/>
      <c r="II14" s="111" t="n"/>
      <c r="IJ14" s="111" t="n"/>
      <c r="IK14" s="111" t="n"/>
      <c r="IL14" s="111" t="n"/>
      <c r="IM14" s="111" t="n"/>
      <c r="IN14" s="111" t="n"/>
      <c r="IO14" s="111" t="n"/>
      <c r="IP14" s="111" t="n"/>
      <c r="IQ14" s="111" t="n"/>
      <c r="IR14" s="111" t="n"/>
      <c r="IS14" s="111" t="n"/>
      <c r="IT14" s="111" t="n"/>
      <c r="IU14" s="111" t="n"/>
      <c r="IV14" s="111" t="n"/>
      <c r="IW14" s="111" t="n"/>
      <c r="IX14" s="111" t="n"/>
      <c r="IY14" s="111" t="n"/>
      <c r="IZ14" s="111" t="n"/>
      <c r="JA14" s="111" t="n"/>
      <c r="JB14" s="111" t="n"/>
      <c r="JC14" s="111" t="n"/>
      <c r="JD14" s="111" t="n"/>
      <c r="JE14" s="111" t="n"/>
      <c r="JF14" s="111" t="n"/>
      <c r="JG14" s="111" t="n"/>
      <c r="JH14" s="111" t="n"/>
      <c r="JI14" s="111" t="n"/>
      <c r="JJ14" s="111" t="n"/>
      <c r="JK14" s="111" t="n"/>
      <c r="JL14" s="111" t="n"/>
      <c r="JM14" s="111" t="n"/>
      <c r="JN14" s="111" t="n"/>
      <c r="JO14" s="111" t="n"/>
      <c r="JP14" s="111" t="n"/>
      <c r="JQ14" s="111" t="n"/>
      <c r="JR14" s="111" t="n"/>
      <c r="JS14" s="111" t="n"/>
      <c r="JT14" s="111" t="n"/>
      <c r="JU14" s="111" t="n"/>
      <c r="JV14" s="111" t="n"/>
      <c r="JW14" s="111" t="n"/>
      <c r="JX14" s="111" t="n"/>
      <c r="JY14" s="111" t="n"/>
      <c r="JZ14" s="111" t="n"/>
      <c r="KA14" s="111" t="n"/>
      <c r="KB14" s="111" t="n"/>
      <c r="KC14" s="111" t="n"/>
      <c r="KD14" s="111" t="n"/>
      <c r="KE14" s="111" t="n"/>
      <c r="KF14" s="111" t="n"/>
      <c r="KG14" s="111" t="n"/>
      <c r="KH14" s="111" t="n"/>
      <c r="KI14" s="111" t="n"/>
      <c r="KJ14" s="111" t="n"/>
      <c r="KK14" s="111" t="n"/>
      <c r="KL14" s="111" t="n"/>
      <c r="KM14" s="111" t="n"/>
      <c r="KN14" s="111" t="n"/>
      <c r="KO14" s="111" t="n"/>
      <c r="KP14" s="111" t="n"/>
      <c r="KQ14" s="111" t="n"/>
      <c r="KR14" s="111" t="n"/>
      <c r="KS14" s="111" t="n"/>
      <c r="KT14" s="111" t="n"/>
      <c r="KU14" s="111" t="n"/>
      <c r="KV14" s="111" t="n"/>
      <c r="KW14" s="111" t="n"/>
      <c r="KX14" s="111" t="n"/>
      <c r="KY14" s="111" t="n"/>
      <c r="KZ14" s="111" t="n"/>
      <c r="LA14" s="111" t="n"/>
      <c r="LB14" s="111" t="n"/>
      <c r="LC14" s="111" t="n"/>
      <c r="LD14" s="111" t="n"/>
      <c r="LE14" s="111" t="n"/>
      <c r="LF14" s="111" t="n"/>
      <c r="LG14" s="111" t="n"/>
      <c r="LH14" s="111" t="n"/>
      <c r="LI14" s="111" t="n"/>
      <c r="LJ14" s="111" t="n"/>
      <c r="LK14" s="111" t="n"/>
      <c r="LL14" s="111" t="n"/>
      <c r="LM14" s="111" t="n"/>
      <c r="LN14" s="111" t="n"/>
      <c r="LO14" s="111" t="n"/>
      <c r="LP14" s="111" t="n"/>
      <c r="LQ14" s="111" t="n"/>
      <c r="LR14" s="111" t="n"/>
      <c r="LS14" s="111" t="n"/>
      <c r="LT14" s="111" t="n"/>
      <c r="LU14" s="111" t="n"/>
      <c r="LV14" s="111" t="n"/>
      <c r="LW14" s="111" t="n"/>
      <c r="LX14" s="111" t="n"/>
      <c r="LY14" s="111" t="n"/>
      <c r="LZ14" s="111" t="n"/>
      <c r="MA14" s="111" t="n"/>
      <c r="MB14" s="111" t="n"/>
      <c r="MC14" s="111" t="n"/>
      <c r="MD14" s="111" t="n"/>
      <c r="ME14" s="111" t="n"/>
      <c r="MF14" s="111" t="n"/>
      <c r="MG14" s="111" t="n"/>
      <c r="MH14" s="111" t="n"/>
      <c r="MI14" s="111" t="n"/>
      <c r="MJ14" s="111" t="n"/>
      <c r="MK14" s="111" t="n"/>
      <c r="ML14" s="111" t="n"/>
      <c r="MM14" s="111" t="n"/>
      <c r="MN14" s="111" t="n"/>
      <c r="MO14" s="111" t="n"/>
      <c r="MP14" s="111" t="n"/>
      <c r="MQ14" s="111" t="n"/>
      <c r="MR14" s="111" t="n"/>
      <c r="MS14" s="111" t="n"/>
      <c r="MT14" s="111" t="n"/>
      <c r="MU14" s="111" t="n"/>
      <c r="MV14" s="111" t="n"/>
      <c r="MW14" s="111" t="n"/>
      <c r="MX14" s="111" t="n"/>
      <c r="MY14" s="111" t="n"/>
      <c r="MZ14" s="111" t="n"/>
      <c r="NA14" s="111" t="n"/>
      <c r="NB14" s="111" t="n"/>
      <c r="NC14" s="111" t="n"/>
      <c r="ND14" s="111" t="n"/>
      <c r="NE14" s="111" t="n"/>
      <c r="NF14" s="111" t="n"/>
      <c r="NG14" s="111" t="n"/>
      <c r="NH14" s="111" t="n"/>
      <c r="NI14" s="111" t="n"/>
      <c r="NJ14" s="111" t="n"/>
      <c r="NK14" s="111" t="n"/>
      <c r="NL14" s="111" t="n"/>
      <c r="NM14" s="111" t="n"/>
      <c r="NN14" s="111" t="n"/>
      <c r="NO14" s="111" t="n"/>
    </row>
    <row r="15" customFormat="1" s="17">
      <c r="A15" s="33">
        <f>IF(ISERROR(VALUE(SUBSTITUTE(OFFSET(A15,-1,0,1,1),".",""))),"0.1",IF(ISERROR(FIND("`",SUBSTITUTE(OFFSET(A15,-1,0,1,1),".","`",1))),OFFSET(A15,-1,0,1,1)&amp;".1",LEFT(OFFSET(A15,-1,0,1,1),FIND("`",SUBSTITUTE(OFFSET(A15,-1,0,1,1),".","`",1)))&amp;IF(ISERROR(FIND("`",SUBSTITUTE(OFFSET(A15,-1,0,1,1),".","`",2))),VALUE(RIGHT(OFFSET(A15,-1,0,1,1),LEN(OFFSET(A15,-1,0,1,1))-FIND("`",SUBSTITUTE(OFFSET(A15,-1,0,1,1),".","`",1))))+1,VALUE(MID(OFFSET(A15,-1,0,1,1),FIND("`",SUBSTITUTE(OFFSET(A15,-1,0,1,1),".","`",1))+1,(FIND("`",SUBSTITUTE(OFFSET(A15,-1,0,1,1),".","`",2))-FIND("`",SUBSTITUTE(OFFSET(A15,-1,0,1,1),".","`",1))-1)))+1)))</f>
        <v/>
      </c>
      <c r="B15" s="10" t="inlineStr">
        <is>
          <t>Level 2</t>
        </is>
      </c>
      <c r="C15" s="11" t="n"/>
      <c r="D15" s="37" t="n"/>
      <c r="E15" s="37" t="n"/>
      <c r="F15" s="37" t="n"/>
      <c r="G15" s="274" t="n">
        <v>41342</v>
      </c>
      <c r="H15" s="275">
        <f>IF(I15=0,G15,WORKDAY(IF(WEEKDAY(G15,1)=7,G15+2,IF(WEEKDAY(G15,1)=1,G15+1,G15)),I15-1,holidays))</f>
        <v/>
      </c>
      <c r="I15" s="79" t="n">
        <v>20</v>
      </c>
      <c r="J15" s="80" t="n">
        <v>0.5</v>
      </c>
      <c r="K15" s="15">
        <f>IF(OR(G15=0,H15=0),0,H15-G15+1)</f>
        <v/>
      </c>
      <c r="L15" s="15">
        <f>MIN(K15,WORKDAY(G15,ROUNDDOWN(J15*I15,0),holidays)-G15)</f>
        <v/>
      </c>
      <c r="M15" s="14">
        <f>K15-L15</f>
        <v/>
      </c>
      <c r="N15" s="113" t="inlineStr">
        <is>
          <t>g</t>
        </is>
      </c>
      <c r="O15" s="17"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1" t="n"/>
      <c r="AY15" s="111" t="n"/>
      <c r="AZ15" s="111" t="n"/>
      <c r="BA15" s="111" t="n"/>
      <c r="BB15" s="111" t="n"/>
      <c r="BC15" s="111" t="n"/>
      <c r="BD15" s="111" t="n"/>
      <c r="BE15" s="111" t="n"/>
      <c r="BF15" s="111" t="n"/>
      <c r="BG15" s="111" t="n"/>
      <c r="BH15" s="111" t="n"/>
      <c r="BI15" s="111" t="n"/>
      <c r="BJ15" s="111" t="n"/>
      <c r="BK15" s="111" t="n"/>
      <c r="BL15" s="111" t="n"/>
      <c r="BM15" s="111" t="n"/>
      <c r="BN15" s="111" t="n"/>
      <c r="BO15" s="111" t="n"/>
      <c r="BP15" s="111" t="n"/>
      <c r="BQ15" s="111" t="n"/>
      <c r="BR15" s="111" t="n"/>
      <c r="BS15" s="111" t="n"/>
      <c r="BT15" s="111" t="n"/>
      <c r="BU15" s="111" t="n"/>
      <c r="BV15" s="111" t="n"/>
      <c r="BW15" s="111" t="n"/>
      <c r="BX15" s="111" t="n"/>
      <c r="BY15" s="111" t="n"/>
      <c r="BZ15" s="111" t="n"/>
      <c r="CA15" s="111" t="n"/>
      <c r="CB15" s="111" t="n"/>
      <c r="CC15" s="111" t="n"/>
      <c r="CD15" s="111" t="n"/>
      <c r="CE15" s="111" t="n"/>
      <c r="CF15" s="111"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1" t="n"/>
      <c r="DS15" s="111" t="n"/>
      <c r="DT15" s="111" t="n"/>
      <c r="DU15" s="111" t="n"/>
      <c r="DV15" s="111" t="n"/>
      <c r="DW15" s="111" t="n"/>
      <c r="DX15" s="111" t="n"/>
      <c r="DY15" s="111" t="n"/>
      <c r="DZ15" s="111" t="n"/>
      <c r="EA15" s="111" t="n"/>
      <c r="EB15" s="111" t="n"/>
      <c r="EC15" s="111" t="n"/>
      <c r="ED15" s="111" t="n"/>
      <c r="EE15" s="111" t="n"/>
      <c r="EF15" s="111" t="n"/>
      <c r="EG15" s="111" t="n"/>
      <c r="EH15" s="111" t="n"/>
      <c r="EI15" s="111" t="n"/>
      <c r="EJ15" s="111" t="n"/>
      <c r="EK15" s="111" t="n"/>
      <c r="EL15" s="111" t="n"/>
      <c r="EM15" s="111" t="n"/>
      <c r="EN15" s="111" t="n"/>
      <c r="EO15" s="111" t="n"/>
      <c r="EP15" s="111" t="n"/>
      <c r="EQ15" s="111" t="n"/>
      <c r="ER15" s="111" t="n"/>
      <c r="ES15" s="111" t="n"/>
      <c r="ET15" s="111" t="n"/>
      <c r="EU15" s="111" t="n"/>
      <c r="EV15" s="111" t="n"/>
      <c r="EW15" s="111" t="n"/>
      <c r="EX15" s="111" t="n"/>
      <c r="EY15" s="111" t="n"/>
      <c r="EZ15" s="111" t="n"/>
      <c r="FA15" s="111" t="n"/>
      <c r="FB15" s="111"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1" t="n"/>
      <c r="GH15" s="111" t="n"/>
      <c r="GI15" s="111" t="n"/>
      <c r="GJ15" s="111" t="n"/>
      <c r="GK15" s="111" t="n"/>
      <c r="GL15" s="111" t="n"/>
      <c r="GM15" s="111" t="n"/>
      <c r="GN15" s="111" t="n"/>
      <c r="GO15" s="111" t="n"/>
      <c r="GP15" s="111" t="n"/>
      <c r="GQ15" s="111" t="n"/>
      <c r="GR15" s="111" t="n"/>
      <c r="GS15" s="111" t="n"/>
      <c r="GT15" s="111" t="n"/>
      <c r="GU15" s="111" t="n"/>
      <c r="GV15" s="111" t="n"/>
      <c r="GW15" s="111" t="n"/>
      <c r="GX15" s="111" t="n"/>
      <c r="GY15" s="111" t="n"/>
      <c r="GZ15" s="111" t="n"/>
      <c r="HA15" s="111" t="n"/>
      <c r="HB15" s="111" t="n"/>
      <c r="HC15" s="111" t="n"/>
      <c r="HD15" s="111" t="n"/>
      <c r="HE15" s="111" t="n"/>
      <c r="HF15" s="111" t="n"/>
      <c r="HG15" s="111" t="n"/>
      <c r="HH15" s="111" t="n"/>
      <c r="HI15" s="111" t="n"/>
      <c r="HJ15" s="111" t="n"/>
      <c r="HK15" s="111" t="n"/>
      <c r="HL15" s="111" t="n"/>
      <c r="HM15" s="111" t="n"/>
      <c r="HN15" s="111" t="n"/>
      <c r="HO15" s="111" t="n"/>
      <c r="HP15" s="111" t="n"/>
      <c r="HQ15" s="111" t="n"/>
      <c r="HR15" s="111" t="n"/>
      <c r="HS15" s="111" t="n"/>
      <c r="HT15" s="111" t="n"/>
      <c r="HU15" s="111" t="n"/>
      <c r="HV15" s="111" t="n"/>
      <c r="HW15" s="111" t="n"/>
      <c r="HX15" s="111" t="n"/>
      <c r="HY15" s="111" t="n"/>
      <c r="HZ15" s="111" t="n"/>
      <c r="IA15" s="111" t="n"/>
      <c r="IB15" s="111" t="n"/>
      <c r="IC15" s="111" t="n"/>
      <c r="ID15" s="111" t="n"/>
      <c r="IE15" s="111" t="n"/>
      <c r="IF15" s="111" t="n"/>
      <c r="IG15" s="111" t="n"/>
      <c r="IH15" s="111" t="n"/>
      <c r="II15" s="111" t="n"/>
      <c r="IJ15" s="111" t="n"/>
      <c r="IK15" s="111" t="n"/>
      <c r="IL15" s="111" t="n"/>
      <c r="IM15" s="111" t="n"/>
      <c r="IN15" s="111" t="n"/>
      <c r="IO15" s="111" t="n"/>
      <c r="IP15" s="111" t="n"/>
      <c r="IQ15" s="111" t="n"/>
      <c r="IR15" s="111" t="n"/>
      <c r="IS15" s="111" t="n"/>
      <c r="IT15" s="111" t="n"/>
      <c r="IU15" s="111" t="n"/>
      <c r="IV15" s="111" t="n"/>
      <c r="IW15" s="111" t="n"/>
      <c r="IX15" s="111" t="n"/>
      <c r="IY15" s="111" t="n"/>
      <c r="IZ15" s="111" t="n"/>
      <c r="JA15" s="111" t="n"/>
      <c r="JB15" s="111" t="n"/>
      <c r="JC15" s="111" t="n"/>
      <c r="JD15" s="111" t="n"/>
      <c r="JE15" s="111" t="n"/>
      <c r="JF15" s="111" t="n"/>
      <c r="JG15" s="111" t="n"/>
      <c r="JH15" s="111" t="n"/>
      <c r="JI15" s="111" t="n"/>
      <c r="JJ15" s="111" t="n"/>
      <c r="JK15" s="111" t="n"/>
      <c r="JL15" s="111" t="n"/>
      <c r="JM15" s="111" t="n"/>
      <c r="JN15" s="111" t="n"/>
      <c r="JO15" s="111" t="n"/>
      <c r="JP15" s="111" t="n"/>
      <c r="JQ15" s="111" t="n"/>
      <c r="JR15" s="111" t="n"/>
      <c r="JS15" s="111" t="n"/>
      <c r="JT15" s="111" t="n"/>
      <c r="JU15" s="111" t="n"/>
      <c r="JV15" s="111" t="n"/>
      <c r="JW15" s="111" t="n"/>
      <c r="JX15" s="111" t="n"/>
      <c r="JY15" s="111" t="n"/>
      <c r="JZ15" s="111" t="n"/>
      <c r="KA15" s="111" t="n"/>
      <c r="KB15" s="111" t="n"/>
      <c r="KC15" s="111" t="n"/>
      <c r="KD15" s="111" t="n"/>
      <c r="KE15" s="111" t="n"/>
      <c r="KF15" s="111" t="n"/>
      <c r="KG15" s="111" t="n"/>
      <c r="KH15" s="111" t="n"/>
      <c r="KI15" s="111" t="n"/>
      <c r="KJ15" s="111" t="n"/>
      <c r="KK15" s="111" t="n"/>
      <c r="KL15" s="111" t="n"/>
      <c r="KM15" s="111" t="n"/>
      <c r="KN15" s="111" t="n"/>
      <c r="KO15" s="111" t="n"/>
      <c r="KP15" s="111" t="n"/>
      <c r="KQ15" s="111" t="n"/>
      <c r="KR15" s="111" t="n"/>
      <c r="KS15" s="111" t="n"/>
      <c r="KT15" s="111" t="n"/>
      <c r="KU15" s="111" t="n"/>
      <c r="KV15" s="111" t="n"/>
      <c r="KW15" s="111" t="n"/>
      <c r="KX15" s="111" t="n"/>
      <c r="KY15" s="111" t="n"/>
      <c r="KZ15" s="111" t="n"/>
      <c r="LA15" s="111" t="n"/>
      <c r="LB15" s="111" t="n"/>
      <c r="LC15" s="111" t="n"/>
      <c r="LD15" s="111" t="n"/>
      <c r="LE15" s="111" t="n"/>
      <c r="LF15" s="111" t="n"/>
      <c r="LG15" s="111" t="n"/>
      <c r="LH15" s="111" t="n"/>
      <c r="LI15" s="111" t="n"/>
      <c r="LJ15" s="111" t="n"/>
      <c r="LK15" s="111" t="n"/>
      <c r="LL15" s="111" t="n"/>
      <c r="LM15" s="111" t="n"/>
      <c r="LN15" s="111" t="n"/>
      <c r="LO15" s="111" t="n"/>
      <c r="LP15" s="111" t="n"/>
      <c r="LQ15" s="111" t="n"/>
      <c r="LR15" s="111" t="n"/>
      <c r="LS15" s="111" t="n"/>
      <c r="LT15" s="111" t="n"/>
      <c r="LU15" s="111" t="n"/>
      <c r="LV15" s="111" t="n"/>
      <c r="LW15" s="111" t="n"/>
      <c r="LX15" s="111" t="n"/>
      <c r="LY15" s="111" t="n"/>
      <c r="LZ15" s="111" t="n"/>
      <c r="MA15" s="111" t="n"/>
      <c r="MB15" s="111" t="n"/>
      <c r="MC15" s="111" t="n"/>
      <c r="MD15" s="111" t="n"/>
      <c r="ME15" s="111" t="n"/>
      <c r="MF15" s="111" t="n"/>
      <c r="MG15" s="111" t="n"/>
      <c r="MH15" s="111" t="n"/>
      <c r="MI15" s="111" t="n"/>
      <c r="MJ15" s="111" t="n"/>
      <c r="MK15" s="111" t="n"/>
      <c r="ML15" s="111" t="n"/>
      <c r="MM15" s="111" t="n"/>
      <c r="MN15" s="111" t="n"/>
      <c r="MO15" s="111" t="n"/>
      <c r="MP15" s="111" t="n"/>
      <c r="MQ15" s="111" t="n"/>
      <c r="MR15" s="111" t="n"/>
      <c r="MS15" s="111" t="n"/>
      <c r="MT15" s="111" t="n"/>
      <c r="MU15" s="111" t="n"/>
      <c r="MV15" s="111" t="n"/>
      <c r="MW15" s="111" t="n"/>
      <c r="MX15" s="111" t="n"/>
      <c r="MY15" s="111" t="n"/>
      <c r="MZ15" s="111" t="n"/>
      <c r="NA15" s="111" t="n"/>
      <c r="NB15" s="111" t="n"/>
      <c r="NC15" s="111" t="n"/>
      <c r="ND15" s="111" t="n"/>
      <c r="NE15" s="111" t="n"/>
      <c r="NF15" s="111" t="n"/>
      <c r="NG15" s="111" t="n"/>
      <c r="NH15" s="111" t="n"/>
      <c r="NI15" s="111" t="n"/>
      <c r="NJ15" s="111" t="n"/>
      <c r="NK15" s="111" t="n"/>
      <c r="NL15" s="111" t="n"/>
      <c r="NM15" s="111" t="n"/>
      <c r="NN15" s="111" t="n"/>
      <c r="NO15" s="111" t="n"/>
    </row>
    <row r="16" customFormat="1" s="17">
      <c r="A16" s="33">
        <f>IF(ISERROR(VALUE(SUBSTITUTE(OFFSET(A16,-1,0,1,1),".",""))),"0.0.1",IF(ISERROR(FIND("`",SUBSTITUTE(OFFSET(A16,-1,0,1,1),".","`",2))),OFFSET(A16,-1,0,1,1)&amp;".1",LEFT(OFFSET(A16,-1,0,1,1),FIND("`",SUBSTITUTE(OFFSET(A16,-1,0,1,1),".","`",2)))&amp;IF(ISERROR(FIND("`",SUBSTITUTE(OFFSET(A16,-1,0,1,1),".","`",3))),VALUE(RIGHT(OFFSET(A16,-1,0,1,1),LEN(OFFSET(A16,-1,0,1,1))-FIND("`",SUBSTITUTE(OFFSET(A16,-1,0,1,1),".","`",2))))+1,VALUE(MID(OFFSET(A16,-1,0,1,1),FIND("`",SUBSTITUTE(OFFSET(A16,-1,0,1,1),".","`",2))+1,(FIND("`",SUBSTITUTE(OFFSET(A16,-1,0,1,1),".","`",3))-FIND("`",SUBSTITUTE(OFFSET(A16,-1,0,1,1),".","`",2))-1)))+1)))</f>
        <v/>
      </c>
      <c r="B16" s="18" t="inlineStr">
        <is>
          <t>Level 3</t>
        </is>
      </c>
      <c r="C16" s="11" t="n"/>
      <c r="D16" s="37" t="n"/>
      <c r="E16" s="37" t="n"/>
      <c r="F16" s="37" t="n"/>
      <c r="G16" s="274" t="n">
        <v>41346</v>
      </c>
      <c r="H16" s="275">
        <f>IF(I16=0,G16,WORKDAY(IF(WEEKDAY(G16,1)=7,G16+2,IF(WEEKDAY(G16,1)=1,G16+1,G16)),I16-1,holidays))</f>
        <v/>
      </c>
      <c r="I16" s="79" t="n">
        <v>15</v>
      </c>
      <c r="J16" s="80" t="n"/>
      <c r="K16" s="15">
        <f>IF(OR(G16=0,H16=0),0,H16-G16+1)</f>
        <v/>
      </c>
      <c r="L16" s="15">
        <f>MIN(K16,WORKDAY(G16,ROUNDDOWN(J16*I16,0),holidays)-G16)</f>
        <v/>
      </c>
      <c r="M16" s="14">
        <f>K16-L16</f>
        <v/>
      </c>
      <c r="N16" s="113" t="inlineStr">
        <is>
          <t>p</t>
        </is>
      </c>
      <c r="O16" s="17" t="n"/>
      <c r="P16" s="111" t="n"/>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1" t="n"/>
      <c r="AY16" s="111" t="n"/>
      <c r="AZ16" s="111" t="n"/>
      <c r="BA16" s="111" t="n"/>
      <c r="BB16" s="111" t="n"/>
      <c r="BC16" s="111" t="n"/>
      <c r="BD16" s="111" t="n"/>
      <c r="BE16" s="111" t="n"/>
      <c r="BF16" s="111" t="n"/>
      <c r="BG16" s="111" t="n"/>
      <c r="BH16" s="111" t="n"/>
      <c r="BI16" s="111" t="n"/>
      <c r="BJ16" s="111" t="n"/>
      <c r="BK16" s="111" t="n"/>
      <c r="BL16" s="111" t="n"/>
      <c r="BM16" s="111" t="n"/>
      <c r="BN16" s="111" t="n"/>
      <c r="BO16" s="111" t="n"/>
      <c r="BP16" s="111" t="n"/>
      <c r="BQ16" s="111" t="n"/>
      <c r="BR16" s="111" t="n"/>
      <c r="BS16" s="111" t="n"/>
      <c r="BT16" s="111" t="n"/>
      <c r="BU16" s="111" t="n"/>
      <c r="BV16" s="111" t="n"/>
      <c r="BW16" s="111" t="n"/>
      <c r="BX16" s="111" t="n"/>
      <c r="BY16" s="111" t="n"/>
      <c r="BZ16" s="111" t="n"/>
      <c r="CA16" s="111" t="n"/>
      <c r="CB16" s="111" t="n"/>
      <c r="CC16" s="111" t="n"/>
      <c r="CD16" s="111" t="n"/>
      <c r="CE16" s="111" t="n"/>
      <c r="CF16" s="111" t="n"/>
      <c r="CG16" s="111" t="n"/>
      <c r="CH16" s="111" t="n"/>
      <c r="CI16" s="111" t="n"/>
      <c r="CJ16" s="111" t="n"/>
      <c r="CK16" s="111" t="n"/>
      <c r="CL16" s="111" t="n"/>
      <c r="CM16" s="111" t="n"/>
      <c r="CN16" s="111" t="n"/>
      <c r="CO16" s="111" t="n"/>
      <c r="CP16" s="111" t="n"/>
      <c r="CQ16" s="111" t="n"/>
      <c r="CR16" s="111" t="n"/>
      <c r="CS16" s="111" t="n"/>
      <c r="CT16" s="111" t="n"/>
      <c r="CU16" s="111" t="n"/>
      <c r="CV16" s="111" t="n"/>
      <c r="CW16" s="111" t="n"/>
      <c r="CX16" s="111" t="n"/>
      <c r="CY16" s="111" t="n"/>
      <c r="CZ16" s="111" t="n"/>
      <c r="DA16" s="111" t="n"/>
      <c r="DB16" s="111" t="n"/>
      <c r="DC16" s="111" t="n"/>
      <c r="DD16" s="111" t="n"/>
      <c r="DE16" s="111" t="n"/>
      <c r="DF16" s="111" t="n"/>
      <c r="DG16" s="111" t="n"/>
      <c r="DH16" s="111" t="n"/>
      <c r="DI16" s="111" t="n"/>
      <c r="DJ16" s="111" t="n"/>
      <c r="DK16" s="111" t="n"/>
      <c r="DL16" s="111" t="n"/>
      <c r="DM16" s="111" t="n"/>
      <c r="DN16" s="111" t="n"/>
      <c r="DO16" s="111" t="n"/>
      <c r="DP16" s="111" t="n"/>
      <c r="DQ16" s="111" t="n"/>
      <c r="DR16" s="111" t="n"/>
      <c r="DS16" s="111" t="n"/>
      <c r="DT16" s="111" t="n"/>
      <c r="DU16" s="111" t="n"/>
      <c r="DV16" s="111" t="n"/>
      <c r="DW16" s="111" t="n"/>
      <c r="DX16" s="111" t="n"/>
      <c r="DY16" s="111" t="n"/>
      <c r="DZ16" s="111" t="n"/>
      <c r="EA16" s="111" t="n"/>
      <c r="EB16" s="111" t="n"/>
      <c r="EC16" s="111" t="n"/>
      <c r="ED16" s="111" t="n"/>
      <c r="EE16" s="111" t="n"/>
      <c r="EF16" s="111" t="n"/>
      <c r="EG16" s="111" t="n"/>
      <c r="EH16" s="111" t="n"/>
      <c r="EI16" s="111" t="n"/>
      <c r="EJ16" s="111" t="n"/>
      <c r="EK16" s="111" t="n"/>
      <c r="EL16" s="111" t="n"/>
      <c r="EM16" s="111" t="n"/>
      <c r="EN16" s="111" t="n"/>
      <c r="EO16" s="111" t="n"/>
      <c r="EP16" s="111" t="n"/>
      <c r="EQ16" s="111" t="n"/>
      <c r="ER16" s="111" t="n"/>
      <c r="ES16" s="111" t="n"/>
      <c r="ET16" s="111" t="n"/>
      <c r="EU16" s="111" t="n"/>
      <c r="EV16" s="111" t="n"/>
      <c r="EW16" s="111" t="n"/>
      <c r="EX16" s="111" t="n"/>
      <c r="EY16" s="111" t="n"/>
      <c r="EZ16" s="111" t="n"/>
      <c r="FA16" s="111" t="n"/>
      <c r="FB16" s="111" t="n"/>
      <c r="FC16" s="111" t="n"/>
      <c r="FD16" s="111" t="n"/>
      <c r="FE16" s="111" t="n"/>
      <c r="FF16" s="111" t="n"/>
      <c r="FG16" s="111" t="n"/>
      <c r="FH16" s="111" t="n"/>
      <c r="FI16" s="111" t="n"/>
      <c r="FJ16" s="111" t="n"/>
      <c r="FK16" s="111" t="n"/>
      <c r="FL16" s="111" t="n"/>
      <c r="FM16" s="111" t="n"/>
      <c r="FN16" s="111" t="n"/>
      <c r="FO16" s="111" t="n"/>
      <c r="FP16" s="111" t="n"/>
      <c r="FQ16" s="111" t="n"/>
      <c r="FR16" s="111" t="n"/>
      <c r="FS16" s="111" t="n"/>
      <c r="FT16" s="111" t="n"/>
      <c r="FU16" s="111" t="n"/>
      <c r="FV16" s="111" t="n"/>
      <c r="FW16" s="111" t="n"/>
      <c r="FX16" s="111" t="n"/>
      <c r="FY16" s="111" t="n"/>
      <c r="FZ16" s="111" t="n"/>
      <c r="GA16" s="111" t="n"/>
      <c r="GB16" s="111" t="n"/>
      <c r="GC16" s="111" t="n"/>
      <c r="GD16" s="111" t="n"/>
      <c r="GE16" s="111" t="n"/>
      <c r="GF16" s="111" t="n"/>
      <c r="GG16" s="111" t="n"/>
      <c r="GH16" s="111" t="n"/>
      <c r="GI16" s="111" t="n"/>
      <c r="GJ16" s="111" t="n"/>
      <c r="GK16" s="111" t="n"/>
      <c r="GL16" s="111" t="n"/>
      <c r="GM16" s="111" t="n"/>
      <c r="GN16" s="111" t="n"/>
      <c r="GO16" s="111" t="n"/>
      <c r="GP16" s="111" t="n"/>
      <c r="GQ16" s="111" t="n"/>
      <c r="GR16" s="111" t="n"/>
      <c r="GS16" s="111" t="n"/>
      <c r="GT16" s="111" t="n"/>
      <c r="GU16" s="111" t="n"/>
      <c r="GV16" s="111" t="n"/>
      <c r="GW16" s="111" t="n"/>
      <c r="GX16" s="111" t="n"/>
      <c r="GY16" s="111" t="n"/>
      <c r="GZ16" s="111" t="n"/>
      <c r="HA16" s="111" t="n"/>
      <c r="HB16" s="111" t="n"/>
      <c r="HC16" s="111" t="n"/>
      <c r="HD16" s="111" t="n"/>
      <c r="HE16" s="111" t="n"/>
      <c r="HF16" s="111" t="n"/>
      <c r="HG16" s="111" t="n"/>
      <c r="HH16" s="111" t="n"/>
      <c r="HI16" s="111" t="n"/>
      <c r="HJ16" s="111" t="n"/>
      <c r="HK16" s="111" t="n"/>
      <c r="HL16" s="111" t="n"/>
      <c r="HM16" s="111" t="n"/>
      <c r="HN16" s="111" t="n"/>
      <c r="HO16" s="111" t="n"/>
      <c r="HP16" s="111" t="n"/>
      <c r="HQ16" s="111" t="n"/>
      <c r="HR16" s="111" t="n"/>
      <c r="HS16" s="111" t="n"/>
      <c r="HT16" s="111" t="n"/>
      <c r="HU16" s="111" t="n"/>
      <c r="HV16" s="111" t="n"/>
      <c r="HW16" s="111" t="n"/>
      <c r="HX16" s="111" t="n"/>
      <c r="HY16" s="111" t="n"/>
      <c r="HZ16" s="111" t="n"/>
      <c r="IA16" s="111" t="n"/>
      <c r="IB16" s="111" t="n"/>
      <c r="IC16" s="111" t="n"/>
      <c r="ID16" s="111" t="n"/>
      <c r="IE16" s="111" t="n"/>
      <c r="IF16" s="111" t="n"/>
      <c r="IG16" s="111" t="n"/>
      <c r="IH16" s="111" t="n"/>
      <c r="II16" s="111" t="n"/>
      <c r="IJ16" s="111" t="n"/>
      <c r="IK16" s="111" t="n"/>
      <c r="IL16" s="111" t="n"/>
      <c r="IM16" s="111" t="n"/>
      <c r="IN16" s="111" t="n"/>
      <c r="IO16" s="111" t="n"/>
      <c r="IP16" s="111" t="n"/>
      <c r="IQ16" s="111" t="n"/>
      <c r="IR16" s="111" t="n"/>
      <c r="IS16" s="111" t="n"/>
      <c r="IT16" s="111" t="n"/>
      <c r="IU16" s="111" t="n"/>
      <c r="IV16" s="111" t="n"/>
      <c r="IW16" s="111" t="n"/>
      <c r="IX16" s="111" t="n"/>
      <c r="IY16" s="111" t="n"/>
      <c r="IZ16" s="111" t="n"/>
      <c r="JA16" s="111" t="n"/>
      <c r="JB16" s="111" t="n"/>
      <c r="JC16" s="111" t="n"/>
      <c r="JD16" s="111" t="n"/>
      <c r="JE16" s="111" t="n"/>
      <c r="JF16" s="111" t="n"/>
      <c r="JG16" s="111" t="n"/>
      <c r="JH16" s="111" t="n"/>
      <c r="JI16" s="111" t="n"/>
      <c r="JJ16" s="111" t="n"/>
      <c r="JK16" s="111" t="n"/>
      <c r="JL16" s="111" t="n"/>
      <c r="JM16" s="111" t="n"/>
      <c r="JN16" s="111" t="n"/>
      <c r="JO16" s="111" t="n"/>
      <c r="JP16" s="111" t="n"/>
      <c r="JQ16" s="111" t="n"/>
      <c r="JR16" s="111" t="n"/>
      <c r="JS16" s="111" t="n"/>
      <c r="JT16" s="111" t="n"/>
      <c r="JU16" s="111" t="n"/>
      <c r="JV16" s="111" t="n"/>
      <c r="JW16" s="111" t="n"/>
      <c r="JX16" s="111" t="n"/>
      <c r="JY16" s="111" t="n"/>
      <c r="JZ16" s="111" t="n"/>
      <c r="KA16" s="111" t="n"/>
      <c r="KB16" s="111" t="n"/>
      <c r="KC16" s="111" t="n"/>
      <c r="KD16" s="111" t="n"/>
      <c r="KE16" s="111" t="n"/>
      <c r="KF16" s="111" t="n"/>
      <c r="KG16" s="111" t="n"/>
      <c r="KH16" s="111" t="n"/>
      <c r="KI16" s="111" t="n"/>
      <c r="KJ16" s="111" t="n"/>
      <c r="KK16" s="111" t="n"/>
      <c r="KL16" s="111" t="n"/>
      <c r="KM16" s="111" t="n"/>
      <c r="KN16" s="111" t="n"/>
      <c r="KO16" s="111" t="n"/>
      <c r="KP16" s="111" t="n"/>
      <c r="KQ16" s="111" t="n"/>
      <c r="KR16" s="111" t="n"/>
      <c r="KS16" s="111" t="n"/>
      <c r="KT16" s="111" t="n"/>
      <c r="KU16" s="111" t="n"/>
      <c r="KV16" s="111" t="n"/>
      <c r="KW16" s="111" t="n"/>
      <c r="KX16" s="111" t="n"/>
      <c r="KY16" s="111" t="n"/>
      <c r="KZ16" s="111" t="n"/>
      <c r="LA16" s="111" t="n"/>
      <c r="LB16" s="111" t="n"/>
      <c r="LC16" s="111" t="n"/>
      <c r="LD16" s="111" t="n"/>
      <c r="LE16" s="111" t="n"/>
      <c r="LF16" s="111" t="n"/>
      <c r="LG16" s="111" t="n"/>
      <c r="LH16" s="111" t="n"/>
      <c r="LI16" s="111" t="n"/>
      <c r="LJ16" s="111" t="n"/>
      <c r="LK16" s="111" t="n"/>
      <c r="LL16" s="111" t="n"/>
      <c r="LM16" s="111" t="n"/>
      <c r="LN16" s="111" t="n"/>
      <c r="LO16" s="111" t="n"/>
      <c r="LP16" s="111" t="n"/>
      <c r="LQ16" s="111" t="n"/>
      <c r="LR16" s="111" t="n"/>
      <c r="LS16" s="111" t="n"/>
      <c r="LT16" s="111" t="n"/>
      <c r="LU16" s="111" t="n"/>
      <c r="LV16" s="111" t="n"/>
      <c r="LW16" s="111" t="n"/>
      <c r="LX16" s="111" t="n"/>
      <c r="LY16" s="111" t="n"/>
      <c r="LZ16" s="111" t="n"/>
      <c r="MA16" s="111" t="n"/>
      <c r="MB16" s="111" t="n"/>
      <c r="MC16" s="111" t="n"/>
      <c r="MD16" s="111" t="n"/>
      <c r="ME16" s="111" t="n"/>
      <c r="MF16" s="111" t="n"/>
      <c r="MG16" s="111" t="n"/>
      <c r="MH16" s="111" t="n"/>
      <c r="MI16" s="111" t="n"/>
      <c r="MJ16" s="111" t="n"/>
      <c r="MK16" s="111" t="n"/>
      <c r="ML16" s="111" t="n"/>
      <c r="MM16" s="111" t="n"/>
      <c r="MN16" s="111" t="n"/>
      <c r="MO16" s="111" t="n"/>
      <c r="MP16" s="111" t="n"/>
      <c r="MQ16" s="111" t="n"/>
      <c r="MR16" s="111" t="n"/>
      <c r="MS16" s="111" t="n"/>
      <c r="MT16" s="111" t="n"/>
      <c r="MU16" s="111" t="n"/>
      <c r="MV16" s="111" t="n"/>
      <c r="MW16" s="111" t="n"/>
      <c r="MX16" s="111" t="n"/>
      <c r="MY16" s="111" t="n"/>
      <c r="MZ16" s="111" t="n"/>
      <c r="NA16" s="111" t="n"/>
      <c r="NB16" s="111" t="n"/>
      <c r="NC16" s="111" t="n"/>
      <c r="ND16" s="111" t="n"/>
      <c r="NE16" s="111" t="n"/>
      <c r="NF16" s="111" t="n"/>
      <c r="NG16" s="111" t="n"/>
      <c r="NH16" s="111" t="n"/>
      <c r="NI16" s="111" t="n"/>
      <c r="NJ16" s="111" t="n"/>
      <c r="NK16" s="111" t="n"/>
      <c r="NL16" s="111" t="n"/>
      <c r="NM16" s="111" t="n"/>
      <c r="NN16" s="111" t="n"/>
      <c r="NO16" s="111" t="n"/>
    </row>
    <row r="17" customFormat="1" s="17">
      <c r="A17" s="33">
        <f>IF(ISERROR(VALUE(SUBSTITUTE(OFFSET(A17,-1,0,1,1),".",""))),"0.0.1",IF(ISERROR(FIND("`",SUBSTITUTE(OFFSET(A17,-1,0,1,1),".","`",2))),OFFSET(A17,-1,0,1,1)&amp;".1",LEFT(OFFSET(A17,-1,0,1,1),FIND("`",SUBSTITUTE(OFFSET(A17,-1,0,1,1),".","`",2)))&amp;IF(ISERROR(FIND("`",SUBSTITUTE(OFFSET(A17,-1,0,1,1),".","`",3))),VALUE(RIGHT(OFFSET(A17,-1,0,1,1),LEN(OFFSET(A17,-1,0,1,1))-FIND("`",SUBSTITUTE(OFFSET(A17,-1,0,1,1),".","`",2))))+1,VALUE(MID(OFFSET(A17,-1,0,1,1),FIND("`",SUBSTITUTE(OFFSET(A17,-1,0,1,1),".","`",2))+1,(FIND("`",SUBSTITUTE(OFFSET(A17,-1,0,1,1),".","`",3))-FIND("`",SUBSTITUTE(OFFSET(A17,-1,0,1,1),".","`",2))-1)))+1)))</f>
        <v/>
      </c>
      <c r="B17" s="18" t="inlineStr">
        <is>
          <t>Level 3</t>
        </is>
      </c>
      <c r="C17" s="11" t="n"/>
      <c r="D17" s="37" t="n"/>
      <c r="E17" s="37" t="n"/>
      <c r="F17" s="37" t="n"/>
      <c r="G17" s="274" t="n">
        <v>41353</v>
      </c>
      <c r="H17" s="275">
        <f>IF(I17=0,G17,WORKDAY(IF(WEEKDAY(G17,1)=7,G17+2,IF(WEEKDAY(G17,1)=1,G17+1,G17)),I17-1,holidays))</f>
        <v/>
      </c>
      <c r="I17" s="79" t="n">
        <v>5</v>
      </c>
      <c r="J17" s="80" t="n"/>
      <c r="K17" s="15">
        <f>IF(OR(G17=0,H17=0),0,H17-G17+1)</f>
        <v/>
      </c>
      <c r="L17" s="15">
        <f>MIN(K17,WORKDAY(G17,ROUNDDOWN(J17*I17,0),holidays)-G17)</f>
        <v/>
      </c>
      <c r="M17" s="14">
        <f>K17-L17</f>
        <v/>
      </c>
      <c r="N17" s="113" t="inlineStr">
        <is>
          <t>o</t>
        </is>
      </c>
      <c r="O17" s="17" t="n"/>
      <c r="P17" s="111" t="n"/>
      <c r="Q17" s="111" t="n"/>
      <c r="R17" s="111" t="n"/>
      <c r="S17" s="111" t="n"/>
      <c r="T17" s="111" t="n"/>
      <c r="U17" s="111" t="n"/>
      <c r="V17" s="111" t="n"/>
      <c r="W17" s="111" t="n"/>
      <c r="X17" s="111" t="n"/>
      <c r="Y17" s="111" t="n"/>
      <c r="Z17" s="111" t="n"/>
      <c r="AA17" s="111" t="n"/>
      <c r="AB17" s="111" t="n"/>
      <c r="AC17" s="111" t="n"/>
      <c r="AD17" s="111" t="n"/>
      <c r="AE17" s="111" t="n"/>
      <c r="AF17" s="111" t="n"/>
      <c r="AG17" s="111" t="n"/>
      <c r="AH17" s="111" t="n"/>
      <c r="AI17" s="111" t="n"/>
      <c r="AJ17" s="111" t="n"/>
      <c r="AK17" s="111" t="n"/>
      <c r="AL17" s="111" t="n"/>
      <c r="AM17" s="111" t="n"/>
      <c r="AN17" s="111" t="n"/>
      <c r="AO17" s="111" t="n"/>
      <c r="AP17" s="111" t="n"/>
      <c r="AQ17" s="111" t="n"/>
      <c r="AR17" s="111" t="n"/>
      <c r="AS17" s="111" t="n"/>
      <c r="AT17" s="111" t="n"/>
      <c r="AU17" s="111" t="n"/>
      <c r="AV17" s="111" t="n"/>
      <c r="AW17" s="111" t="n"/>
      <c r="AX17" s="111" t="n"/>
      <c r="AY17" s="111" t="n"/>
      <c r="AZ17" s="111" t="n"/>
      <c r="BA17" s="111" t="n"/>
      <c r="BB17" s="111" t="n"/>
      <c r="BC17" s="111" t="n"/>
      <c r="BD17" s="111" t="n"/>
      <c r="BE17" s="111" t="n"/>
      <c r="BF17" s="111" t="n"/>
      <c r="BG17" s="111" t="n"/>
      <c r="BH17" s="111" t="n"/>
      <c r="BI17" s="111" t="n"/>
      <c r="BJ17" s="111" t="n"/>
      <c r="BK17" s="111" t="n"/>
      <c r="BL17" s="111" t="n"/>
      <c r="BM17" s="111" t="n"/>
      <c r="BN17" s="111" t="n"/>
      <c r="BO17" s="111" t="n"/>
      <c r="BP17" s="111" t="n"/>
      <c r="BQ17" s="111" t="n"/>
      <c r="BR17" s="111" t="n"/>
      <c r="BS17" s="111" t="n"/>
      <c r="BT17" s="111" t="n"/>
      <c r="BU17" s="111" t="n"/>
      <c r="BV17" s="111" t="n"/>
      <c r="BW17" s="111" t="n"/>
      <c r="BX17" s="111" t="n"/>
      <c r="BY17" s="111" t="n"/>
      <c r="BZ17" s="111" t="n"/>
      <c r="CA17" s="111" t="n"/>
      <c r="CB17" s="111" t="n"/>
      <c r="CC17" s="111" t="n"/>
      <c r="CD17" s="111" t="n"/>
      <c r="CE17" s="111" t="n"/>
      <c r="CF17" s="111" t="n"/>
      <c r="CG17" s="111" t="n"/>
      <c r="CH17" s="111" t="n"/>
      <c r="CI17" s="111" t="n"/>
      <c r="CJ17" s="111" t="n"/>
      <c r="CK17" s="111" t="n"/>
      <c r="CL17" s="111" t="n"/>
      <c r="CM17" s="111" t="n"/>
      <c r="CN17" s="111" t="n"/>
      <c r="CO17" s="111" t="n"/>
      <c r="CP17" s="111" t="n"/>
      <c r="CQ17" s="111" t="n"/>
      <c r="CR17" s="111" t="n"/>
      <c r="CS17" s="111" t="n"/>
      <c r="CT17" s="111" t="n"/>
      <c r="CU17" s="111" t="n"/>
      <c r="CV17" s="111" t="n"/>
      <c r="CW17" s="111" t="n"/>
      <c r="CX17" s="111" t="n"/>
      <c r="CY17" s="111" t="n"/>
      <c r="CZ17" s="111" t="n"/>
      <c r="DA17" s="111" t="n"/>
      <c r="DB17" s="111" t="n"/>
      <c r="DC17" s="111" t="n"/>
      <c r="DD17" s="111" t="n"/>
      <c r="DE17" s="111" t="n"/>
      <c r="DF17" s="111" t="n"/>
      <c r="DG17" s="111" t="n"/>
      <c r="DH17" s="111" t="n"/>
      <c r="DI17" s="111" t="n"/>
      <c r="DJ17" s="111" t="n"/>
      <c r="DK17" s="111" t="n"/>
      <c r="DL17" s="111" t="n"/>
      <c r="DM17" s="111" t="n"/>
      <c r="DN17" s="111" t="n"/>
      <c r="DO17" s="111" t="n"/>
      <c r="DP17" s="111" t="n"/>
      <c r="DQ17" s="111" t="n"/>
      <c r="DR17" s="111" t="n"/>
      <c r="DS17" s="111" t="n"/>
      <c r="DT17" s="111" t="n"/>
      <c r="DU17" s="111" t="n"/>
      <c r="DV17" s="111" t="n"/>
      <c r="DW17" s="111" t="n"/>
      <c r="DX17" s="111" t="n"/>
      <c r="DY17" s="111" t="n"/>
      <c r="DZ17" s="111" t="n"/>
      <c r="EA17" s="111" t="n"/>
      <c r="EB17" s="111" t="n"/>
      <c r="EC17" s="111" t="n"/>
      <c r="ED17" s="111" t="n"/>
      <c r="EE17" s="111" t="n"/>
      <c r="EF17" s="111" t="n"/>
      <c r="EG17" s="111" t="n"/>
      <c r="EH17" s="111" t="n"/>
      <c r="EI17" s="111" t="n"/>
      <c r="EJ17" s="111" t="n"/>
      <c r="EK17" s="111" t="n"/>
      <c r="EL17" s="111" t="n"/>
      <c r="EM17" s="111" t="n"/>
      <c r="EN17" s="111" t="n"/>
      <c r="EO17" s="111" t="n"/>
      <c r="EP17" s="111" t="n"/>
      <c r="EQ17" s="111" t="n"/>
      <c r="ER17" s="111" t="n"/>
      <c r="ES17" s="111" t="n"/>
      <c r="ET17" s="111" t="n"/>
      <c r="EU17" s="111" t="n"/>
      <c r="EV17" s="111" t="n"/>
      <c r="EW17" s="111" t="n"/>
      <c r="EX17" s="111" t="n"/>
      <c r="EY17" s="111" t="n"/>
      <c r="EZ17" s="111" t="n"/>
      <c r="FA17" s="111" t="n"/>
      <c r="FB17" s="111" t="n"/>
      <c r="FC17" s="111" t="n"/>
      <c r="FD17" s="111" t="n"/>
      <c r="FE17" s="111" t="n"/>
      <c r="FF17" s="111" t="n"/>
      <c r="FG17" s="111" t="n"/>
      <c r="FH17" s="111" t="n"/>
      <c r="FI17" s="111" t="n"/>
      <c r="FJ17" s="111" t="n"/>
      <c r="FK17" s="111" t="n"/>
      <c r="FL17" s="111" t="n"/>
      <c r="FM17" s="111" t="n"/>
      <c r="FN17" s="111" t="n"/>
      <c r="FO17" s="111" t="n"/>
      <c r="FP17" s="111" t="n"/>
      <c r="FQ17" s="111" t="n"/>
      <c r="FR17" s="111" t="n"/>
      <c r="FS17" s="111" t="n"/>
      <c r="FT17" s="111" t="n"/>
      <c r="FU17" s="111" t="n"/>
      <c r="FV17" s="111" t="n"/>
      <c r="FW17" s="111" t="n"/>
      <c r="FX17" s="111" t="n"/>
      <c r="FY17" s="111" t="n"/>
      <c r="FZ17" s="111" t="n"/>
      <c r="GA17" s="111" t="n"/>
      <c r="GB17" s="111" t="n"/>
      <c r="GC17" s="111" t="n"/>
      <c r="GD17" s="111" t="n"/>
      <c r="GE17" s="111" t="n"/>
      <c r="GF17" s="111" t="n"/>
      <c r="GG17" s="111" t="n"/>
      <c r="GH17" s="111" t="n"/>
      <c r="GI17" s="111" t="n"/>
      <c r="GJ17" s="111" t="n"/>
      <c r="GK17" s="111" t="n"/>
      <c r="GL17" s="111" t="n"/>
      <c r="GM17" s="111" t="n"/>
      <c r="GN17" s="111" t="n"/>
      <c r="GO17" s="111" t="n"/>
      <c r="GP17" s="111" t="n"/>
      <c r="GQ17" s="111" t="n"/>
      <c r="GR17" s="111" t="n"/>
      <c r="GS17" s="111" t="n"/>
      <c r="GT17" s="111" t="n"/>
      <c r="GU17" s="111" t="n"/>
      <c r="GV17" s="111" t="n"/>
      <c r="GW17" s="111" t="n"/>
      <c r="GX17" s="111" t="n"/>
      <c r="GY17" s="111" t="n"/>
      <c r="GZ17" s="111" t="n"/>
      <c r="HA17" s="111" t="n"/>
      <c r="HB17" s="111" t="n"/>
      <c r="HC17" s="111" t="n"/>
      <c r="HD17" s="111" t="n"/>
      <c r="HE17" s="111" t="n"/>
      <c r="HF17" s="111" t="n"/>
      <c r="HG17" s="111" t="n"/>
      <c r="HH17" s="111" t="n"/>
      <c r="HI17" s="111" t="n"/>
      <c r="HJ17" s="111" t="n"/>
      <c r="HK17" s="111" t="n"/>
      <c r="HL17" s="111" t="n"/>
      <c r="HM17" s="111" t="n"/>
      <c r="HN17" s="111" t="n"/>
      <c r="HO17" s="111" t="n"/>
      <c r="HP17" s="111" t="n"/>
      <c r="HQ17" s="111" t="n"/>
      <c r="HR17" s="111" t="n"/>
      <c r="HS17" s="111" t="n"/>
      <c r="HT17" s="111" t="n"/>
      <c r="HU17" s="111" t="n"/>
      <c r="HV17" s="111" t="n"/>
      <c r="HW17" s="111" t="n"/>
      <c r="HX17" s="111" t="n"/>
      <c r="HY17" s="111" t="n"/>
      <c r="HZ17" s="111" t="n"/>
      <c r="IA17" s="111" t="n"/>
      <c r="IB17" s="111" t="n"/>
      <c r="IC17" s="111" t="n"/>
      <c r="ID17" s="111" t="n"/>
      <c r="IE17" s="111" t="n"/>
      <c r="IF17" s="111" t="n"/>
      <c r="IG17" s="111" t="n"/>
      <c r="IH17" s="111" t="n"/>
      <c r="II17" s="111" t="n"/>
      <c r="IJ17" s="111" t="n"/>
      <c r="IK17" s="111" t="n"/>
      <c r="IL17" s="111" t="n"/>
      <c r="IM17" s="111" t="n"/>
      <c r="IN17" s="111" t="n"/>
      <c r="IO17" s="111" t="n"/>
      <c r="IP17" s="111" t="n"/>
      <c r="IQ17" s="111" t="n"/>
      <c r="IR17" s="111" t="n"/>
      <c r="IS17" s="111" t="n"/>
      <c r="IT17" s="111" t="n"/>
      <c r="IU17" s="111" t="n"/>
      <c r="IV17" s="111" t="n"/>
      <c r="IW17" s="111" t="n"/>
      <c r="IX17" s="111" t="n"/>
      <c r="IY17" s="111" t="n"/>
      <c r="IZ17" s="111" t="n"/>
      <c r="JA17" s="111" t="n"/>
      <c r="JB17" s="111" t="n"/>
      <c r="JC17" s="111" t="n"/>
      <c r="JD17" s="111" t="n"/>
      <c r="JE17" s="111" t="n"/>
      <c r="JF17" s="111" t="n"/>
      <c r="JG17" s="111" t="n"/>
      <c r="JH17" s="111" t="n"/>
      <c r="JI17" s="111" t="n"/>
      <c r="JJ17" s="111" t="n"/>
      <c r="JK17" s="111" t="n"/>
      <c r="JL17" s="111" t="n"/>
      <c r="JM17" s="111" t="n"/>
      <c r="JN17" s="111" t="n"/>
      <c r="JO17" s="111" t="n"/>
      <c r="JP17" s="111" t="n"/>
      <c r="JQ17" s="111" t="n"/>
      <c r="JR17" s="111" t="n"/>
      <c r="JS17" s="111" t="n"/>
      <c r="JT17" s="111" t="n"/>
      <c r="JU17" s="111" t="n"/>
      <c r="JV17" s="111" t="n"/>
      <c r="JW17" s="111" t="n"/>
      <c r="JX17" s="111" t="n"/>
      <c r="JY17" s="111" t="n"/>
      <c r="JZ17" s="111" t="n"/>
      <c r="KA17" s="111" t="n"/>
      <c r="KB17" s="111" t="n"/>
      <c r="KC17" s="111" t="n"/>
      <c r="KD17" s="111" t="n"/>
      <c r="KE17" s="111" t="n"/>
      <c r="KF17" s="111" t="n"/>
      <c r="KG17" s="111" t="n"/>
      <c r="KH17" s="111" t="n"/>
      <c r="KI17" s="111" t="n"/>
      <c r="KJ17" s="111" t="n"/>
      <c r="KK17" s="111" t="n"/>
      <c r="KL17" s="111" t="n"/>
      <c r="KM17" s="111" t="n"/>
      <c r="KN17" s="111" t="n"/>
      <c r="KO17" s="111" t="n"/>
      <c r="KP17" s="111" t="n"/>
      <c r="KQ17" s="111" t="n"/>
      <c r="KR17" s="111" t="n"/>
      <c r="KS17" s="111" t="n"/>
      <c r="KT17" s="111" t="n"/>
      <c r="KU17" s="111" t="n"/>
      <c r="KV17" s="111" t="n"/>
      <c r="KW17" s="111" t="n"/>
      <c r="KX17" s="111" t="n"/>
      <c r="KY17" s="111" t="n"/>
      <c r="KZ17" s="111" t="n"/>
      <c r="LA17" s="111" t="n"/>
      <c r="LB17" s="111" t="n"/>
      <c r="LC17" s="111" t="n"/>
      <c r="LD17" s="111" t="n"/>
      <c r="LE17" s="111" t="n"/>
      <c r="LF17" s="111" t="n"/>
      <c r="LG17" s="111" t="n"/>
      <c r="LH17" s="111" t="n"/>
      <c r="LI17" s="111" t="n"/>
      <c r="LJ17" s="111" t="n"/>
      <c r="LK17" s="111" t="n"/>
      <c r="LL17" s="111" t="n"/>
      <c r="LM17" s="111" t="n"/>
      <c r="LN17" s="111" t="n"/>
      <c r="LO17" s="111" t="n"/>
      <c r="LP17" s="111" t="n"/>
      <c r="LQ17" s="111" t="n"/>
      <c r="LR17" s="111" t="n"/>
      <c r="LS17" s="111" t="n"/>
      <c r="LT17" s="111" t="n"/>
      <c r="LU17" s="111" t="n"/>
      <c r="LV17" s="111" t="n"/>
      <c r="LW17" s="111" t="n"/>
      <c r="LX17" s="111" t="n"/>
      <c r="LY17" s="111" t="n"/>
      <c r="LZ17" s="111" t="n"/>
      <c r="MA17" s="111" t="n"/>
      <c r="MB17" s="111" t="n"/>
      <c r="MC17" s="111" t="n"/>
      <c r="MD17" s="111" t="n"/>
      <c r="ME17" s="111" t="n"/>
      <c r="MF17" s="111" t="n"/>
      <c r="MG17" s="111" t="n"/>
      <c r="MH17" s="111" t="n"/>
      <c r="MI17" s="111" t="n"/>
      <c r="MJ17" s="111" t="n"/>
      <c r="MK17" s="111" t="n"/>
      <c r="ML17" s="111" t="n"/>
      <c r="MM17" s="111" t="n"/>
      <c r="MN17" s="111" t="n"/>
      <c r="MO17" s="111" t="n"/>
      <c r="MP17" s="111" t="n"/>
      <c r="MQ17" s="111" t="n"/>
      <c r="MR17" s="111" t="n"/>
      <c r="MS17" s="111" t="n"/>
      <c r="MT17" s="111" t="n"/>
      <c r="MU17" s="111" t="n"/>
      <c r="MV17" s="111" t="n"/>
      <c r="MW17" s="111" t="n"/>
      <c r="MX17" s="111" t="n"/>
      <c r="MY17" s="111" t="n"/>
      <c r="MZ17" s="111" t="n"/>
      <c r="NA17" s="111" t="n"/>
      <c r="NB17" s="111" t="n"/>
      <c r="NC17" s="111" t="n"/>
      <c r="ND17" s="111" t="n"/>
      <c r="NE17" s="111" t="n"/>
      <c r="NF17" s="111" t="n"/>
      <c r="NG17" s="111" t="n"/>
      <c r="NH17" s="111" t="n"/>
      <c r="NI17" s="111" t="n"/>
      <c r="NJ17" s="111" t="n"/>
      <c r="NK17" s="111" t="n"/>
      <c r="NL17" s="111" t="n"/>
      <c r="NM17" s="111" t="n"/>
      <c r="NN17" s="111" t="n"/>
      <c r="NO17" s="111" t="n"/>
    </row>
    <row r="18" customFormat="1" s="17">
      <c r="A18" s="33">
        <f>IF(ISERROR(VALUE(SUBSTITUTE(OFFSET(A18,-1,0,1,1),".",""))),"0.0.0.1",IF(ISERROR(FIND("`",SUBSTITUTE(OFFSET(A18,-1,0,1,1),".","`",3))),OFFSET(A18,-1,0,1,1)&amp;".1",LEFT(OFFSET(A18,-1,0,1,1),FIND("`",SUBSTITUTE(OFFSET(A18,-1,0,1,1),".","`",3)))&amp;IF(ISERROR(FIND("`",SUBSTITUTE(OFFSET(A18,-1,0,1,1),".","`",4))),VALUE(RIGHT(OFFSET(A18,-1,0,1,1),LEN(OFFSET(A18,-1,0,1,1))-FIND("`",SUBSTITUTE(OFFSET(A18,-1,0,1,1),".","`",3))))+1,VALUE(MID(OFFSET(A18,-1,0,1,1),FIND("`",SUBSTITUTE(OFFSET(A18,-1,0,1,1),".","`",3))+1,(FIND("`",SUBSTITUTE(OFFSET(A18,-1,0,1,1),".","`",4))-FIND("`",SUBSTITUTE(OFFSET(A18,-1,0,1,1),".","`",3))-1)))+1)))</f>
        <v/>
      </c>
      <c r="B18" s="19" t="inlineStr">
        <is>
          <t>Level 4</t>
        </is>
      </c>
      <c r="C18" s="11" t="n"/>
      <c r="D18" s="37" t="n"/>
      <c r="E18" s="37" t="n"/>
      <c r="F18" s="37" t="n"/>
      <c r="G18" s="274" t="n">
        <v>41360</v>
      </c>
      <c r="H18" s="275">
        <f>IF(I18=0,G18,WORKDAY(IF(WEEKDAY(G18,1)=7,G18+2,IF(WEEKDAY(G18,1)=1,G18+1,G18)),I18-1,holidays))</f>
        <v/>
      </c>
      <c r="I18" s="79" t="n">
        <v>1</v>
      </c>
      <c r="J18" s="80" t="n"/>
      <c r="K18" s="15">
        <f>IF(OR(G18=0,H18=0),0,H18-G18+1)</f>
        <v/>
      </c>
      <c r="L18" s="15">
        <f>MIN(K18,WORKDAY(G18,ROUNDDOWN(J18*I18,0),holidays)-G18)</f>
        <v/>
      </c>
      <c r="M18" s="14">
        <f>K18-L18</f>
        <v/>
      </c>
      <c r="N18" s="113" t="inlineStr">
        <is>
          <t>k</t>
        </is>
      </c>
      <c r="O18" s="17" t="n"/>
      <c r="P18" s="111" t="n"/>
      <c r="Q18" s="111" t="n"/>
      <c r="R18" s="111" t="n"/>
      <c r="S18" s="111" t="n"/>
      <c r="T18" s="111" t="n"/>
      <c r="U18" s="111" t="n"/>
      <c r="V18" s="111" t="n"/>
      <c r="W18" s="111" t="n"/>
      <c r="X18" s="111" t="n"/>
      <c r="Y18" s="111" t="n"/>
      <c r="Z18" s="111" t="n"/>
      <c r="AA18" s="111" t="n"/>
      <c r="AB18" s="111" t="n"/>
      <c r="AC18" s="111" t="n"/>
      <c r="AD18" s="111" t="n"/>
      <c r="AE18" s="111" t="n"/>
      <c r="AF18" s="111" t="n"/>
      <c r="AG18" s="111" t="n"/>
      <c r="AH18" s="111" t="n"/>
      <c r="AI18" s="111" t="n"/>
      <c r="AJ18" s="111" t="n"/>
      <c r="AK18" s="111" t="n"/>
      <c r="AL18" s="111" t="n"/>
      <c r="AM18" s="111" t="n"/>
      <c r="AN18" s="111" t="n"/>
      <c r="AO18" s="111" t="n"/>
      <c r="AP18" s="111" t="n"/>
      <c r="AQ18" s="111" t="n"/>
      <c r="AR18" s="111" t="n"/>
      <c r="AS18" s="111" t="n"/>
      <c r="AT18" s="111" t="n"/>
      <c r="AU18" s="111" t="n"/>
      <c r="AV18" s="111" t="n"/>
      <c r="AW18" s="111" t="n"/>
      <c r="AX18" s="111" t="n"/>
      <c r="AY18" s="111" t="n"/>
      <c r="AZ18" s="111" t="n"/>
      <c r="BA18" s="111" t="n"/>
      <c r="BB18" s="111" t="n"/>
      <c r="BC18" s="111" t="n"/>
      <c r="BD18" s="111" t="n"/>
      <c r="BE18" s="111" t="n"/>
      <c r="BF18" s="111" t="n"/>
      <c r="BG18" s="111" t="n"/>
      <c r="BH18" s="111" t="n"/>
      <c r="BI18" s="111" t="n"/>
      <c r="BJ18" s="111" t="n"/>
      <c r="BK18" s="111" t="n"/>
      <c r="BL18" s="111" t="n"/>
      <c r="BM18" s="111" t="n"/>
      <c r="BN18" s="111" t="n"/>
      <c r="BO18" s="111" t="n"/>
      <c r="BP18" s="111" t="n"/>
      <c r="BQ18" s="111" t="n"/>
      <c r="BR18" s="111" t="n"/>
      <c r="BS18" s="111" t="n"/>
      <c r="BT18" s="111" t="n"/>
      <c r="BU18" s="111" t="n"/>
      <c r="BV18" s="111" t="n"/>
      <c r="BW18" s="111" t="n"/>
      <c r="BX18" s="111" t="n"/>
      <c r="BY18" s="111" t="n"/>
      <c r="BZ18" s="111" t="n"/>
      <c r="CA18" s="111" t="n"/>
      <c r="CB18" s="111" t="n"/>
      <c r="CC18" s="111" t="n"/>
      <c r="CD18" s="111" t="n"/>
      <c r="CE18" s="111" t="n"/>
      <c r="CF18" s="111" t="n"/>
      <c r="CG18" s="111" t="n"/>
      <c r="CH18" s="111" t="n"/>
      <c r="CI18" s="111" t="n"/>
      <c r="CJ18" s="111" t="n"/>
      <c r="CK18" s="111" t="n"/>
      <c r="CL18" s="111" t="n"/>
      <c r="CM18" s="111" t="n"/>
      <c r="CN18" s="111" t="n"/>
      <c r="CO18" s="111" t="n"/>
      <c r="CP18" s="111" t="n"/>
      <c r="CQ18" s="111" t="n"/>
      <c r="CR18" s="111" t="n"/>
      <c r="CS18" s="111" t="n"/>
      <c r="CT18" s="111" t="n"/>
      <c r="CU18" s="111" t="n"/>
      <c r="CV18" s="111" t="n"/>
      <c r="CW18" s="111" t="n"/>
      <c r="CX18" s="111" t="n"/>
      <c r="CY18" s="111" t="n"/>
      <c r="CZ18" s="111" t="n"/>
      <c r="DA18" s="111" t="n"/>
      <c r="DB18" s="111" t="n"/>
      <c r="DC18" s="111" t="n"/>
      <c r="DD18" s="111" t="n"/>
      <c r="DE18" s="111" t="n"/>
      <c r="DF18" s="111" t="n"/>
      <c r="DG18" s="111" t="n"/>
      <c r="DH18" s="111" t="n"/>
      <c r="DI18" s="111" t="n"/>
      <c r="DJ18" s="111" t="n"/>
      <c r="DK18" s="111" t="n"/>
      <c r="DL18" s="111" t="n"/>
      <c r="DM18" s="111" t="n"/>
      <c r="DN18" s="111" t="n"/>
      <c r="DO18" s="111" t="n"/>
      <c r="DP18" s="111" t="n"/>
      <c r="DQ18" s="111" t="n"/>
      <c r="DR18" s="111" t="n"/>
      <c r="DS18" s="111" t="n"/>
      <c r="DT18" s="111" t="n"/>
      <c r="DU18" s="111" t="n"/>
      <c r="DV18" s="111" t="n"/>
      <c r="DW18" s="111" t="n"/>
      <c r="DX18" s="111" t="n"/>
      <c r="DY18" s="111" t="n"/>
      <c r="DZ18" s="111" t="n"/>
      <c r="EA18" s="111" t="n"/>
      <c r="EB18" s="111" t="n"/>
      <c r="EC18" s="111" t="n"/>
      <c r="ED18" s="111" t="n"/>
      <c r="EE18" s="111" t="n"/>
      <c r="EF18" s="111" t="n"/>
      <c r="EG18" s="111" t="n"/>
      <c r="EH18" s="111" t="n"/>
      <c r="EI18" s="111" t="n"/>
      <c r="EJ18" s="111" t="n"/>
      <c r="EK18" s="111" t="n"/>
      <c r="EL18" s="111" t="n"/>
      <c r="EM18" s="111" t="n"/>
      <c r="EN18" s="111" t="n"/>
      <c r="EO18" s="111" t="n"/>
      <c r="EP18" s="111" t="n"/>
      <c r="EQ18" s="111" t="n"/>
      <c r="ER18" s="111" t="n"/>
      <c r="ES18" s="111" t="n"/>
      <c r="ET18" s="111" t="n"/>
      <c r="EU18" s="111" t="n"/>
      <c r="EV18" s="111" t="n"/>
      <c r="EW18" s="111" t="n"/>
      <c r="EX18" s="111" t="n"/>
      <c r="EY18" s="111" t="n"/>
      <c r="EZ18" s="111" t="n"/>
      <c r="FA18" s="111" t="n"/>
      <c r="FB18" s="111" t="n"/>
      <c r="FC18" s="111" t="n"/>
      <c r="FD18" s="111" t="n"/>
      <c r="FE18" s="111" t="n"/>
      <c r="FF18" s="111" t="n"/>
      <c r="FG18" s="111" t="n"/>
      <c r="FH18" s="111" t="n"/>
      <c r="FI18" s="111" t="n"/>
      <c r="FJ18" s="111" t="n"/>
      <c r="FK18" s="111" t="n"/>
      <c r="FL18" s="111" t="n"/>
      <c r="FM18" s="111" t="n"/>
      <c r="FN18" s="111" t="n"/>
      <c r="FO18" s="111" t="n"/>
      <c r="FP18" s="111" t="n"/>
      <c r="FQ18" s="111" t="n"/>
      <c r="FR18" s="111" t="n"/>
      <c r="FS18" s="111" t="n"/>
      <c r="FT18" s="111" t="n"/>
      <c r="FU18" s="111" t="n"/>
      <c r="FV18" s="111" t="n"/>
      <c r="FW18" s="111" t="n"/>
      <c r="FX18" s="111" t="n"/>
      <c r="FY18" s="111" t="n"/>
      <c r="FZ18" s="111" t="n"/>
      <c r="GA18" s="111" t="n"/>
      <c r="GB18" s="111" t="n"/>
      <c r="GC18" s="111" t="n"/>
      <c r="GD18" s="111" t="n"/>
      <c r="GE18" s="111" t="n"/>
      <c r="GF18" s="111" t="n"/>
      <c r="GG18" s="111" t="n"/>
      <c r="GH18" s="111" t="n"/>
      <c r="GI18" s="111" t="n"/>
      <c r="GJ18" s="111" t="n"/>
      <c r="GK18" s="111" t="n"/>
      <c r="GL18" s="111" t="n"/>
      <c r="GM18" s="111" t="n"/>
      <c r="GN18" s="111" t="n"/>
      <c r="GO18" s="111" t="n"/>
      <c r="GP18" s="111" t="n"/>
      <c r="GQ18" s="111" t="n"/>
      <c r="GR18" s="111" t="n"/>
      <c r="GS18" s="111" t="n"/>
      <c r="GT18" s="111" t="n"/>
      <c r="GU18" s="111" t="n"/>
      <c r="GV18" s="111" t="n"/>
      <c r="GW18" s="111" t="n"/>
      <c r="GX18" s="111" t="n"/>
      <c r="GY18" s="111" t="n"/>
      <c r="GZ18" s="111" t="n"/>
      <c r="HA18" s="111" t="n"/>
      <c r="HB18" s="111" t="n"/>
      <c r="HC18" s="111" t="n"/>
      <c r="HD18" s="111" t="n"/>
      <c r="HE18" s="111" t="n"/>
      <c r="HF18" s="111" t="n"/>
      <c r="HG18" s="111" t="n"/>
      <c r="HH18" s="111" t="n"/>
      <c r="HI18" s="111" t="n"/>
      <c r="HJ18" s="111" t="n"/>
      <c r="HK18" s="111" t="n"/>
      <c r="HL18" s="111" t="n"/>
      <c r="HM18" s="111" t="n"/>
      <c r="HN18" s="111" t="n"/>
      <c r="HO18" s="111" t="n"/>
      <c r="HP18" s="111" t="n"/>
      <c r="HQ18" s="111" t="n"/>
      <c r="HR18" s="111" t="n"/>
      <c r="HS18" s="111" t="n"/>
      <c r="HT18" s="111" t="n"/>
      <c r="HU18" s="111" t="n"/>
      <c r="HV18" s="111" t="n"/>
      <c r="HW18" s="111" t="n"/>
      <c r="HX18" s="111" t="n"/>
      <c r="HY18" s="111" t="n"/>
      <c r="HZ18" s="111" t="n"/>
      <c r="IA18" s="111" t="n"/>
      <c r="IB18" s="111" t="n"/>
      <c r="IC18" s="111" t="n"/>
      <c r="ID18" s="111" t="n"/>
      <c r="IE18" s="111" t="n"/>
      <c r="IF18" s="111" t="n"/>
      <c r="IG18" s="111" t="n"/>
      <c r="IH18" s="111" t="n"/>
      <c r="II18" s="111" t="n"/>
      <c r="IJ18" s="111" t="n"/>
      <c r="IK18" s="111" t="n"/>
      <c r="IL18" s="111" t="n"/>
      <c r="IM18" s="111" t="n"/>
      <c r="IN18" s="111" t="n"/>
      <c r="IO18" s="111" t="n"/>
      <c r="IP18" s="111" t="n"/>
      <c r="IQ18" s="111" t="n"/>
      <c r="IR18" s="111" t="n"/>
      <c r="IS18" s="111" t="n"/>
      <c r="IT18" s="111" t="n"/>
      <c r="IU18" s="111" t="n"/>
      <c r="IV18" s="111" t="n"/>
      <c r="IW18" s="111" t="n"/>
      <c r="IX18" s="111" t="n"/>
      <c r="IY18" s="111" t="n"/>
      <c r="IZ18" s="111" t="n"/>
      <c r="JA18" s="111" t="n"/>
      <c r="JB18" s="111" t="n"/>
      <c r="JC18" s="111" t="n"/>
      <c r="JD18" s="111" t="n"/>
      <c r="JE18" s="111" t="n"/>
      <c r="JF18" s="111" t="n"/>
      <c r="JG18" s="111" t="n"/>
      <c r="JH18" s="111" t="n"/>
      <c r="JI18" s="111" t="n"/>
      <c r="JJ18" s="111" t="n"/>
      <c r="JK18" s="111" t="n"/>
      <c r="JL18" s="111" t="n"/>
      <c r="JM18" s="111" t="n"/>
      <c r="JN18" s="111" t="n"/>
      <c r="JO18" s="111" t="n"/>
      <c r="JP18" s="111" t="n"/>
      <c r="JQ18" s="111" t="n"/>
      <c r="JR18" s="111" t="n"/>
      <c r="JS18" s="111" t="n"/>
      <c r="JT18" s="111" t="n"/>
      <c r="JU18" s="111" t="n"/>
      <c r="JV18" s="111" t="n"/>
      <c r="JW18" s="111" t="n"/>
      <c r="JX18" s="111" t="n"/>
      <c r="JY18" s="111" t="n"/>
      <c r="JZ18" s="111" t="n"/>
      <c r="KA18" s="111" t="n"/>
      <c r="KB18" s="111" t="n"/>
      <c r="KC18" s="111" t="n"/>
      <c r="KD18" s="111" t="n"/>
      <c r="KE18" s="111" t="n"/>
      <c r="KF18" s="111" t="n"/>
      <c r="KG18" s="111" t="n"/>
      <c r="KH18" s="111" t="n"/>
      <c r="KI18" s="111" t="n"/>
      <c r="KJ18" s="111" t="n"/>
      <c r="KK18" s="111" t="n"/>
      <c r="KL18" s="111" t="n"/>
      <c r="KM18" s="111" t="n"/>
      <c r="KN18" s="111" t="n"/>
      <c r="KO18" s="111" t="n"/>
      <c r="KP18" s="111" t="n"/>
      <c r="KQ18" s="111" t="n"/>
      <c r="KR18" s="111" t="n"/>
      <c r="KS18" s="111" t="n"/>
      <c r="KT18" s="111" t="n"/>
      <c r="KU18" s="111" t="n"/>
      <c r="KV18" s="111" t="n"/>
      <c r="KW18" s="111" t="n"/>
      <c r="KX18" s="111" t="n"/>
      <c r="KY18" s="111" t="n"/>
      <c r="KZ18" s="111" t="n"/>
      <c r="LA18" s="111" t="n"/>
      <c r="LB18" s="111" t="n"/>
      <c r="LC18" s="111" t="n"/>
      <c r="LD18" s="111" t="n"/>
      <c r="LE18" s="111" t="n"/>
      <c r="LF18" s="111" t="n"/>
      <c r="LG18" s="111" t="n"/>
      <c r="LH18" s="111" t="n"/>
      <c r="LI18" s="111" t="n"/>
      <c r="LJ18" s="111" t="n"/>
      <c r="LK18" s="111" t="n"/>
      <c r="LL18" s="111" t="n"/>
      <c r="LM18" s="111" t="n"/>
      <c r="LN18" s="111" t="n"/>
      <c r="LO18" s="111" t="n"/>
      <c r="LP18" s="111" t="n"/>
      <c r="LQ18" s="111" t="n"/>
      <c r="LR18" s="111" t="n"/>
      <c r="LS18" s="111" t="n"/>
      <c r="LT18" s="111" t="n"/>
      <c r="LU18" s="111" t="n"/>
      <c r="LV18" s="111" t="n"/>
      <c r="LW18" s="111" t="n"/>
      <c r="LX18" s="111" t="n"/>
      <c r="LY18" s="111" t="n"/>
      <c r="LZ18" s="111" t="n"/>
      <c r="MA18" s="111" t="n"/>
      <c r="MB18" s="111" t="n"/>
      <c r="MC18" s="111" t="n"/>
      <c r="MD18" s="111" t="n"/>
      <c r="ME18" s="111" t="n"/>
      <c r="MF18" s="111" t="n"/>
      <c r="MG18" s="111" t="n"/>
      <c r="MH18" s="111" t="n"/>
      <c r="MI18" s="111" t="n"/>
      <c r="MJ18" s="111" t="n"/>
      <c r="MK18" s="111" t="n"/>
      <c r="ML18" s="111" t="n"/>
      <c r="MM18" s="111" t="n"/>
      <c r="MN18" s="111" t="n"/>
      <c r="MO18" s="111" t="n"/>
      <c r="MP18" s="111" t="n"/>
      <c r="MQ18" s="111" t="n"/>
      <c r="MR18" s="111" t="n"/>
      <c r="MS18" s="111" t="n"/>
      <c r="MT18" s="111" t="n"/>
      <c r="MU18" s="111" t="n"/>
      <c r="MV18" s="111" t="n"/>
      <c r="MW18" s="111" t="n"/>
      <c r="MX18" s="111" t="n"/>
      <c r="MY18" s="111" t="n"/>
      <c r="MZ18" s="111" t="n"/>
      <c r="NA18" s="111" t="n"/>
      <c r="NB18" s="111" t="n"/>
      <c r="NC18" s="111" t="n"/>
      <c r="ND18" s="111" t="n"/>
      <c r="NE18" s="111" t="n"/>
      <c r="NF18" s="111" t="n"/>
      <c r="NG18" s="111" t="n"/>
      <c r="NH18" s="111" t="n"/>
      <c r="NI18" s="111" t="n"/>
      <c r="NJ18" s="111" t="n"/>
      <c r="NK18" s="111" t="n"/>
      <c r="NL18" s="111" t="n"/>
      <c r="NM18" s="111" t="n"/>
      <c r="NN18" s="111" t="n"/>
      <c r="NO18" s="111" t="n"/>
    </row>
    <row r="19" customFormat="1" s="17">
      <c r="A19" s="33">
        <f>IF(ISERROR(VALUE(SUBSTITUTE(OFFSET(A19,-1,0,1,1),".",""))),"0.0.0.1",IF(ISERROR(FIND("`",SUBSTITUTE(OFFSET(A19,-1,0,1,1),".","`",3))),OFFSET(A19,-1,0,1,1)&amp;".1",LEFT(OFFSET(A19,-1,0,1,1),FIND("`",SUBSTITUTE(OFFSET(A19,-1,0,1,1),".","`",3)))&amp;IF(ISERROR(FIND("`",SUBSTITUTE(OFFSET(A19,-1,0,1,1),".","`",4))),VALUE(RIGHT(OFFSET(A19,-1,0,1,1),LEN(OFFSET(A19,-1,0,1,1))-FIND("`",SUBSTITUTE(OFFSET(A19,-1,0,1,1),".","`",3))))+1,VALUE(MID(OFFSET(A19,-1,0,1,1),FIND("`",SUBSTITUTE(OFFSET(A19,-1,0,1,1),".","`",3))+1,(FIND("`",SUBSTITUTE(OFFSET(A19,-1,0,1,1),".","`",4))-FIND("`",SUBSTITUTE(OFFSET(A19,-1,0,1,1),".","`",3))-1)))+1)))</f>
        <v/>
      </c>
      <c r="B19" s="19" t="inlineStr">
        <is>
          <t>Level 4</t>
        </is>
      </c>
      <c r="C19" s="11" t="n"/>
      <c r="D19" s="37" t="n"/>
      <c r="E19" s="37" t="n"/>
      <c r="F19" s="37" t="n"/>
      <c r="G19" s="274" t="n">
        <v>41367</v>
      </c>
      <c r="H19" s="275">
        <f>IF(I19=0,G19,WORKDAY(IF(WEEKDAY(G19,1)=7,G19+2,IF(WEEKDAY(G19,1)=1,G19+1,G19)),I19-1,holidays))</f>
        <v/>
      </c>
      <c r="I19" s="79" t="n">
        <v>8</v>
      </c>
      <c r="J19" s="80" t="n"/>
      <c r="K19" s="15">
        <f>IF(OR(G19=0,H19=0),0,H19-G19+1)</f>
        <v/>
      </c>
      <c r="L19" s="15">
        <f>MIN(K19,WORKDAY(G19,ROUNDDOWN(J19*I19,0),holidays)-G19)</f>
        <v/>
      </c>
      <c r="M19" s="14">
        <f>K19-L19</f>
        <v/>
      </c>
      <c r="N19" s="113" t="n">
        <v>1</v>
      </c>
      <c r="O19" s="17" t="n"/>
      <c r="P19" s="111" t="n"/>
      <c r="Q19" s="111" t="n"/>
      <c r="R19" s="111" t="n"/>
      <c r="S19" s="111" t="n"/>
      <c r="T19" s="111" t="n"/>
      <c r="U19" s="111" t="n"/>
      <c r="V19" s="111" t="n"/>
      <c r="W19" s="111" t="n"/>
      <c r="X19" s="111" t="n"/>
      <c r="Y19" s="111" t="n"/>
      <c r="Z19" s="111" t="n"/>
      <c r="AA19" s="111" t="n"/>
      <c r="AB19" s="111" t="n"/>
      <c r="AC19" s="111" t="n"/>
      <c r="AD19" s="111" t="n"/>
      <c r="AE19" s="111" t="n"/>
      <c r="AF19" s="111" t="n"/>
      <c r="AG19" s="111" t="n"/>
      <c r="AH19" s="111" t="n"/>
      <c r="AI19" s="111" t="n"/>
      <c r="AJ19" s="111" t="n"/>
      <c r="AK19" s="111" t="n"/>
      <c r="AL19" s="111" t="n"/>
      <c r="AM19" s="111" t="n"/>
      <c r="AN19" s="111" t="n"/>
      <c r="AO19" s="111" t="n"/>
      <c r="AP19" s="111" t="n"/>
      <c r="AQ19" s="111" t="n"/>
      <c r="AR19" s="111" t="n"/>
      <c r="AS19" s="111" t="n"/>
      <c r="AT19" s="111" t="n"/>
      <c r="AU19" s="111" t="n"/>
      <c r="AV19" s="111" t="n"/>
      <c r="AW19" s="111" t="n"/>
      <c r="AX19" s="111" t="n"/>
      <c r="AY19" s="111" t="n"/>
      <c r="AZ19" s="111" t="n"/>
      <c r="BA19" s="111" t="n"/>
      <c r="BB19" s="111" t="n"/>
      <c r="BC19" s="111" t="n"/>
      <c r="BD19" s="111" t="n"/>
      <c r="BE19" s="111" t="n"/>
      <c r="BF19" s="111" t="n"/>
      <c r="BG19" s="111" t="n"/>
      <c r="BH19" s="111" t="n"/>
      <c r="BI19" s="111" t="n"/>
      <c r="BJ19" s="111" t="n"/>
      <c r="BK19" s="111" t="n"/>
      <c r="BL19" s="111" t="n"/>
      <c r="BM19" s="111" t="n"/>
      <c r="BN19" s="111" t="n"/>
      <c r="BO19" s="111" t="n"/>
      <c r="BP19" s="111" t="n"/>
      <c r="BQ19" s="111" t="n"/>
      <c r="BR19" s="111" t="n"/>
      <c r="BS19" s="111" t="n"/>
      <c r="BT19" s="111" t="n"/>
      <c r="BU19" s="111" t="n"/>
      <c r="BV19" s="111" t="n"/>
      <c r="BW19" s="111" t="n"/>
      <c r="BX19" s="111" t="n"/>
      <c r="BY19" s="111" t="n"/>
      <c r="BZ19" s="111" t="n"/>
      <c r="CA19" s="111" t="n"/>
      <c r="CB19" s="111" t="n"/>
      <c r="CC19" s="111" t="n"/>
      <c r="CD19" s="111" t="n"/>
      <c r="CE19" s="111" t="n"/>
      <c r="CF19" s="111" t="n"/>
      <c r="CG19" s="111" t="n"/>
      <c r="CH19" s="111" t="n"/>
      <c r="CI19" s="111" t="n"/>
      <c r="CJ19" s="111" t="n"/>
      <c r="CK19" s="111" t="n"/>
      <c r="CL19" s="111" t="n"/>
      <c r="CM19" s="111" t="n"/>
      <c r="CN19" s="111" t="n"/>
      <c r="CO19" s="111" t="n"/>
      <c r="CP19" s="111" t="n"/>
      <c r="CQ19" s="111" t="n"/>
      <c r="CR19" s="111" t="n"/>
      <c r="CS19" s="111" t="n"/>
      <c r="CT19" s="111" t="n"/>
      <c r="CU19" s="111" t="n"/>
      <c r="CV19" s="111" t="n"/>
      <c r="CW19" s="111" t="n"/>
      <c r="CX19" s="111" t="n"/>
      <c r="CY19" s="111" t="n"/>
      <c r="CZ19" s="111" t="n"/>
      <c r="DA19" s="111" t="n"/>
      <c r="DB19" s="111" t="n"/>
      <c r="DC19" s="111" t="n"/>
      <c r="DD19" s="111" t="n"/>
      <c r="DE19" s="111" t="n"/>
      <c r="DF19" s="111" t="n"/>
      <c r="DG19" s="111" t="n"/>
      <c r="DH19" s="111" t="n"/>
      <c r="DI19" s="111" t="n"/>
      <c r="DJ19" s="111" t="n"/>
      <c r="DK19" s="111" t="n"/>
      <c r="DL19" s="111" t="n"/>
      <c r="DM19" s="111" t="n"/>
      <c r="DN19" s="111" t="n"/>
      <c r="DO19" s="111" t="n"/>
      <c r="DP19" s="111" t="n"/>
      <c r="DQ19" s="111" t="n"/>
      <c r="DR19" s="111" t="n"/>
      <c r="DS19" s="111" t="n"/>
      <c r="DT19" s="111" t="n"/>
      <c r="DU19" s="111" t="n"/>
      <c r="DV19" s="111" t="n"/>
      <c r="DW19" s="111" t="n"/>
      <c r="DX19" s="111" t="n"/>
      <c r="DY19" s="111" t="n"/>
      <c r="DZ19" s="111" t="n"/>
      <c r="EA19" s="111" t="n"/>
      <c r="EB19" s="111" t="n"/>
      <c r="EC19" s="111" t="n"/>
      <c r="ED19" s="111" t="n"/>
      <c r="EE19" s="111" t="n"/>
      <c r="EF19" s="111" t="n"/>
      <c r="EG19" s="111" t="n"/>
      <c r="EH19" s="111" t="n"/>
      <c r="EI19" s="111" t="n"/>
      <c r="EJ19" s="111" t="n"/>
      <c r="EK19" s="111" t="n"/>
      <c r="EL19" s="111" t="n"/>
      <c r="EM19" s="111" t="n"/>
      <c r="EN19" s="111" t="n"/>
      <c r="EO19" s="111" t="n"/>
      <c r="EP19" s="111" t="n"/>
      <c r="EQ19" s="111" t="n"/>
      <c r="ER19" s="111" t="n"/>
      <c r="ES19" s="111" t="n"/>
      <c r="ET19" s="111" t="n"/>
      <c r="EU19" s="111" t="n"/>
      <c r="EV19" s="111" t="n"/>
      <c r="EW19" s="111" t="n"/>
      <c r="EX19" s="111" t="n"/>
      <c r="EY19" s="111" t="n"/>
      <c r="EZ19" s="111" t="n"/>
      <c r="FA19" s="111" t="n"/>
      <c r="FB19" s="111" t="n"/>
      <c r="FC19" s="111" t="n"/>
      <c r="FD19" s="111" t="n"/>
      <c r="FE19" s="111" t="n"/>
      <c r="FF19" s="111" t="n"/>
      <c r="FG19" s="111" t="n"/>
      <c r="FH19" s="111" t="n"/>
      <c r="FI19" s="111" t="n"/>
      <c r="FJ19" s="111" t="n"/>
      <c r="FK19" s="111" t="n"/>
      <c r="FL19" s="111" t="n"/>
      <c r="FM19" s="111" t="n"/>
      <c r="FN19" s="111" t="n"/>
      <c r="FO19" s="111" t="n"/>
      <c r="FP19" s="111" t="n"/>
      <c r="FQ19" s="111" t="n"/>
      <c r="FR19" s="111" t="n"/>
      <c r="FS19" s="111" t="n"/>
      <c r="FT19" s="111" t="n"/>
      <c r="FU19" s="111" t="n"/>
      <c r="FV19" s="111" t="n"/>
      <c r="FW19" s="111" t="n"/>
      <c r="FX19" s="111" t="n"/>
      <c r="FY19" s="111" t="n"/>
      <c r="FZ19" s="111" t="n"/>
      <c r="GA19" s="111" t="n"/>
      <c r="GB19" s="111" t="n"/>
      <c r="GC19" s="111" t="n"/>
      <c r="GD19" s="111" t="n"/>
      <c r="GE19" s="111" t="n"/>
      <c r="GF19" s="111" t="n"/>
      <c r="GG19" s="111" t="n"/>
      <c r="GH19" s="111" t="n"/>
      <c r="GI19" s="111" t="n"/>
      <c r="GJ19" s="111" t="n"/>
      <c r="GK19" s="111" t="n"/>
      <c r="GL19" s="111" t="n"/>
      <c r="GM19" s="111" t="n"/>
      <c r="GN19" s="111" t="n"/>
      <c r="GO19" s="111" t="n"/>
      <c r="GP19" s="111" t="n"/>
      <c r="GQ19" s="111" t="n"/>
      <c r="GR19" s="111" t="n"/>
      <c r="GS19" s="111" t="n"/>
      <c r="GT19" s="111" t="n"/>
      <c r="GU19" s="111" t="n"/>
      <c r="GV19" s="111" t="n"/>
      <c r="GW19" s="111" t="n"/>
      <c r="GX19" s="111" t="n"/>
      <c r="GY19" s="111" t="n"/>
      <c r="GZ19" s="111" t="n"/>
      <c r="HA19" s="111" t="n"/>
      <c r="HB19" s="111" t="n"/>
      <c r="HC19" s="111" t="n"/>
      <c r="HD19" s="111" t="n"/>
      <c r="HE19" s="111" t="n"/>
      <c r="HF19" s="111" t="n"/>
      <c r="HG19" s="111" t="n"/>
      <c r="HH19" s="111" t="n"/>
      <c r="HI19" s="111" t="n"/>
      <c r="HJ19" s="111" t="n"/>
      <c r="HK19" s="111" t="n"/>
      <c r="HL19" s="111" t="n"/>
      <c r="HM19" s="111" t="n"/>
      <c r="HN19" s="111" t="n"/>
      <c r="HO19" s="111" t="n"/>
      <c r="HP19" s="111" t="n"/>
      <c r="HQ19" s="111" t="n"/>
      <c r="HR19" s="111" t="n"/>
      <c r="HS19" s="111" t="n"/>
      <c r="HT19" s="111" t="n"/>
      <c r="HU19" s="111" t="n"/>
      <c r="HV19" s="111" t="n"/>
      <c r="HW19" s="111" t="n"/>
      <c r="HX19" s="111" t="n"/>
      <c r="HY19" s="111" t="n"/>
      <c r="HZ19" s="111" t="n"/>
      <c r="IA19" s="111" t="n"/>
      <c r="IB19" s="111" t="n"/>
      <c r="IC19" s="111" t="n"/>
      <c r="ID19" s="111" t="n"/>
      <c r="IE19" s="111" t="n"/>
      <c r="IF19" s="111" t="n"/>
      <c r="IG19" s="111" t="n"/>
      <c r="IH19" s="111" t="n"/>
      <c r="II19" s="111" t="n"/>
      <c r="IJ19" s="111" t="n"/>
      <c r="IK19" s="111" t="n"/>
      <c r="IL19" s="111" t="n"/>
      <c r="IM19" s="111" t="n"/>
      <c r="IN19" s="111" t="n"/>
      <c r="IO19" s="111" t="n"/>
      <c r="IP19" s="111" t="n"/>
      <c r="IQ19" s="111" t="n"/>
      <c r="IR19" s="111" t="n"/>
      <c r="IS19" s="111" t="n"/>
      <c r="IT19" s="111" t="n"/>
      <c r="IU19" s="111" t="n"/>
      <c r="IV19" s="111" t="n"/>
      <c r="IW19" s="111" t="n"/>
      <c r="IX19" s="111" t="n"/>
      <c r="IY19" s="111" t="n"/>
      <c r="IZ19" s="111" t="n"/>
      <c r="JA19" s="111" t="n"/>
      <c r="JB19" s="111" t="n"/>
      <c r="JC19" s="111" t="n"/>
      <c r="JD19" s="111" t="n"/>
      <c r="JE19" s="111" t="n"/>
      <c r="JF19" s="111" t="n"/>
      <c r="JG19" s="111" t="n"/>
      <c r="JH19" s="111" t="n"/>
      <c r="JI19" s="111" t="n"/>
      <c r="JJ19" s="111" t="n"/>
      <c r="JK19" s="111" t="n"/>
      <c r="JL19" s="111" t="n"/>
      <c r="JM19" s="111" t="n"/>
      <c r="JN19" s="111" t="n"/>
      <c r="JO19" s="111" t="n"/>
      <c r="JP19" s="111" t="n"/>
      <c r="JQ19" s="111" t="n"/>
      <c r="JR19" s="111" t="n"/>
      <c r="JS19" s="111" t="n"/>
      <c r="JT19" s="111" t="n"/>
      <c r="JU19" s="111" t="n"/>
      <c r="JV19" s="111" t="n"/>
      <c r="JW19" s="111" t="n"/>
      <c r="JX19" s="111" t="n"/>
      <c r="JY19" s="111" t="n"/>
      <c r="JZ19" s="111" t="n"/>
      <c r="KA19" s="111" t="n"/>
      <c r="KB19" s="111" t="n"/>
      <c r="KC19" s="111" t="n"/>
      <c r="KD19" s="111" t="n"/>
      <c r="KE19" s="111" t="n"/>
      <c r="KF19" s="111" t="n"/>
      <c r="KG19" s="111" t="n"/>
      <c r="KH19" s="111" t="n"/>
      <c r="KI19" s="111" t="n"/>
      <c r="KJ19" s="111" t="n"/>
      <c r="KK19" s="111" t="n"/>
      <c r="KL19" s="111" t="n"/>
      <c r="KM19" s="111" t="n"/>
      <c r="KN19" s="111" t="n"/>
      <c r="KO19" s="111" t="n"/>
      <c r="KP19" s="111" t="n"/>
      <c r="KQ19" s="111" t="n"/>
      <c r="KR19" s="111" t="n"/>
      <c r="KS19" s="111" t="n"/>
      <c r="KT19" s="111" t="n"/>
      <c r="KU19" s="111" t="n"/>
      <c r="KV19" s="111" t="n"/>
      <c r="KW19" s="111" t="n"/>
      <c r="KX19" s="111" t="n"/>
      <c r="KY19" s="111" t="n"/>
      <c r="KZ19" s="111" t="n"/>
      <c r="LA19" s="111" t="n"/>
      <c r="LB19" s="111" t="n"/>
      <c r="LC19" s="111" t="n"/>
      <c r="LD19" s="111" t="n"/>
      <c r="LE19" s="111" t="n"/>
      <c r="LF19" s="111" t="n"/>
      <c r="LG19" s="111" t="n"/>
      <c r="LH19" s="111" t="n"/>
      <c r="LI19" s="111" t="n"/>
      <c r="LJ19" s="111" t="n"/>
      <c r="LK19" s="111" t="n"/>
      <c r="LL19" s="111" t="n"/>
      <c r="LM19" s="111" t="n"/>
      <c r="LN19" s="111" t="n"/>
      <c r="LO19" s="111" t="n"/>
      <c r="LP19" s="111" t="n"/>
      <c r="LQ19" s="111" t="n"/>
      <c r="LR19" s="111" t="n"/>
      <c r="LS19" s="111" t="n"/>
      <c r="LT19" s="111" t="n"/>
      <c r="LU19" s="111" t="n"/>
      <c r="LV19" s="111" t="n"/>
      <c r="LW19" s="111" t="n"/>
      <c r="LX19" s="111" t="n"/>
      <c r="LY19" s="111" t="n"/>
      <c r="LZ19" s="111" t="n"/>
      <c r="MA19" s="111" t="n"/>
      <c r="MB19" s="111" t="n"/>
      <c r="MC19" s="111" t="n"/>
      <c r="MD19" s="111" t="n"/>
      <c r="ME19" s="111" t="n"/>
      <c r="MF19" s="111" t="n"/>
      <c r="MG19" s="111" t="n"/>
      <c r="MH19" s="111" t="n"/>
      <c r="MI19" s="111" t="n"/>
      <c r="MJ19" s="111" t="n"/>
      <c r="MK19" s="111" t="n"/>
      <c r="ML19" s="111" t="n"/>
      <c r="MM19" s="111" t="n"/>
      <c r="MN19" s="111" t="n"/>
      <c r="MO19" s="111" t="n"/>
      <c r="MP19" s="111" t="n"/>
      <c r="MQ19" s="111" t="n"/>
      <c r="MR19" s="111" t="n"/>
      <c r="MS19" s="111" t="n"/>
      <c r="MT19" s="111" t="n"/>
      <c r="MU19" s="111" t="n"/>
      <c r="MV19" s="111" t="n"/>
      <c r="MW19" s="111" t="n"/>
      <c r="MX19" s="111" t="n"/>
      <c r="MY19" s="111" t="n"/>
      <c r="MZ19" s="111" t="n"/>
      <c r="NA19" s="111" t="n"/>
      <c r="NB19" s="111" t="n"/>
      <c r="NC19" s="111" t="n"/>
      <c r="ND19" s="111" t="n"/>
      <c r="NE19" s="111" t="n"/>
      <c r="NF19" s="111" t="n"/>
      <c r="NG19" s="111" t="n"/>
      <c r="NH19" s="111" t="n"/>
      <c r="NI19" s="111" t="n"/>
      <c r="NJ19" s="111" t="n"/>
      <c r="NK19" s="111" t="n"/>
      <c r="NL19" s="111" t="n"/>
      <c r="NM19" s="111" t="n"/>
      <c r="NN19" s="111" t="n"/>
      <c r="NO19" s="111" t="n"/>
    </row>
    <row r="20" customFormat="1" s="17">
      <c r="A20" s="33">
        <f>IF(ISERROR(VALUE(SUBSTITUTE(OFFSET(A20,-1,0,1,1),".",""))),"0.0.1",IF(ISERROR(FIND("`",SUBSTITUTE(OFFSET(A20,-1,0,1,1),".","`",2))),OFFSET(A20,-1,0,1,1)&amp;".1",LEFT(OFFSET(A20,-1,0,1,1),FIND("`",SUBSTITUTE(OFFSET(A20,-1,0,1,1),".","`",2)))&amp;IF(ISERROR(FIND("`",SUBSTITUTE(OFFSET(A20,-1,0,1,1),".","`",3))),VALUE(RIGHT(OFFSET(A20,-1,0,1,1),LEN(OFFSET(A20,-1,0,1,1))-FIND("`",SUBSTITUTE(OFFSET(A20,-1,0,1,1),".","`",2))))+1,VALUE(MID(OFFSET(A20,-1,0,1,1),FIND("`",SUBSTITUTE(OFFSET(A20,-1,0,1,1),".","`",2))+1,(FIND("`",SUBSTITUTE(OFFSET(A20,-1,0,1,1),".","`",3))-FIND("`",SUBSTITUTE(OFFSET(A20,-1,0,1,1),".","`",2))-1)))+1)))</f>
        <v/>
      </c>
      <c r="B20" s="18" t="inlineStr">
        <is>
          <t>[ Level 3 Task ]</t>
        </is>
      </c>
      <c r="C20" s="11" t="n"/>
      <c r="D20" s="37" t="n"/>
      <c r="E20" s="37" t="n"/>
      <c r="F20" s="37" t="n"/>
      <c r="G20" s="274" t="n">
        <v>41374</v>
      </c>
      <c r="H20" s="275">
        <f>IF(I20=0,G20,WORKDAY(IF(WEEKDAY(G20,1)=7,G20+2,IF(WEEKDAY(G20,1)=1,G20+1,G20)),I20-1,holidays))</f>
        <v/>
      </c>
      <c r="I20" s="79" t="n">
        <v>8</v>
      </c>
      <c r="J20" s="80" t="n"/>
      <c r="K20" s="15">
        <f>IF(OR(G20=0,H20=0),0,H20-G20+1)</f>
        <v/>
      </c>
      <c r="L20" s="15">
        <f>MIN(K20,WORKDAY(G20,ROUNDDOWN(J20*I20,0),holidays)-G20)</f>
        <v/>
      </c>
      <c r="M20" s="14">
        <f>K20-L20</f>
        <v/>
      </c>
      <c r="N20" s="113" t="n">
        <v>2</v>
      </c>
      <c r="O20" s="17" t="n"/>
      <c r="P20" s="111" t="n"/>
      <c r="Q20" s="111" t="n"/>
      <c r="R20" s="111" t="n"/>
      <c r="S20" s="111" t="n"/>
      <c r="T20" s="111" t="n"/>
      <c r="U20" s="111" t="n"/>
      <c r="V20" s="111" t="n"/>
      <c r="W20" s="111" t="n"/>
      <c r="X20" s="111" t="n"/>
      <c r="Y20" s="111" t="n"/>
      <c r="Z20" s="111" t="n"/>
      <c r="AA20" s="111" t="n"/>
      <c r="AB20" s="111" t="n"/>
      <c r="AC20" s="111" t="n"/>
      <c r="AD20" s="111" t="n"/>
      <c r="AE20" s="111" t="n"/>
      <c r="AF20" s="111" t="n"/>
      <c r="AG20" s="111" t="n"/>
      <c r="AH20" s="111" t="n"/>
      <c r="AI20" s="111" t="n"/>
      <c r="AJ20" s="111" t="n"/>
      <c r="AK20" s="111" t="n"/>
      <c r="AL20" s="111" t="n"/>
      <c r="AM20" s="111" t="n"/>
      <c r="AN20" s="111" t="n"/>
      <c r="AO20" s="111" t="n"/>
      <c r="AP20" s="111" t="n"/>
      <c r="AQ20" s="111" t="n"/>
      <c r="AR20" s="111" t="n"/>
      <c r="AS20" s="111" t="n"/>
      <c r="AT20" s="111" t="n"/>
      <c r="AU20" s="111" t="n"/>
      <c r="AV20" s="111" t="n"/>
      <c r="AW20" s="111" t="n"/>
      <c r="AX20" s="111" t="n"/>
      <c r="AY20" s="111" t="n"/>
      <c r="AZ20" s="111" t="n"/>
      <c r="BA20" s="111" t="n"/>
      <c r="BB20" s="111" t="n"/>
      <c r="BC20" s="111" t="n"/>
      <c r="BD20" s="111" t="n"/>
      <c r="BE20" s="111" t="n"/>
      <c r="BF20" s="111" t="n"/>
      <c r="BG20" s="111" t="n"/>
      <c r="BH20" s="111" t="n"/>
      <c r="BI20" s="111" t="n"/>
      <c r="BJ20" s="111" t="n"/>
      <c r="BK20" s="111" t="n"/>
      <c r="BL20" s="111" t="n"/>
      <c r="BM20" s="111" t="n"/>
      <c r="BN20" s="111" t="n"/>
      <c r="BO20" s="111" t="n"/>
      <c r="BP20" s="111" t="n"/>
      <c r="BQ20" s="111" t="n"/>
      <c r="BR20" s="111" t="n"/>
      <c r="BS20" s="111" t="n"/>
      <c r="BT20" s="111" t="n"/>
      <c r="BU20" s="111" t="n"/>
      <c r="BV20" s="111" t="n"/>
      <c r="BW20" s="111" t="n"/>
      <c r="BX20" s="111" t="n"/>
      <c r="BY20" s="111" t="n"/>
      <c r="BZ20" s="111" t="n"/>
      <c r="CA20" s="111" t="n"/>
      <c r="CB20" s="111" t="n"/>
      <c r="CC20" s="111" t="n"/>
      <c r="CD20" s="111" t="n"/>
      <c r="CE20" s="111" t="n"/>
      <c r="CF20" s="111" t="n"/>
      <c r="CG20" s="111" t="n"/>
      <c r="CH20" s="111" t="n"/>
      <c r="CI20" s="111" t="n"/>
      <c r="CJ20" s="111" t="n"/>
      <c r="CK20" s="111" t="n"/>
      <c r="CL20" s="111" t="n"/>
      <c r="CM20" s="111" t="n"/>
      <c r="CN20" s="111" t="n"/>
      <c r="CO20" s="111" t="n"/>
      <c r="CP20" s="111" t="n"/>
      <c r="CQ20" s="111" t="n"/>
      <c r="CR20" s="111" t="n"/>
      <c r="CS20" s="111" t="n"/>
      <c r="CT20" s="111" t="n"/>
      <c r="CU20" s="111" t="n"/>
      <c r="CV20" s="111" t="n"/>
      <c r="CW20" s="111" t="n"/>
      <c r="CX20" s="111" t="n"/>
      <c r="CY20" s="111" t="n"/>
      <c r="CZ20" s="111" t="n"/>
      <c r="DA20" s="111" t="n"/>
      <c r="DB20" s="111" t="n"/>
      <c r="DC20" s="111" t="n"/>
      <c r="DD20" s="111" t="n"/>
      <c r="DE20" s="111" t="n"/>
      <c r="DF20" s="111" t="n"/>
      <c r="DG20" s="111" t="n"/>
      <c r="DH20" s="111" t="n"/>
      <c r="DI20" s="111" t="n"/>
      <c r="DJ20" s="111" t="n"/>
      <c r="DK20" s="111" t="n"/>
      <c r="DL20" s="111" t="n"/>
      <c r="DM20" s="111" t="n"/>
      <c r="DN20" s="111" t="n"/>
      <c r="DO20" s="111" t="n"/>
      <c r="DP20" s="111" t="n"/>
      <c r="DQ20" s="111" t="n"/>
      <c r="DR20" s="111" t="n"/>
      <c r="DS20" s="111" t="n"/>
      <c r="DT20" s="111" t="n"/>
      <c r="DU20" s="111" t="n"/>
      <c r="DV20" s="111" t="n"/>
      <c r="DW20" s="111" t="n"/>
      <c r="DX20" s="111" t="n"/>
      <c r="DY20" s="111" t="n"/>
      <c r="DZ20" s="111" t="n"/>
      <c r="EA20" s="111" t="n"/>
      <c r="EB20" s="111" t="n"/>
      <c r="EC20" s="111" t="n"/>
      <c r="ED20" s="111" t="n"/>
      <c r="EE20" s="111" t="n"/>
      <c r="EF20" s="111" t="n"/>
      <c r="EG20" s="111" t="n"/>
      <c r="EH20" s="111" t="n"/>
      <c r="EI20" s="111" t="n"/>
      <c r="EJ20" s="111" t="n"/>
      <c r="EK20" s="111" t="n"/>
      <c r="EL20" s="111" t="n"/>
      <c r="EM20" s="111" t="n"/>
      <c r="EN20" s="111" t="n"/>
      <c r="EO20" s="111" t="n"/>
      <c r="EP20" s="111" t="n"/>
      <c r="EQ20" s="111" t="n"/>
      <c r="ER20" s="111" t="n"/>
      <c r="ES20" s="111" t="n"/>
      <c r="ET20" s="111" t="n"/>
      <c r="EU20" s="111" t="n"/>
      <c r="EV20" s="111" t="n"/>
      <c r="EW20" s="111" t="n"/>
      <c r="EX20" s="111" t="n"/>
      <c r="EY20" s="111" t="n"/>
      <c r="EZ20" s="111" t="n"/>
      <c r="FA20" s="111" t="n"/>
      <c r="FB20" s="111" t="n"/>
      <c r="FC20" s="111" t="n"/>
      <c r="FD20" s="111" t="n"/>
      <c r="FE20" s="111" t="n"/>
      <c r="FF20" s="111" t="n"/>
      <c r="FG20" s="111" t="n"/>
      <c r="FH20" s="111" t="n"/>
      <c r="FI20" s="111" t="n"/>
      <c r="FJ20" s="111" t="n"/>
      <c r="FK20" s="111" t="n"/>
      <c r="FL20" s="111" t="n"/>
      <c r="FM20" s="111" t="n"/>
      <c r="FN20" s="111" t="n"/>
      <c r="FO20" s="111" t="n"/>
      <c r="FP20" s="111" t="n"/>
      <c r="FQ20" s="111" t="n"/>
      <c r="FR20" s="111" t="n"/>
      <c r="FS20" s="111" t="n"/>
      <c r="FT20" s="111" t="n"/>
      <c r="FU20" s="111" t="n"/>
      <c r="FV20" s="111" t="n"/>
      <c r="FW20" s="111" t="n"/>
      <c r="FX20" s="111" t="n"/>
      <c r="FY20" s="111" t="n"/>
      <c r="FZ20" s="111" t="n"/>
      <c r="GA20" s="111" t="n"/>
      <c r="GB20" s="111" t="n"/>
      <c r="GC20" s="111" t="n"/>
      <c r="GD20" s="111" t="n"/>
      <c r="GE20" s="111" t="n"/>
      <c r="GF20" s="111" t="n"/>
      <c r="GG20" s="111" t="n"/>
      <c r="GH20" s="111" t="n"/>
      <c r="GI20" s="111" t="n"/>
      <c r="GJ20" s="111" t="n"/>
      <c r="GK20" s="111" t="n"/>
      <c r="GL20" s="111" t="n"/>
      <c r="GM20" s="111" t="n"/>
      <c r="GN20" s="111" t="n"/>
      <c r="GO20" s="111" t="n"/>
      <c r="GP20" s="111" t="n"/>
      <c r="GQ20" s="111" t="n"/>
      <c r="GR20" s="111" t="n"/>
      <c r="GS20" s="111" t="n"/>
      <c r="GT20" s="111" t="n"/>
      <c r="GU20" s="111" t="n"/>
      <c r="GV20" s="111" t="n"/>
      <c r="GW20" s="111" t="n"/>
      <c r="GX20" s="111" t="n"/>
      <c r="GY20" s="111" t="n"/>
      <c r="GZ20" s="111" t="n"/>
      <c r="HA20" s="111" t="n"/>
      <c r="HB20" s="111" t="n"/>
      <c r="HC20" s="111" t="n"/>
      <c r="HD20" s="111" t="n"/>
      <c r="HE20" s="111" t="n"/>
      <c r="HF20" s="111" t="n"/>
      <c r="HG20" s="111" t="n"/>
      <c r="HH20" s="111" t="n"/>
      <c r="HI20" s="111" t="n"/>
      <c r="HJ20" s="111" t="n"/>
      <c r="HK20" s="111" t="n"/>
      <c r="HL20" s="111" t="n"/>
      <c r="HM20" s="111" t="n"/>
      <c r="HN20" s="111" t="n"/>
      <c r="HO20" s="111" t="n"/>
      <c r="HP20" s="111" t="n"/>
      <c r="HQ20" s="111" t="n"/>
      <c r="HR20" s="111" t="n"/>
      <c r="HS20" s="111" t="n"/>
      <c r="HT20" s="111" t="n"/>
      <c r="HU20" s="111" t="n"/>
      <c r="HV20" s="111" t="n"/>
      <c r="HW20" s="111" t="n"/>
      <c r="HX20" s="111" t="n"/>
      <c r="HY20" s="111" t="n"/>
      <c r="HZ20" s="111" t="n"/>
      <c r="IA20" s="111" t="n"/>
      <c r="IB20" s="111" t="n"/>
      <c r="IC20" s="111" t="n"/>
      <c r="ID20" s="111" t="n"/>
      <c r="IE20" s="111" t="n"/>
      <c r="IF20" s="111" t="n"/>
      <c r="IG20" s="111" t="n"/>
      <c r="IH20" s="111" t="n"/>
      <c r="II20" s="111" t="n"/>
      <c r="IJ20" s="111" t="n"/>
      <c r="IK20" s="111" t="n"/>
      <c r="IL20" s="111" t="n"/>
      <c r="IM20" s="111" t="n"/>
      <c r="IN20" s="111" t="n"/>
      <c r="IO20" s="111" t="n"/>
      <c r="IP20" s="111" t="n"/>
      <c r="IQ20" s="111" t="n"/>
      <c r="IR20" s="111" t="n"/>
      <c r="IS20" s="111" t="n"/>
      <c r="IT20" s="111" t="n"/>
      <c r="IU20" s="111" t="n"/>
      <c r="IV20" s="111" t="n"/>
      <c r="IW20" s="111" t="n"/>
      <c r="IX20" s="111" t="n"/>
      <c r="IY20" s="111" t="n"/>
      <c r="IZ20" s="111" t="n"/>
      <c r="JA20" s="111" t="n"/>
      <c r="JB20" s="111" t="n"/>
      <c r="JC20" s="111" t="n"/>
      <c r="JD20" s="111" t="n"/>
      <c r="JE20" s="111" t="n"/>
      <c r="JF20" s="111" t="n"/>
      <c r="JG20" s="111" t="n"/>
      <c r="JH20" s="111" t="n"/>
      <c r="JI20" s="111" t="n"/>
      <c r="JJ20" s="111" t="n"/>
      <c r="JK20" s="111" t="n"/>
      <c r="JL20" s="111" t="n"/>
      <c r="JM20" s="111" t="n"/>
      <c r="JN20" s="111" t="n"/>
      <c r="JO20" s="111" t="n"/>
      <c r="JP20" s="111" t="n"/>
      <c r="JQ20" s="111" t="n"/>
      <c r="JR20" s="111" t="n"/>
      <c r="JS20" s="111" t="n"/>
      <c r="JT20" s="111" t="n"/>
      <c r="JU20" s="111" t="n"/>
      <c r="JV20" s="111" t="n"/>
      <c r="JW20" s="111" t="n"/>
      <c r="JX20" s="111" t="n"/>
      <c r="JY20" s="111" t="n"/>
      <c r="JZ20" s="111" t="n"/>
      <c r="KA20" s="111" t="n"/>
      <c r="KB20" s="111" t="n"/>
      <c r="KC20" s="111" t="n"/>
      <c r="KD20" s="111" t="n"/>
      <c r="KE20" s="111" t="n"/>
      <c r="KF20" s="111" t="n"/>
      <c r="KG20" s="111" t="n"/>
      <c r="KH20" s="111" t="n"/>
      <c r="KI20" s="111" t="n"/>
      <c r="KJ20" s="111" t="n"/>
      <c r="KK20" s="111" t="n"/>
      <c r="KL20" s="111" t="n"/>
      <c r="KM20" s="111" t="n"/>
      <c r="KN20" s="111" t="n"/>
      <c r="KO20" s="111" t="n"/>
      <c r="KP20" s="111" t="n"/>
      <c r="KQ20" s="111" t="n"/>
      <c r="KR20" s="111" t="n"/>
      <c r="KS20" s="111" t="n"/>
      <c r="KT20" s="111" t="n"/>
      <c r="KU20" s="111" t="n"/>
      <c r="KV20" s="111" t="n"/>
      <c r="KW20" s="111" t="n"/>
      <c r="KX20" s="111" t="n"/>
      <c r="KY20" s="111" t="n"/>
      <c r="KZ20" s="111" t="n"/>
      <c r="LA20" s="111" t="n"/>
      <c r="LB20" s="111" t="n"/>
      <c r="LC20" s="111" t="n"/>
      <c r="LD20" s="111" t="n"/>
      <c r="LE20" s="111" t="n"/>
      <c r="LF20" s="111" t="n"/>
      <c r="LG20" s="111" t="n"/>
      <c r="LH20" s="111" t="n"/>
      <c r="LI20" s="111" t="n"/>
      <c r="LJ20" s="111" t="n"/>
      <c r="LK20" s="111" t="n"/>
      <c r="LL20" s="111" t="n"/>
      <c r="LM20" s="111" t="n"/>
      <c r="LN20" s="111" t="n"/>
      <c r="LO20" s="111" t="n"/>
      <c r="LP20" s="111" t="n"/>
      <c r="LQ20" s="111" t="n"/>
      <c r="LR20" s="111" t="n"/>
      <c r="LS20" s="111" t="n"/>
      <c r="LT20" s="111" t="n"/>
      <c r="LU20" s="111" t="n"/>
      <c r="LV20" s="111" t="n"/>
      <c r="LW20" s="111" t="n"/>
      <c r="LX20" s="111" t="n"/>
      <c r="LY20" s="111" t="n"/>
      <c r="LZ20" s="111" t="n"/>
      <c r="MA20" s="111" t="n"/>
      <c r="MB20" s="111" t="n"/>
      <c r="MC20" s="111" t="n"/>
      <c r="MD20" s="111" t="n"/>
      <c r="ME20" s="111" t="n"/>
      <c r="MF20" s="111" t="n"/>
      <c r="MG20" s="111" t="n"/>
      <c r="MH20" s="111" t="n"/>
      <c r="MI20" s="111" t="n"/>
      <c r="MJ20" s="111" t="n"/>
      <c r="MK20" s="111" t="n"/>
      <c r="ML20" s="111" t="n"/>
      <c r="MM20" s="111" t="n"/>
      <c r="MN20" s="111" t="n"/>
      <c r="MO20" s="111" t="n"/>
      <c r="MP20" s="111" t="n"/>
      <c r="MQ20" s="111" t="n"/>
      <c r="MR20" s="111" t="n"/>
      <c r="MS20" s="111" t="n"/>
      <c r="MT20" s="111" t="n"/>
      <c r="MU20" s="111" t="n"/>
      <c r="MV20" s="111" t="n"/>
      <c r="MW20" s="111" t="n"/>
      <c r="MX20" s="111" t="n"/>
      <c r="MY20" s="111" t="n"/>
      <c r="MZ20" s="111" t="n"/>
      <c r="NA20" s="111" t="n"/>
      <c r="NB20" s="111" t="n"/>
      <c r="NC20" s="111" t="n"/>
      <c r="ND20" s="111" t="n"/>
      <c r="NE20" s="111" t="n"/>
      <c r="NF20" s="111" t="n"/>
      <c r="NG20" s="111" t="n"/>
      <c r="NH20" s="111" t="n"/>
      <c r="NI20" s="111" t="n"/>
      <c r="NJ20" s="111" t="n"/>
      <c r="NK20" s="111" t="n"/>
      <c r="NL20" s="111" t="n"/>
      <c r="NM20" s="111" t="n"/>
      <c r="NN20" s="111" t="n"/>
      <c r="NO20" s="111" t="n"/>
    </row>
    <row r="21" customFormat="1" s="17">
      <c r="A21" s="33">
        <f>IF(ISERROR(VALUE(SUBSTITUTE(OFFSET(A21,-1,0,1,1),".",""))),"0.1",IF(ISERROR(FIND("`",SUBSTITUTE(OFFSET(A21,-1,0,1,1),".","`",1))),OFFSET(A21,-1,0,1,1)&amp;".1",LEFT(OFFSET(A21,-1,0,1,1),FIND("`",SUBSTITUTE(OFFSET(A21,-1,0,1,1),".","`",1)))&amp;IF(ISERROR(FIND("`",SUBSTITUTE(OFFSET(A21,-1,0,1,1),".","`",2))),VALUE(RIGHT(OFFSET(A21,-1,0,1,1),LEN(OFFSET(A21,-1,0,1,1))-FIND("`",SUBSTITUTE(OFFSET(A21,-1,0,1,1),".","`",1))))+1,VALUE(MID(OFFSET(A21,-1,0,1,1),FIND("`",SUBSTITUTE(OFFSET(A21,-1,0,1,1),".","`",1))+1,(FIND("`",SUBSTITUTE(OFFSET(A21,-1,0,1,1),".","`",2))-FIND("`",SUBSTITUTE(OFFSET(A21,-1,0,1,1),".","`",1))-1)))+1)))</f>
        <v/>
      </c>
      <c r="B21" s="10" t="inlineStr">
        <is>
          <t>[ Level 2 Task ]</t>
        </is>
      </c>
      <c r="C21" s="11" t="n"/>
      <c r="D21" s="37" t="n"/>
      <c r="E21" s="37" t="n"/>
      <c r="F21" s="37" t="n"/>
      <c r="G21" s="274" t="n">
        <v>41381</v>
      </c>
      <c r="H21" s="275">
        <f>IF(I21=0,G21,WORKDAY(IF(WEEKDAY(G21,1)=7,G21+2,IF(WEEKDAY(G21,1)=1,G21+1,G21)),I21-1,holidays))</f>
        <v/>
      </c>
      <c r="I21" s="79" t="n">
        <v>8</v>
      </c>
      <c r="J21" s="80" t="n"/>
      <c r="K21" s="15">
        <f>IF(OR(G21=0,H21=0),0,H21-G21+1)</f>
        <v/>
      </c>
      <c r="L21" s="15">
        <f>MIN(K21,WORKDAY(G21,ROUNDDOWN(J21*I21,0),holidays)-G21)</f>
        <v/>
      </c>
      <c r="M21" s="14">
        <f>K21-L21</f>
        <v/>
      </c>
      <c r="N21" s="113" t="n">
        <v>3</v>
      </c>
      <c r="O21" s="17" t="n"/>
      <c r="P21" s="111" t="n"/>
      <c r="Q21" s="111"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c r="AJ21" s="111" t="n"/>
      <c r="AK21" s="111" t="n"/>
      <c r="AL21" s="111" t="n"/>
      <c r="AM21" s="111" t="n"/>
      <c r="AN21" s="111" t="n"/>
      <c r="AO21" s="111" t="n"/>
      <c r="AP21" s="111" t="n"/>
      <c r="AQ21" s="111" t="n"/>
      <c r="AR21" s="111" t="n"/>
      <c r="AS21" s="111" t="n"/>
      <c r="AT21" s="111" t="n"/>
      <c r="AU21" s="111" t="n"/>
      <c r="AV21" s="111" t="n"/>
      <c r="AW21" s="111" t="n"/>
      <c r="AX21" s="111" t="n"/>
      <c r="AY21" s="111" t="n"/>
      <c r="AZ21" s="111" t="n"/>
      <c r="BA21" s="111" t="n"/>
      <c r="BB21" s="111" t="n"/>
      <c r="BC21" s="111" t="n"/>
      <c r="BD21" s="111" t="n"/>
      <c r="BE21" s="111" t="n"/>
      <c r="BF21" s="111" t="n"/>
      <c r="BG21" s="111" t="n"/>
      <c r="BH21" s="111" t="n"/>
      <c r="BI21" s="111" t="n"/>
      <c r="BJ21" s="111" t="n"/>
      <c r="BK21" s="111" t="n"/>
      <c r="BL21" s="111" t="n"/>
      <c r="BM21" s="111" t="n"/>
      <c r="BN21" s="111" t="n"/>
      <c r="BO21" s="111" t="n"/>
      <c r="BP21" s="111" t="n"/>
      <c r="BQ21" s="111" t="n"/>
      <c r="BR21" s="111" t="n"/>
      <c r="BS21" s="111" t="n"/>
      <c r="BT21" s="111" t="n"/>
      <c r="BU21" s="111" t="n"/>
      <c r="BV21" s="111" t="n"/>
      <c r="BW21" s="111" t="n"/>
      <c r="BX21" s="111" t="n"/>
      <c r="BY21" s="111" t="n"/>
      <c r="BZ21" s="111" t="n"/>
      <c r="CA21" s="111" t="n"/>
      <c r="CB21" s="111" t="n"/>
      <c r="CC21" s="111" t="n"/>
      <c r="CD21" s="111" t="n"/>
      <c r="CE21" s="111" t="n"/>
      <c r="CF21" s="111" t="n"/>
      <c r="CG21" s="111" t="n"/>
      <c r="CH21" s="111" t="n"/>
      <c r="CI21" s="111" t="n"/>
      <c r="CJ21" s="111" t="n"/>
      <c r="CK21" s="111" t="n"/>
      <c r="CL21" s="111" t="n"/>
      <c r="CM21" s="111" t="n"/>
      <c r="CN21" s="111" t="n"/>
      <c r="CO21" s="111" t="n"/>
      <c r="CP21" s="111" t="n"/>
      <c r="CQ21" s="111" t="n"/>
      <c r="CR21" s="111" t="n"/>
      <c r="CS21" s="111" t="n"/>
      <c r="CT21" s="111" t="n"/>
      <c r="CU21" s="111" t="n"/>
      <c r="CV21" s="111" t="n"/>
      <c r="CW21" s="111" t="n"/>
      <c r="CX21" s="111" t="n"/>
      <c r="CY21" s="111" t="n"/>
      <c r="CZ21" s="111" t="n"/>
      <c r="DA21" s="111" t="n"/>
      <c r="DB21" s="111" t="n"/>
      <c r="DC21" s="111" t="n"/>
      <c r="DD21" s="111" t="n"/>
      <c r="DE21" s="111" t="n"/>
      <c r="DF21" s="111" t="n"/>
      <c r="DG21" s="111" t="n"/>
      <c r="DH21" s="111" t="n"/>
      <c r="DI21" s="111" t="n"/>
      <c r="DJ21" s="111" t="n"/>
      <c r="DK21" s="111" t="n"/>
      <c r="DL21" s="111" t="n"/>
      <c r="DM21" s="111" t="n"/>
      <c r="DN21" s="111" t="n"/>
      <c r="DO21" s="111" t="n"/>
      <c r="DP21" s="111" t="n"/>
      <c r="DQ21" s="111" t="n"/>
      <c r="DR21" s="111" t="n"/>
      <c r="DS21" s="111" t="n"/>
      <c r="DT21" s="111" t="n"/>
      <c r="DU21" s="111" t="n"/>
      <c r="DV21" s="111" t="n"/>
      <c r="DW21" s="111" t="n"/>
      <c r="DX21" s="111" t="n"/>
      <c r="DY21" s="111" t="n"/>
      <c r="DZ21" s="111" t="n"/>
      <c r="EA21" s="111" t="n"/>
      <c r="EB21" s="111" t="n"/>
      <c r="EC21" s="111" t="n"/>
      <c r="ED21" s="111" t="n"/>
      <c r="EE21" s="111" t="n"/>
      <c r="EF21" s="111" t="n"/>
      <c r="EG21" s="111" t="n"/>
      <c r="EH21" s="111" t="n"/>
      <c r="EI21" s="111" t="n"/>
      <c r="EJ21" s="111" t="n"/>
      <c r="EK21" s="111" t="n"/>
      <c r="EL21" s="111" t="n"/>
      <c r="EM21" s="111" t="n"/>
      <c r="EN21" s="111" t="n"/>
      <c r="EO21" s="111" t="n"/>
      <c r="EP21" s="111" t="n"/>
      <c r="EQ21" s="111" t="n"/>
      <c r="ER21" s="111" t="n"/>
      <c r="ES21" s="111" t="n"/>
      <c r="ET21" s="111" t="n"/>
      <c r="EU21" s="111" t="n"/>
      <c r="EV21" s="111" t="n"/>
      <c r="EW21" s="111" t="n"/>
      <c r="EX21" s="111" t="n"/>
      <c r="EY21" s="111" t="n"/>
      <c r="EZ21" s="111" t="n"/>
      <c r="FA21" s="111" t="n"/>
      <c r="FB21" s="111" t="n"/>
      <c r="FC21" s="111" t="n"/>
      <c r="FD21" s="111" t="n"/>
      <c r="FE21" s="111" t="n"/>
      <c r="FF21" s="111" t="n"/>
      <c r="FG21" s="111" t="n"/>
      <c r="FH21" s="111" t="n"/>
      <c r="FI21" s="111" t="n"/>
      <c r="FJ21" s="111" t="n"/>
      <c r="FK21" s="111" t="n"/>
      <c r="FL21" s="111" t="n"/>
      <c r="FM21" s="111" t="n"/>
      <c r="FN21" s="111" t="n"/>
      <c r="FO21" s="111" t="n"/>
      <c r="FP21" s="111" t="n"/>
      <c r="FQ21" s="111" t="n"/>
      <c r="FR21" s="111" t="n"/>
      <c r="FS21" s="111" t="n"/>
      <c r="FT21" s="111" t="n"/>
      <c r="FU21" s="111" t="n"/>
      <c r="FV21" s="111" t="n"/>
      <c r="FW21" s="111" t="n"/>
      <c r="FX21" s="111" t="n"/>
      <c r="FY21" s="111" t="n"/>
      <c r="FZ21" s="111" t="n"/>
      <c r="GA21" s="111" t="n"/>
      <c r="GB21" s="111" t="n"/>
      <c r="GC21" s="111" t="n"/>
      <c r="GD21" s="111" t="n"/>
      <c r="GE21" s="111" t="n"/>
      <c r="GF21" s="111" t="n"/>
      <c r="GG21" s="111" t="n"/>
      <c r="GH21" s="111" t="n"/>
      <c r="GI21" s="111" t="n"/>
      <c r="GJ21" s="111" t="n"/>
      <c r="GK21" s="111" t="n"/>
      <c r="GL21" s="111" t="n"/>
      <c r="GM21" s="111" t="n"/>
      <c r="GN21" s="111" t="n"/>
      <c r="GO21" s="111" t="n"/>
      <c r="GP21" s="111" t="n"/>
      <c r="GQ21" s="111" t="n"/>
      <c r="GR21" s="111" t="n"/>
      <c r="GS21" s="111" t="n"/>
      <c r="GT21" s="111" t="n"/>
      <c r="GU21" s="111" t="n"/>
      <c r="GV21" s="111" t="n"/>
      <c r="GW21" s="111" t="n"/>
      <c r="GX21" s="111" t="n"/>
      <c r="GY21" s="111" t="n"/>
      <c r="GZ21" s="111" t="n"/>
      <c r="HA21" s="111" t="n"/>
      <c r="HB21" s="111" t="n"/>
      <c r="HC21" s="111" t="n"/>
      <c r="HD21" s="111" t="n"/>
      <c r="HE21" s="111" t="n"/>
      <c r="HF21" s="111" t="n"/>
      <c r="HG21" s="111" t="n"/>
      <c r="HH21" s="111" t="n"/>
      <c r="HI21" s="111" t="n"/>
      <c r="HJ21" s="111" t="n"/>
      <c r="HK21" s="111" t="n"/>
      <c r="HL21" s="111" t="n"/>
      <c r="HM21" s="111" t="n"/>
      <c r="HN21" s="111" t="n"/>
      <c r="HO21" s="111" t="n"/>
      <c r="HP21" s="111" t="n"/>
      <c r="HQ21" s="111" t="n"/>
      <c r="HR21" s="111" t="n"/>
      <c r="HS21" s="111" t="n"/>
      <c r="HT21" s="111" t="n"/>
      <c r="HU21" s="111" t="n"/>
      <c r="HV21" s="111" t="n"/>
      <c r="HW21" s="111" t="n"/>
      <c r="HX21" s="111" t="n"/>
      <c r="HY21" s="111" t="n"/>
      <c r="HZ21" s="111" t="n"/>
      <c r="IA21" s="111" t="n"/>
      <c r="IB21" s="111" t="n"/>
      <c r="IC21" s="111" t="n"/>
      <c r="ID21" s="111" t="n"/>
      <c r="IE21" s="111" t="n"/>
      <c r="IF21" s="111" t="n"/>
      <c r="IG21" s="111" t="n"/>
      <c r="IH21" s="111" t="n"/>
      <c r="II21" s="111" t="n"/>
      <c r="IJ21" s="111" t="n"/>
      <c r="IK21" s="111" t="n"/>
      <c r="IL21" s="111" t="n"/>
      <c r="IM21" s="111" t="n"/>
      <c r="IN21" s="111" t="n"/>
      <c r="IO21" s="111" t="n"/>
      <c r="IP21" s="111" t="n"/>
      <c r="IQ21" s="111" t="n"/>
      <c r="IR21" s="111" t="n"/>
      <c r="IS21" s="111" t="n"/>
      <c r="IT21" s="111" t="n"/>
      <c r="IU21" s="111" t="n"/>
      <c r="IV21" s="111" t="n"/>
      <c r="IW21" s="111" t="n"/>
      <c r="IX21" s="111" t="n"/>
      <c r="IY21" s="111" t="n"/>
      <c r="IZ21" s="111" t="n"/>
      <c r="JA21" s="111" t="n"/>
      <c r="JB21" s="111" t="n"/>
      <c r="JC21" s="111" t="n"/>
      <c r="JD21" s="111" t="n"/>
      <c r="JE21" s="111" t="n"/>
      <c r="JF21" s="111" t="n"/>
      <c r="JG21" s="111" t="n"/>
      <c r="JH21" s="111" t="n"/>
      <c r="JI21" s="111" t="n"/>
      <c r="JJ21" s="111" t="n"/>
      <c r="JK21" s="111" t="n"/>
      <c r="JL21" s="111" t="n"/>
      <c r="JM21" s="111" t="n"/>
      <c r="JN21" s="111" t="n"/>
      <c r="JO21" s="111" t="n"/>
      <c r="JP21" s="111" t="n"/>
      <c r="JQ21" s="111" t="n"/>
      <c r="JR21" s="111" t="n"/>
      <c r="JS21" s="111" t="n"/>
      <c r="JT21" s="111" t="n"/>
      <c r="JU21" s="111" t="n"/>
      <c r="JV21" s="111" t="n"/>
      <c r="JW21" s="111" t="n"/>
      <c r="JX21" s="111" t="n"/>
      <c r="JY21" s="111" t="n"/>
      <c r="JZ21" s="111" t="n"/>
      <c r="KA21" s="111" t="n"/>
      <c r="KB21" s="111" t="n"/>
      <c r="KC21" s="111" t="n"/>
      <c r="KD21" s="111" t="n"/>
      <c r="KE21" s="111" t="n"/>
      <c r="KF21" s="111" t="n"/>
      <c r="KG21" s="111" t="n"/>
      <c r="KH21" s="111" t="n"/>
      <c r="KI21" s="111" t="n"/>
      <c r="KJ21" s="111" t="n"/>
      <c r="KK21" s="111" t="n"/>
      <c r="KL21" s="111" t="n"/>
      <c r="KM21" s="111" t="n"/>
      <c r="KN21" s="111" t="n"/>
      <c r="KO21" s="111" t="n"/>
      <c r="KP21" s="111" t="n"/>
      <c r="KQ21" s="111" t="n"/>
      <c r="KR21" s="111" t="n"/>
      <c r="KS21" s="111" t="n"/>
      <c r="KT21" s="111" t="n"/>
      <c r="KU21" s="111" t="n"/>
      <c r="KV21" s="111" t="n"/>
      <c r="KW21" s="111" t="n"/>
      <c r="KX21" s="111" t="n"/>
      <c r="KY21" s="111" t="n"/>
      <c r="KZ21" s="111" t="n"/>
      <c r="LA21" s="111" t="n"/>
      <c r="LB21" s="111" t="n"/>
      <c r="LC21" s="111" t="n"/>
      <c r="LD21" s="111" t="n"/>
      <c r="LE21" s="111" t="n"/>
      <c r="LF21" s="111" t="n"/>
      <c r="LG21" s="111" t="n"/>
      <c r="LH21" s="111" t="n"/>
      <c r="LI21" s="111" t="n"/>
      <c r="LJ21" s="111" t="n"/>
      <c r="LK21" s="111" t="n"/>
      <c r="LL21" s="111" t="n"/>
      <c r="LM21" s="111" t="n"/>
      <c r="LN21" s="111" t="n"/>
      <c r="LO21" s="111" t="n"/>
      <c r="LP21" s="111" t="n"/>
      <c r="LQ21" s="111" t="n"/>
      <c r="LR21" s="111" t="n"/>
      <c r="LS21" s="111" t="n"/>
      <c r="LT21" s="111" t="n"/>
      <c r="LU21" s="111" t="n"/>
      <c r="LV21" s="111" t="n"/>
      <c r="LW21" s="111" t="n"/>
      <c r="LX21" s="111" t="n"/>
      <c r="LY21" s="111" t="n"/>
      <c r="LZ21" s="111" t="n"/>
      <c r="MA21" s="111" t="n"/>
      <c r="MB21" s="111" t="n"/>
      <c r="MC21" s="111" t="n"/>
      <c r="MD21" s="111" t="n"/>
      <c r="ME21" s="111" t="n"/>
      <c r="MF21" s="111" t="n"/>
      <c r="MG21" s="111" t="n"/>
      <c r="MH21" s="111" t="n"/>
      <c r="MI21" s="111" t="n"/>
      <c r="MJ21" s="111" t="n"/>
      <c r="MK21" s="111" t="n"/>
      <c r="ML21" s="111" t="n"/>
      <c r="MM21" s="111" t="n"/>
      <c r="MN21" s="111" t="n"/>
      <c r="MO21" s="111" t="n"/>
      <c r="MP21" s="111" t="n"/>
      <c r="MQ21" s="111" t="n"/>
      <c r="MR21" s="111" t="n"/>
      <c r="MS21" s="111" t="n"/>
      <c r="MT21" s="111" t="n"/>
      <c r="MU21" s="111" t="n"/>
      <c r="MV21" s="111" t="n"/>
      <c r="MW21" s="111" t="n"/>
      <c r="MX21" s="111" t="n"/>
      <c r="MY21" s="111" t="n"/>
      <c r="MZ21" s="111" t="n"/>
      <c r="NA21" s="111" t="n"/>
      <c r="NB21" s="111" t="n"/>
      <c r="NC21" s="111" t="n"/>
      <c r="ND21" s="111" t="n"/>
      <c r="NE21" s="111" t="n"/>
      <c r="NF21" s="111" t="n"/>
      <c r="NG21" s="111" t="n"/>
      <c r="NH21" s="111" t="n"/>
      <c r="NI21" s="111" t="n"/>
      <c r="NJ21" s="111" t="n"/>
      <c r="NK21" s="111" t="n"/>
      <c r="NL21" s="111" t="n"/>
      <c r="NM21" s="111" t="n"/>
      <c r="NN21" s="111" t="n"/>
      <c r="NO21" s="111" t="n"/>
    </row>
    <row r="22" customFormat="1" s="17">
      <c r="A22" s="33">
        <f>IF(ISERROR(VALUE(SUBSTITUTE(OFFSET(A22,-1,0,1,1),".",""))),"0.1",IF(ISERROR(FIND("`",SUBSTITUTE(OFFSET(A22,-1,0,1,1),".","`",1))),OFFSET(A22,-1,0,1,1)&amp;".1",LEFT(OFFSET(A22,-1,0,1,1),FIND("`",SUBSTITUTE(OFFSET(A22,-1,0,1,1),".","`",1)))&amp;IF(ISERROR(FIND("`",SUBSTITUTE(OFFSET(A22,-1,0,1,1),".","`",2))),VALUE(RIGHT(OFFSET(A22,-1,0,1,1),LEN(OFFSET(A22,-1,0,1,1))-FIND("`",SUBSTITUTE(OFFSET(A22,-1,0,1,1),".","`",1))))+1,VALUE(MID(OFFSET(A22,-1,0,1,1),FIND("`",SUBSTITUTE(OFFSET(A22,-1,0,1,1),".","`",1))+1,(FIND("`",SUBSTITUTE(OFFSET(A22,-1,0,1,1),".","`",2))-FIND("`",SUBSTITUTE(OFFSET(A22,-1,0,1,1),".","`",1))-1)))+1)))</f>
        <v/>
      </c>
      <c r="B22" s="10" t="inlineStr">
        <is>
          <t>[ Level 2 Task ]</t>
        </is>
      </c>
      <c r="C22" s="11" t="n"/>
      <c r="D22" s="37" t="n"/>
      <c r="E22" s="37" t="n"/>
      <c r="F22" s="37" t="n"/>
      <c r="G22" s="274" t="n">
        <v>41388</v>
      </c>
      <c r="H22" s="275">
        <f>IF(I22=0,G22,WORKDAY(IF(WEEKDAY(G22,1)=7,G22+2,IF(WEEKDAY(G22,1)=1,G22+1,G22)),I22-1,holidays))</f>
        <v/>
      </c>
      <c r="I22" s="79" t="n">
        <v>21</v>
      </c>
      <c r="J22" s="80" t="n"/>
      <c r="K22" s="15">
        <f>IF(OR(G22=0,H22=0),0,H22-G22+1)</f>
        <v/>
      </c>
      <c r="L22" s="15">
        <f>MIN(K22,WORKDAY(G22,ROUNDDOWN(J22*I22,0),holidays)-G22)</f>
        <v/>
      </c>
      <c r="M22" s="14">
        <f>K22-L22</f>
        <v/>
      </c>
      <c r="N22" s="113" t="n">
        <v>4</v>
      </c>
      <c r="O22" s="17" t="n"/>
      <c r="P22" s="111" t="n"/>
      <c r="Q22" s="111"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c r="AJ22" s="111" t="n"/>
      <c r="AK22" s="111" t="n"/>
      <c r="AL22" s="111" t="n"/>
      <c r="AM22" s="111" t="n"/>
      <c r="AN22" s="111" t="n"/>
      <c r="AO22" s="111" t="n"/>
      <c r="AP22" s="111" t="n"/>
      <c r="AQ22" s="111" t="n"/>
      <c r="AR22" s="111" t="n"/>
      <c r="AS22" s="111" t="n"/>
      <c r="AT22" s="111" t="n"/>
      <c r="AU22" s="111" t="n"/>
      <c r="AV22" s="111" t="n"/>
      <c r="AW22" s="111" t="n"/>
      <c r="AX22" s="111" t="n"/>
      <c r="AY22" s="111" t="n"/>
      <c r="AZ22" s="111" t="n"/>
      <c r="BA22" s="111" t="n"/>
      <c r="BB22" s="111" t="n"/>
      <c r="BC22" s="111" t="n"/>
      <c r="BD22" s="111" t="n"/>
      <c r="BE22" s="111" t="n"/>
      <c r="BF22" s="111" t="n"/>
      <c r="BG22" s="111" t="n"/>
      <c r="BH22" s="111" t="n"/>
      <c r="BI22" s="111" t="n"/>
      <c r="BJ22" s="111" t="n"/>
      <c r="BK22" s="111" t="n"/>
      <c r="BL22" s="111" t="n"/>
      <c r="BM22" s="111" t="n"/>
      <c r="BN22" s="111" t="n"/>
      <c r="BO22" s="111" t="n"/>
      <c r="BP22" s="111" t="n"/>
      <c r="BQ22" s="111" t="n"/>
      <c r="BR22" s="111" t="n"/>
      <c r="BS22" s="111" t="n"/>
      <c r="BT22" s="111" t="n"/>
      <c r="BU22" s="111" t="n"/>
      <c r="BV22" s="111" t="n"/>
      <c r="BW22" s="111" t="n"/>
      <c r="BX22" s="111" t="n"/>
      <c r="BY22" s="111" t="n"/>
      <c r="BZ22" s="111" t="n"/>
      <c r="CA22" s="111" t="n"/>
      <c r="CB22" s="111" t="n"/>
      <c r="CC22" s="111" t="n"/>
      <c r="CD22" s="111" t="n"/>
      <c r="CE22" s="111" t="n"/>
      <c r="CF22" s="111" t="n"/>
      <c r="CG22" s="111" t="n"/>
      <c r="CH22" s="111" t="n"/>
      <c r="CI22" s="111" t="n"/>
      <c r="CJ22" s="111" t="n"/>
      <c r="CK22" s="111" t="n"/>
      <c r="CL22" s="111" t="n"/>
      <c r="CM22" s="111" t="n"/>
      <c r="CN22" s="111" t="n"/>
      <c r="CO22" s="111" t="n"/>
      <c r="CP22" s="111" t="n"/>
      <c r="CQ22" s="111" t="n"/>
      <c r="CR22" s="111" t="n"/>
      <c r="CS22" s="111" t="n"/>
      <c r="CT22" s="111" t="n"/>
      <c r="CU22" s="111" t="n"/>
      <c r="CV22" s="111" t="n"/>
      <c r="CW22" s="111" t="n"/>
      <c r="CX22" s="111" t="n"/>
      <c r="CY22" s="111" t="n"/>
      <c r="CZ22" s="111" t="n"/>
      <c r="DA22" s="111" t="n"/>
      <c r="DB22" s="111" t="n"/>
      <c r="DC22" s="111" t="n"/>
      <c r="DD22" s="111" t="n"/>
      <c r="DE22" s="111" t="n"/>
      <c r="DF22" s="111" t="n"/>
      <c r="DG22" s="111" t="n"/>
      <c r="DH22" s="111" t="n"/>
      <c r="DI22" s="111" t="n"/>
      <c r="DJ22" s="111" t="n"/>
      <c r="DK22" s="111" t="n"/>
      <c r="DL22" s="111" t="n"/>
      <c r="DM22" s="111" t="n"/>
      <c r="DN22" s="111" t="n"/>
      <c r="DO22" s="111" t="n"/>
      <c r="DP22" s="111" t="n"/>
      <c r="DQ22" s="111" t="n"/>
      <c r="DR22" s="111" t="n"/>
      <c r="DS22" s="111" t="n"/>
      <c r="DT22" s="111" t="n"/>
      <c r="DU22" s="111" t="n"/>
      <c r="DV22" s="111" t="n"/>
      <c r="DW22" s="111" t="n"/>
      <c r="DX22" s="111" t="n"/>
      <c r="DY22" s="111" t="n"/>
      <c r="DZ22" s="111" t="n"/>
      <c r="EA22" s="111" t="n"/>
      <c r="EB22" s="111" t="n"/>
      <c r="EC22" s="111" t="n"/>
      <c r="ED22" s="111" t="n"/>
      <c r="EE22" s="111" t="n"/>
      <c r="EF22" s="111" t="n"/>
      <c r="EG22" s="111" t="n"/>
      <c r="EH22" s="111" t="n"/>
      <c r="EI22" s="111" t="n"/>
      <c r="EJ22" s="111" t="n"/>
      <c r="EK22" s="111" t="n"/>
      <c r="EL22" s="111" t="n"/>
      <c r="EM22" s="111" t="n"/>
      <c r="EN22" s="111" t="n"/>
      <c r="EO22" s="111" t="n"/>
      <c r="EP22" s="111" t="n"/>
      <c r="EQ22" s="111" t="n"/>
      <c r="ER22" s="111" t="n"/>
      <c r="ES22" s="111" t="n"/>
      <c r="ET22" s="111" t="n"/>
      <c r="EU22" s="111" t="n"/>
      <c r="EV22" s="111" t="n"/>
      <c r="EW22" s="111" t="n"/>
      <c r="EX22" s="111" t="n"/>
      <c r="EY22" s="111" t="n"/>
      <c r="EZ22" s="111" t="n"/>
      <c r="FA22" s="111" t="n"/>
      <c r="FB22" s="111" t="n"/>
      <c r="FC22" s="111" t="n"/>
      <c r="FD22" s="111" t="n"/>
      <c r="FE22" s="111" t="n"/>
      <c r="FF22" s="111" t="n"/>
      <c r="FG22" s="111" t="n"/>
      <c r="FH22" s="111" t="n"/>
      <c r="FI22" s="111" t="n"/>
      <c r="FJ22" s="111" t="n"/>
      <c r="FK22" s="111" t="n"/>
      <c r="FL22" s="111" t="n"/>
      <c r="FM22" s="111" t="n"/>
      <c r="FN22" s="111" t="n"/>
      <c r="FO22" s="111" t="n"/>
      <c r="FP22" s="111" t="n"/>
      <c r="FQ22" s="111" t="n"/>
      <c r="FR22" s="111" t="n"/>
      <c r="FS22" s="111" t="n"/>
      <c r="FT22" s="111" t="n"/>
      <c r="FU22" s="111" t="n"/>
      <c r="FV22" s="111" t="n"/>
      <c r="FW22" s="111" t="n"/>
      <c r="FX22" s="111" t="n"/>
      <c r="FY22" s="111" t="n"/>
      <c r="FZ22" s="111" t="n"/>
      <c r="GA22" s="111" t="n"/>
      <c r="GB22" s="111" t="n"/>
      <c r="GC22" s="111" t="n"/>
      <c r="GD22" s="111" t="n"/>
      <c r="GE22" s="111" t="n"/>
      <c r="GF22" s="111" t="n"/>
      <c r="GG22" s="111" t="n"/>
      <c r="GH22" s="111" t="n"/>
      <c r="GI22" s="111" t="n"/>
      <c r="GJ22" s="111" t="n"/>
      <c r="GK22" s="111" t="n"/>
      <c r="GL22" s="111" t="n"/>
      <c r="GM22" s="111" t="n"/>
      <c r="GN22" s="111" t="n"/>
      <c r="GO22" s="111" t="n"/>
      <c r="GP22" s="111" t="n"/>
      <c r="GQ22" s="111" t="n"/>
      <c r="GR22" s="111" t="n"/>
      <c r="GS22" s="111" t="n"/>
      <c r="GT22" s="111" t="n"/>
      <c r="GU22" s="111" t="n"/>
      <c r="GV22" s="111" t="n"/>
      <c r="GW22" s="111" t="n"/>
      <c r="GX22" s="111" t="n"/>
      <c r="GY22" s="111" t="n"/>
      <c r="GZ22" s="111" t="n"/>
      <c r="HA22" s="111" t="n"/>
      <c r="HB22" s="111" t="n"/>
      <c r="HC22" s="111" t="n"/>
      <c r="HD22" s="111" t="n"/>
      <c r="HE22" s="111" t="n"/>
      <c r="HF22" s="111" t="n"/>
      <c r="HG22" s="111" t="n"/>
      <c r="HH22" s="111" t="n"/>
      <c r="HI22" s="111" t="n"/>
      <c r="HJ22" s="111" t="n"/>
      <c r="HK22" s="111" t="n"/>
      <c r="HL22" s="111" t="n"/>
      <c r="HM22" s="111" t="n"/>
      <c r="HN22" s="111" t="n"/>
      <c r="HO22" s="111" t="n"/>
      <c r="HP22" s="111" t="n"/>
      <c r="HQ22" s="111" t="n"/>
      <c r="HR22" s="111" t="n"/>
      <c r="HS22" s="111" t="n"/>
      <c r="HT22" s="111" t="n"/>
      <c r="HU22" s="111" t="n"/>
      <c r="HV22" s="111" t="n"/>
      <c r="HW22" s="111" t="n"/>
      <c r="HX22" s="111" t="n"/>
      <c r="HY22" s="111" t="n"/>
      <c r="HZ22" s="111" t="n"/>
      <c r="IA22" s="111" t="n"/>
      <c r="IB22" s="111" t="n"/>
      <c r="IC22" s="111" t="n"/>
      <c r="ID22" s="111" t="n"/>
      <c r="IE22" s="111" t="n"/>
      <c r="IF22" s="111" t="n"/>
      <c r="IG22" s="111" t="n"/>
      <c r="IH22" s="111" t="n"/>
      <c r="II22" s="111" t="n"/>
      <c r="IJ22" s="111" t="n"/>
      <c r="IK22" s="111" t="n"/>
      <c r="IL22" s="111" t="n"/>
      <c r="IM22" s="111" t="n"/>
      <c r="IN22" s="111" t="n"/>
      <c r="IO22" s="111" t="n"/>
      <c r="IP22" s="111" t="n"/>
      <c r="IQ22" s="111" t="n"/>
      <c r="IR22" s="111" t="n"/>
      <c r="IS22" s="111" t="n"/>
      <c r="IT22" s="111" t="n"/>
      <c r="IU22" s="111" t="n"/>
      <c r="IV22" s="111" t="n"/>
      <c r="IW22" s="111" t="n"/>
      <c r="IX22" s="111" t="n"/>
      <c r="IY22" s="111" t="n"/>
      <c r="IZ22" s="111" t="n"/>
      <c r="JA22" s="111" t="n"/>
      <c r="JB22" s="111" t="n"/>
      <c r="JC22" s="111" t="n"/>
      <c r="JD22" s="111" t="n"/>
      <c r="JE22" s="111" t="n"/>
      <c r="JF22" s="111" t="n"/>
      <c r="JG22" s="111" t="n"/>
      <c r="JH22" s="111" t="n"/>
      <c r="JI22" s="111" t="n"/>
      <c r="JJ22" s="111" t="n"/>
      <c r="JK22" s="111" t="n"/>
      <c r="JL22" s="111" t="n"/>
      <c r="JM22" s="111" t="n"/>
      <c r="JN22" s="111" t="n"/>
      <c r="JO22" s="111" t="n"/>
      <c r="JP22" s="111" t="n"/>
      <c r="JQ22" s="111" t="n"/>
      <c r="JR22" s="111" t="n"/>
      <c r="JS22" s="111" t="n"/>
      <c r="JT22" s="111" t="n"/>
      <c r="JU22" s="111" t="n"/>
      <c r="JV22" s="111" t="n"/>
      <c r="JW22" s="111" t="n"/>
      <c r="JX22" s="111" t="n"/>
      <c r="JY22" s="111" t="n"/>
      <c r="JZ22" s="111" t="n"/>
      <c r="KA22" s="111" t="n"/>
      <c r="KB22" s="111" t="n"/>
      <c r="KC22" s="111" t="n"/>
      <c r="KD22" s="111" t="n"/>
      <c r="KE22" s="111" t="n"/>
      <c r="KF22" s="111" t="n"/>
      <c r="KG22" s="111" t="n"/>
      <c r="KH22" s="111" t="n"/>
      <c r="KI22" s="111" t="n"/>
      <c r="KJ22" s="111" t="n"/>
      <c r="KK22" s="111" t="n"/>
      <c r="KL22" s="111" t="n"/>
      <c r="KM22" s="111" t="n"/>
      <c r="KN22" s="111" t="n"/>
      <c r="KO22" s="111" t="n"/>
      <c r="KP22" s="111" t="n"/>
      <c r="KQ22" s="111" t="n"/>
      <c r="KR22" s="111" t="n"/>
      <c r="KS22" s="111" t="n"/>
      <c r="KT22" s="111" t="n"/>
      <c r="KU22" s="111" t="n"/>
      <c r="KV22" s="111" t="n"/>
      <c r="KW22" s="111" t="n"/>
      <c r="KX22" s="111" t="n"/>
      <c r="KY22" s="111" t="n"/>
      <c r="KZ22" s="111" t="n"/>
      <c r="LA22" s="111" t="n"/>
      <c r="LB22" s="111" t="n"/>
      <c r="LC22" s="111" t="n"/>
      <c r="LD22" s="111" t="n"/>
      <c r="LE22" s="111" t="n"/>
      <c r="LF22" s="111" t="n"/>
      <c r="LG22" s="111" t="n"/>
      <c r="LH22" s="111" t="n"/>
      <c r="LI22" s="111" t="n"/>
      <c r="LJ22" s="111" t="n"/>
      <c r="LK22" s="111" t="n"/>
      <c r="LL22" s="111" t="n"/>
      <c r="LM22" s="111" t="n"/>
      <c r="LN22" s="111" t="n"/>
      <c r="LO22" s="111" t="n"/>
      <c r="LP22" s="111" t="n"/>
      <c r="LQ22" s="111" t="n"/>
      <c r="LR22" s="111" t="n"/>
      <c r="LS22" s="111" t="n"/>
      <c r="LT22" s="111" t="n"/>
      <c r="LU22" s="111" t="n"/>
      <c r="LV22" s="111" t="n"/>
      <c r="LW22" s="111" t="n"/>
      <c r="LX22" s="111" t="n"/>
      <c r="LY22" s="111" t="n"/>
      <c r="LZ22" s="111" t="n"/>
      <c r="MA22" s="111" t="n"/>
      <c r="MB22" s="111" t="n"/>
      <c r="MC22" s="111" t="n"/>
      <c r="MD22" s="111" t="n"/>
      <c r="ME22" s="111" t="n"/>
      <c r="MF22" s="111" t="n"/>
      <c r="MG22" s="111" t="n"/>
      <c r="MH22" s="111" t="n"/>
      <c r="MI22" s="111" t="n"/>
      <c r="MJ22" s="111" t="n"/>
      <c r="MK22" s="111" t="n"/>
      <c r="ML22" s="111" t="n"/>
      <c r="MM22" s="111" t="n"/>
      <c r="MN22" s="111" t="n"/>
      <c r="MO22" s="111" t="n"/>
      <c r="MP22" s="111" t="n"/>
      <c r="MQ22" s="111" t="n"/>
      <c r="MR22" s="111" t="n"/>
      <c r="MS22" s="111" t="n"/>
      <c r="MT22" s="111" t="n"/>
      <c r="MU22" s="111" t="n"/>
      <c r="MV22" s="111" t="n"/>
      <c r="MW22" s="111" t="n"/>
      <c r="MX22" s="111" t="n"/>
      <c r="MY22" s="111" t="n"/>
      <c r="MZ22" s="111" t="n"/>
      <c r="NA22" s="111" t="n"/>
      <c r="NB22" s="111" t="n"/>
      <c r="NC22" s="111" t="n"/>
      <c r="ND22" s="111" t="n"/>
      <c r="NE22" s="111" t="n"/>
      <c r="NF22" s="111" t="n"/>
      <c r="NG22" s="111" t="n"/>
      <c r="NH22" s="111" t="n"/>
      <c r="NI22" s="111" t="n"/>
      <c r="NJ22" s="111" t="n"/>
      <c r="NK22" s="111" t="n"/>
      <c r="NL22" s="111" t="n"/>
      <c r="NM22" s="111" t="n"/>
      <c r="NN22" s="111" t="n"/>
      <c r="NO22" s="111" t="n"/>
    </row>
    <row r="23" customFormat="1" s="17">
      <c r="A23" s="33">
        <f>IF(ISERROR(VALUE(SUBSTITUTE(OFFSET(A23,-1,0,1,1),".",""))),"0.1",IF(ISERROR(FIND("`",SUBSTITUTE(OFFSET(A23,-1,0,1,1),".","`",1))),OFFSET(A23,-1,0,1,1)&amp;".1",LEFT(OFFSET(A23,-1,0,1,1),FIND("`",SUBSTITUTE(OFFSET(A23,-1,0,1,1),".","`",1)))&amp;IF(ISERROR(FIND("`",SUBSTITUTE(OFFSET(A23,-1,0,1,1),".","`",2))),VALUE(RIGHT(OFFSET(A23,-1,0,1,1),LEN(OFFSET(A23,-1,0,1,1))-FIND("`",SUBSTITUTE(OFFSET(A23,-1,0,1,1),".","`",1))))+1,VALUE(MID(OFFSET(A23,-1,0,1,1),FIND("`",SUBSTITUTE(OFFSET(A23,-1,0,1,1),".","`",1))+1,(FIND("`",SUBSTITUTE(OFFSET(A23,-1,0,1,1),".","`",2))-FIND("`",SUBSTITUTE(OFFSET(A23,-1,0,1,1),".","`",1))-1)))+1)))</f>
        <v/>
      </c>
      <c r="B23" s="10" t="inlineStr">
        <is>
          <t>[ Level 2 Task ]</t>
        </is>
      </c>
      <c r="C23" s="11" t="n"/>
      <c r="D23" s="37" t="n"/>
      <c r="E23" s="37" t="n"/>
      <c r="F23" s="37" t="n"/>
      <c r="G23" s="274" t="n">
        <v>41395</v>
      </c>
      <c r="H23" s="275">
        <f>IF(I23=0,G23,WORKDAY(IF(WEEKDAY(G23,1)=7,G23+2,IF(WEEKDAY(G23,1)=1,G23+1,G23)),I23-1,holidays))</f>
        <v/>
      </c>
      <c r="I23" s="79" t="n">
        <v>21</v>
      </c>
      <c r="J23" s="80" t="n"/>
      <c r="K23" s="15">
        <f>IF(OR(G23=0,H23=0),0,H23-G23+1)</f>
        <v/>
      </c>
      <c r="L23" s="15">
        <f>MIN(K23,WORKDAY(G23,ROUNDDOWN(J23*I23,0),holidays)-G23)</f>
        <v/>
      </c>
      <c r="M23" s="14">
        <f>K23-L23</f>
        <v/>
      </c>
      <c r="N23" s="113" t="n">
        <v>5</v>
      </c>
      <c r="O23" s="17"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111" t="n"/>
      <c r="BB23" s="111" t="n"/>
      <c r="BC23" s="111" t="n"/>
      <c r="BD23" s="111" t="n"/>
      <c r="BE23" s="111" t="n"/>
      <c r="BF23" s="111" t="n"/>
      <c r="BG23" s="111" t="n"/>
      <c r="BH23" s="111" t="n"/>
      <c r="BI23" s="111" t="n"/>
      <c r="BJ23" s="111" t="n"/>
      <c r="BK23" s="111" t="n"/>
      <c r="BL23" s="111" t="n"/>
      <c r="BM23" s="111" t="n"/>
      <c r="BN23" s="111" t="n"/>
      <c r="BO23" s="111" t="n"/>
      <c r="BP23" s="111" t="n"/>
      <c r="BQ23" s="111" t="n"/>
      <c r="BR23" s="111" t="n"/>
      <c r="BS23" s="111" t="n"/>
      <c r="BT23" s="111" t="n"/>
      <c r="BU23" s="111" t="n"/>
      <c r="BV23" s="111" t="n"/>
      <c r="BW23" s="111" t="n"/>
      <c r="BX23" s="111" t="n"/>
      <c r="BY23" s="111" t="n"/>
      <c r="BZ23" s="111" t="n"/>
      <c r="CA23" s="111" t="n"/>
      <c r="CB23" s="111" t="n"/>
      <c r="CC23" s="111" t="n"/>
      <c r="CD23" s="111" t="n"/>
      <c r="CE23" s="111" t="n"/>
      <c r="CF23" s="111" t="n"/>
      <c r="CG23" s="111" t="n"/>
      <c r="CH23" s="111" t="n"/>
      <c r="CI23" s="111" t="n"/>
      <c r="CJ23" s="111" t="n"/>
      <c r="CK23" s="111" t="n"/>
      <c r="CL23" s="111" t="n"/>
      <c r="CM23" s="111" t="n"/>
      <c r="CN23" s="111" t="n"/>
      <c r="CO23" s="111" t="n"/>
      <c r="CP23" s="111" t="n"/>
      <c r="CQ23" s="111" t="n"/>
      <c r="CR23" s="111" t="n"/>
      <c r="CS23" s="111" t="n"/>
      <c r="CT23" s="111" t="n"/>
      <c r="CU23" s="111" t="n"/>
      <c r="CV23" s="111" t="n"/>
      <c r="CW23" s="111" t="n"/>
      <c r="CX23" s="111" t="n"/>
      <c r="CY23" s="111" t="n"/>
      <c r="CZ23" s="111" t="n"/>
      <c r="DA23" s="111" t="n"/>
      <c r="DB23" s="111" t="n"/>
      <c r="DC23" s="111" t="n"/>
      <c r="DD23" s="111" t="n"/>
      <c r="DE23" s="111" t="n"/>
      <c r="DF23" s="111" t="n"/>
      <c r="DG23" s="111" t="n"/>
      <c r="DH23" s="111" t="n"/>
      <c r="DI23" s="111" t="n"/>
      <c r="DJ23" s="111" t="n"/>
      <c r="DK23" s="111" t="n"/>
      <c r="DL23" s="111" t="n"/>
      <c r="DM23" s="111" t="n"/>
      <c r="DN23" s="111" t="n"/>
      <c r="DO23" s="111" t="n"/>
      <c r="DP23" s="111" t="n"/>
      <c r="DQ23" s="111" t="n"/>
      <c r="DR23" s="111" t="n"/>
      <c r="DS23" s="111" t="n"/>
      <c r="DT23" s="111" t="n"/>
      <c r="DU23" s="111" t="n"/>
      <c r="DV23" s="111" t="n"/>
      <c r="DW23" s="111" t="n"/>
      <c r="DX23" s="111" t="n"/>
      <c r="DY23" s="111" t="n"/>
      <c r="DZ23" s="111" t="n"/>
      <c r="EA23" s="111" t="n"/>
      <c r="EB23" s="111" t="n"/>
      <c r="EC23" s="111" t="n"/>
      <c r="ED23" s="111" t="n"/>
      <c r="EE23" s="111" t="n"/>
      <c r="EF23" s="111" t="n"/>
      <c r="EG23" s="111" t="n"/>
      <c r="EH23" s="111" t="n"/>
      <c r="EI23" s="111" t="n"/>
      <c r="EJ23" s="111" t="n"/>
      <c r="EK23" s="111" t="n"/>
      <c r="EL23" s="111" t="n"/>
      <c r="EM23" s="111" t="n"/>
      <c r="EN23" s="111" t="n"/>
      <c r="EO23" s="111" t="n"/>
      <c r="EP23" s="111" t="n"/>
      <c r="EQ23" s="111" t="n"/>
      <c r="ER23" s="111" t="n"/>
      <c r="ES23" s="111" t="n"/>
      <c r="ET23" s="111" t="n"/>
      <c r="EU23" s="111" t="n"/>
      <c r="EV23" s="111" t="n"/>
      <c r="EW23" s="111" t="n"/>
      <c r="EX23" s="111" t="n"/>
      <c r="EY23" s="111" t="n"/>
      <c r="EZ23" s="111" t="n"/>
      <c r="FA23" s="111" t="n"/>
      <c r="FB23" s="111" t="n"/>
      <c r="FC23" s="111" t="n"/>
      <c r="FD23" s="111" t="n"/>
      <c r="FE23" s="111" t="n"/>
      <c r="FF23" s="111" t="n"/>
      <c r="FG23" s="111" t="n"/>
      <c r="FH23" s="111" t="n"/>
      <c r="FI23" s="111" t="n"/>
      <c r="FJ23" s="111" t="n"/>
      <c r="FK23" s="111" t="n"/>
      <c r="FL23" s="111" t="n"/>
      <c r="FM23" s="111" t="n"/>
      <c r="FN23" s="111" t="n"/>
      <c r="FO23" s="111" t="n"/>
      <c r="FP23" s="111" t="n"/>
      <c r="FQ23" s="111" t="n"/>
      <c r="FR23" s="111" t="n"/>
      <c r="FS23" s="111" t="n"/>
      <c r="FT23" s="111" t="n"/>
      <c r="FU23" s="111" t="n"/>
      <c r="FV23" s="111" t="n"/>
      <c r="FW23" s="111" t="n"/>
      <c r="FX23" s="111" t="n"/>
      <c r="FY23" s="111" t="n"/>
      <c r="FZ23" s="111" t="n"/>
      <c r="GA23" s="111" t="n"/>
      <c r="GB23" s="111" t="n"/>
      <c r="GC23" s="111" t="n"/>
      <c r="GD23" s="111" t="n"/>
      <c r="GE23" s="111" t="n"/>
      <c r="GF23" s="111" t="n"/>
      <c r="GG23" s="111" t="n"/>
      <c r="GH23" s="111" t="n"/>
      <c r="GI23" s="111" t="n"/>
      <c r="GJ23" s="111" t="n"/>
      <c r="GK23" s="111" t="n"/>
      <c r="GL23" s="111" t="n"/>
      <c r="GM23" s="111" t="n"/>
      <c r="GN23" s="111" t="n"/>
      <c r="GO23" s="111" t="n"/>
      <c r="GP23" s="111" t="n"/>
      <c r="GQ23" s="111" t="n"/>
      <c r="GR23" s="111" t="n"/>
      <c r="GS23" s="111" t="n"/>
      <c r="GT23" s="111" t="n"/>
      <c r="GU23" s="111" t="n"/>
      <c r="GV23" s="111" t="n"/>
      <c r="GW23" s="111" t="n"/>
      <c r="GX23" s="111" t="n"/>
      <c r="GY23" s="111" t="n"/>
      <c r="GZ23" s="111" t="n"/>
      <c r="HA23" s="111" t="n"/>
      <c r="HB23" s="111" t="n"/>
      <c r="HC23" s="111" t="n"/>
      <c r="HD23" s="111" t="n"/>
      <c r="HE23" s="111" t="n"/>
      <c r="HF23" s="111" t="n"/>
      <c r="HG23" s="111" t="n"/>
      <c r="HH23" s="111" t="n"/>
      <c r="HI23" s="111" t="n"/>
      <c r="HJ23" s="111" t="n"/>
      <c r="HK23" s="111" t="n"/>
      <c r="HL23" s="111" t="n"/>
      <c r="HM23" s="111" t="n"/>
      <c r="HN23" s="111" t="n"/>
      <c r="HO23" s="111" t="n"/>
      <c r="HP23" s="111" t="n"/>
      <c r="HQ23" s="111" t="n"/>
      <c r="HR23" s="111" t="n"/>
      <c r="HS23" s="111" t="n"/>
      <c r="HT23" s="111" t="n"/>
      <c r="HU23" s="111" t="n"/>
      <c r="HV23" s="111" t="n"/>
      <c r="HW23" s="111" t="n"/>
      <c r="HX23" s="111" t="n"/>
      <c r="HY23" s="111" t="n"/>
      <c r="HZ23" s="111" t="n"/>
      <c r="IA23" s="111" t="n"/>
      <c r="IB23" s="111" t="n"/>
      <c r="IC23" s="111" t="n"/>
      <c r="ID23" s="111" t="n"/>
      <c r="IE23" s="111" t="n"/>
      <c r="IF23" s="111" t="n"/>
      <c r="IG23" s="111" t="n"/>
      <c r="IH23" s="111" t="n"/>
      <c r="II23" s="111" t="n"/>
      <c r="IJ23" s="111" t="n"/>
      <c r="IK23" s="111" t="n"/>
      <c r="IL23" s="111" t="n"/>
      <c r="IM23" s="111" t="n"/>
      <c r="IN23" s="111" t="n"/>
      <c r="IO23" s="111" t="n"/>
      <c r="IP23" s="111" t="n"/>
      <c r="IQ23" s="111" t="n"/>
      <c r="IR23" s="111" t="n"/>
      <c r="IS23" s="111" t="n"/>
      <c r="IT23" s="111" t="n"/>
      <c r="IU23" s="111" t="n"/>
      <c r="IV23" s="111" t="n"/>
      <c r="IW23" s="111" t="n"/>
      <c r="IX23" s="111" t="n"/>
      <c r="IY23" s="111" t="n"/>
      <c r="IZ23" s="111" t="n"/>
      <c r="JA23" s="111" t="n"/>
      <c r="JB23" s="111" t="n"/>
      <c r="JC23" s="111" t="n"/>
      <c r="JD23" s="111" t="n"/>
      <c r="JE23" s="111" t="n"/>
      <c r="JF23" s="111" t="n"/>
      <c r="JG23" s="111" t="n"/>
      <c r="JH23" s="111" t="n"/>
      <c r="JI23" s="111" t="n"/>
      <c r="JJ23" s="111" t="n"/>
      <c r="JK23" s="111" t="n"/>
      <c r="JL23" s="111" t="n"/>
      <c r="JM23" s="111" t="n"/>
      <c r="JN23" s="111" t="n"/>
      <c r="JO23" s="111" t="n"/>
      <c r="JP23" s="111" t="n"/>
      <c r="JQ23" s="111" t="n"/>
      <c r="JR23" s="111" t="n"/>
      <c r="JS23" s="111" t="n"/>
      <c r="JT23" s="111" t="n"/>
      <c r="JU23" s="111" t="n"/>
      <c r="JV23" s="111" t="n"/>
      <c r="JW23" s="111" t="n"/>
      <c r="JX23" s="111" t="n"/>
      <c r="JY23" s="111" t="n"/>
      <c r="JZ23" s="111" t="n"/>
      <c r="KA23" s="111" t="n"/>
      <c r="KB23" s="111" t="n"/>
      <c r="KC23" s="111" t="n"/>
      <c r="KD23" s="111" t="n"/>
      <c r="KE23" s="111" t="n"/>
      <c r="KF23" s="111" t="n"/>
      <c r="KG23" s="111" t="n"/>
      <c r="KH23" s="111" t="n"/>
      <c r="KI23" s="111" t="n"/>
      <c r="KJ23" s="111" t="n"/>
      <c r="KK23" s="111" t="n"/>
      <c r="KL23" s="111" t="n"/>
      <c r="KM23" s="111" t="n"/>
      <c r="KN23" s="111" t="n"/>
      <c r="KO23" s="111" t="n"/>
      <c r="KP23" s="111" t="n"/>
      <c r="KQ23" s="111" t="n"/>
      <c r="KR23" s="111" t="n"/>
      <c r="KS23" s="111" t="n"/>
      <c r="KT23" s="111" t="n"/>
      <c r="KU23" s="111" t="n"/>
      <c r="KV23" s="111" t="n"/>
      <c r="KW23" s="111" t="n"/>
      <c r="KX23" s="111" t="n"/>
      <c r="KY23" s="111" t="n"/>
      <c r="KZ23" s="111" t="n"/>
      <c r="LA23" s="111" t="n"/>
      <c r="LB23" s="111" t="n"/>
      <c r="LC23" s="111" t="n"/>
      <c r="LD23" s="111" t="n"/>
      <c r="LE23" s="111" t="n"/>
      <c r="LF23" s="111" t="n"/>
      <c r="LG23" s="111" t="n"/>
      <c r="LH23" s="111" t="n"/>
      <c r="LI23" s="111" t="n"/>
      <c r="LJ23" s="111" t="n"/>
      <c r="LK23" s="111" t="n"/>
      <c r="LL23" s="111" t="n"/>
      <c r="LM23" s="111" t="n"/>
      <c r="LN23" s="111" t="n"/>
      <c r="LO23" s="111" t="n"/>
      <c r="LP23" s="111" t="n"/>
      <c r="LQ23" s="111" t="n"/>
      <c r="LR23" s="111" t="n"/>
      <c r="LS23" s="111" t="n"/>
      <c r="LT23" s="111" t="n"/>
      <c r="LU23" s="111" t="n"/>
      <c r="LV23" s="111" t="n"/>
      <c r="LW23" s="111" t="n"/>
      <c r="LX23" s="111" t="n"/>
      <c r="LY23" s="111" t="n"/>
      <c r="LZ23" s="111" t="n"/>
      <c r="MA23" s="111" t="n"/>
      <c r="MB23" s="111" t="n"/>
      <c r="MC23" s="111" t="n"/>
      <c r="MD23" s="111" t="n"/>
      <c r="ME23" s="111" t="n"/>
      <c r="MF23" s="111" t="n"/>
      <c r="MG23" s="111" t="n"/>
      <c r="MH23" s="111" t="n"/>
      <c r="MI23" s="111" t="n"/>
      <c r="MJ23" s="111" t="n"/>
      <c r="MK23" s="111" t="n"/>
      <c r="ML23" s="111" t="n"/>
      <c r="MM23" s="111" t="n"/>
      <c r="MN23" s="111" t="n"/>
      <c r="MO23" s="111" t="n"/>
      <c r="MP23" s="111" t="n"/>
      <c r="MQ23" s="111" t="n"/>
      <c r="MR23" s="111" t="n"/>
      <c r="MS23" s="111" t="n"/>
      <c r="MT23" s="111" t="n"/>
      <c r="MU23" s="111" t="n"/>
      <c r="MV23" s="111" t="n"/>
      <c r="MW23" s="111" t="n"/>
      <c r="MX23" s="111" t="n"/>
      <c r="MY23" s="111" t="n"/>
      <c r="MZ23" s="111" t="n"/>
      <c r="NA23" s="111" t="n"/>
      <c r="NB23" s="111" t="n"/>
      <c r="NC23" s="111" t="n"/>
      <c r="ND23" s="111" t="n"/>
      <c r="NE23" s="111" t="n"/>
      <c r="NF23" s="111" t="n"/>
      <c r="NG23" s="111" t="n"/>
      <c r="NH23" s="111" t="n"/>
      <c r="NI23" s="111" t="n"/>
      <c r="NJ23" s="111" t="n"/>
      <c r="NK23" s="111" t="n"/>
      <c r="NL23" s="111" t="n"/>
      <c r="NM23" s="111" t="n"/>
      <c r="NN23" s="111" t="n"/>
      <c r="NO23" s="111" t="n"/>
    </row>
    <row r="24" customFormat="1" s="17">
      <c r="A24" s="33">
        <f>IF(ISERROR(VALUE(SUBSTITUTE(OFFSET(A24,-1,0,1,1),".",""))),"0.1",IF(ISERROR(FIND("`",SUBSTITUTE(OFFSET(A24,-1,0,1,1),".","`",1))),OFFSET(A24,-1,0,1,1)&amp;".1",LEFT(OFFSET(A24,-1,0,1,1),FIND("`",SUBSTITUTE(OFFSET(A24,-1,0,1,1),".","`",1)))&amp;IF(ISERROR(FIND("`",SUBSTITUTE(OFFSET(A24,-1,0,1,1),".","`",2))),VALUE(RIGHT(OFFSET(A24,-1,0,1,1),LEN(OFFSET(A24,-1,0,1,1))-FIND("`",SUBSTITUTE(OFFSET(A24,-1,0,1,1),".","`",1))))+1,VALUE(MID(OFFSET(A24,-1,0,1,1),FIND("`",SUBSTITUTE(OFFSET(A24,-1,0,1,1),".","`",1))+1,(FIND("`",SUBSTITUTE(OFFSET(A24,-1,0,1,1),".","`",2))-FIND("`",SUBSTITUTE(OFFSET(A24,-1,0,1,1),".","`",1))-1)))+1)))</f>
        <v/>
      </c>
      <c r="B24" s="10" t="inlineStr">
        <is>
          <t>[ Level 2 Task ]</t>
        </is>
      </c>
      <c r="C24" s="11" t="n"/>
      <c r="D24" s="37" t="n"/>
      <c r="E24" s="37" t="n"/>
      <c r="F24" s="37" t="n"/>
      <c r="G24" s="274" t="n">
        <v>41402</v>
      </c>
      <c r="H24" s="275">
        <f>IF(I24=0,G24,WORKDAY(IF(WEEKDAY(G24,1)=7,G24+2,IF(WEEKDAY(G24,1)=1,G24+1,G24)),I24-1,holidays))</f>
        <v/>
      </c>
      <c r="I24" s="79" t="n">
        <v>21</v>
      </c>
      <c r="J24" s="80" t="n"/>
      <c r="K24" s="15">
        <f>IF(OR(G24=0,H24=0),0,H24-G24+1)</f>
        <v/>
      </c>
      <c r="L24" s="15">
        <f>MIN(K24,WORKDAY(G24,ROUNDDOWN(J24*I24,0),holidays)-G24)</f>
        <v/>
      </c>
      <c r="M24" s="14">
        <f>K24-L24</f>
        <v/>
      </c>
      <c r="N24" s="113" t="n">
        <v>6</v>
      </c>
      <c r="O24" s="17" t="n"/>
      <c r="P24" s="111" t="n"/>
      <c r="Q24" s="111" t="n"/>
      <c r="R24" s="111" t="n"/>
      <c r="S24" s="111" t="n"/>
      <c r="T24" s="111" t="n"/>
      <c r="U24" s="111" t="n"/>
      <c r="V24" s="111" t="n"/>
      <c r="W24" s="111" t="n"/>
      <c r="X24" s="111" t="n"/>
      <c r="Y24" s="111" t="n"/>
      <c r="Z24" s="111" t="n"/>
      <c r="AA24" s="111" t="n"/>
      <c r="AB24" s="111" t="n"/>
      <c r="AC24" s="111" t="n"/>
      <c r="AD24" s="111" t="n"/>
      <c r="AE24" s="111" t="n"/>
      <c r="AF24" s="111" t="n"/>
      <c r="AG24" s="111" t="n"/>
      <c r="AH24" s="111" t="n"/>
      <c r="AI24" s="111" t="n"/>
      <c r="AJ24" s="111" t="n"/>
      <c r="AK24" s="111" t="n"/>
      <c r="AL24" s="111" t="n"/>
      <c r="AM24" s="111" t="n"/>
      <c r="AN24" s="111" t="n"/>
      <c r="AO24" s="111" t="n"/>
      <c r="AP24" s="111" t="n"/>
      <c r="AQ24" s="111" t="n"/>
      <c r="AR24" s="111" t="n"/>
      <c r="AS24" s="111" t="n"/>
      <c r="AT24" s="111" t="n"/>
      <c r="AU24" s="111" t="n"/>
      <c r="AV24" s="111" t="n"/>
      <c r="AW24" s="111" t="n"/>
      <c r="AX24" s="111" t="n"/>
      <c r="AY24" s="111" t="n"/>
      <c r="AZ24" s="111" t="n"/>
      <c r="BA24" s="111" t="n"/>
      <c r="BB24" s="111" t="n"/>
      <c r="BC24" s="111" t="n"/>
      <c r="BD24" s="111" t="n"/>
      <c r="BE24" s="111" t="n"/>
      <c r="BF24" s="111" t="n"/>
      <c r="BG24" s="111" t="n"/>
      <c r="BH24" s="111" t="n"/>
      <c r="BI24" s="111" t="n"/>
      <c r="BJ24" s="111" t="n"/>
      <c r="BK24" s="111" t="n"/>
      <c r="BL24" s="111" t="n"/>
      <c r="BM24" s="111" t="n"/>
      <c r="BN24" s="111" t="n"/>
      <c r="BO24" s="111" t="n"/>
      <c r="BP24" s="111" t="n"/>
      <c r="BQ24" s="111" t="n"/>
      <c r="BR24" s="111" t="n"/>
      <c r="BS24" s="111" t="n"/>
      <c r="BT24" s="111" t="n"/>
      <c r="BU24" s="111" t="n"/>
      <c r="BV24" s="111" t="n"/>
      <c r="BW24" s="111" t="n"/>
      <c r="BX24" s="111" t="n"/>
      <c r="BY24" s="111" t="n"/>
      <c r="BZ24" s="111" t="n"/>
      <c r="CA24" s="111" t="n"/>
      <c r="CB24" s="111" t="n"/>
      <c r="CC24" s="111" t="n"/>
      <c r="CD24" s="111" t="n"/>
      <c r="CE24" s="111" t="n"/>
      <c r="CF24" s="111" t="n"/>
      <c r="CG24" s="111" t="n"/>
      <c r="CH24" s="111" t="n"/>
      <c r="CI24" s="111" t="n"/>
      <c r="CJ24" s="111" t="n"/>
      <c r="CK24" s="111" t="n"/>
      <c r="CL24" s="111" t="n"/>
      <c r="CM24" s="111" t="n"/>
      <c r="CN24" s="111" t="n"/>
      <c r="CO24" s="111" t="n"/>
      <c r="CP24" s="111" t="n"/>
      <c r="CQ24" s="111" t="n"/>
      <c r="CR24" s="111" t="n"/>
      <c r="CS24" s="111" t="n"/>
      <c r="CT24" s="111" t="n"/>
      <c r="CU24" s="111" t="n"/>
      <c r="CV24" s="111" t="n"/>
      <c r="CW24" s="111" t="n"/>
      <c r="CX24" s="111" t="n"/>
      <c r="CY24" s="111" t="n"/>
      <c r="CZ24" s="111" t="n"/>
      <c r="DA24" s="111" t="n"/>
      <c r="DB24" s="111" t="n"/>
      <c r="DC24" s="111" t="n"/>
      <c r="DD24" s="111" t="n"/>
      <c r="DE24" s="111" t="n"/>
      <c r="DF24" s="111" t="n"/>
      <c r="DG24" s="111" t="n"/>
      <c r="DH24" s="111" t="n"/>
      <c r="DI24" s="111" t="n"/>
      <c r="DJ24" s="111" t="n"/>
      <c r="DK24" s="111" t="n"/>
      <c r="DL24" s="111" t="n"/>
      <c r="DM24" s="111" t="n"/>
      <c r="DN24" s="111" t="n"/>
      <c r="DO24" s="111" t="n"/>
      <c r="DP24" s="111" t="n"/>
      <c r="DQ24" s="111" t="n"/>
      <c r="DR24" s="111" t="n"/>
      <c r="DS24" s="111" t="n"/>
      <c r="DT24" s="111" t="n"/>
      <c r="DU24" s="111" t="n"/>
      <c r="DV24" s="111" t="n"/>
      <c r="DW24" s="111" t="n"/>
      <c r="DX24" s="111" t="n"/>
      <c r="DY24" s="111" t="n"/>
      <c r="DZ24" s="111" t="n"/>
      <c r="EA24" s="111" t="n"/>
      <c r="EB24" s="111" t="n"/>
      <c r="EC24" s="111" t="n"/>
      <c r="ED24" s="111" t="n"/>
      <c r="EE24" s="111" t="n"/>
      <c r="EF24" s="111" t="n"/>
      <c r="EG24" s="111" t="n"/>
      <c r="EH24" s="111" t="n"/>
      <c r="EI24" s="111" t="n"/>
      <c r="EJ24" s="111" t="n"/>
      <c r="EK24" s="111" t="n"/>
      <c r="EL24" s="111" t="n"/>
      <c r="EM24" s="111" t="n"/>
      <c r="EN24" s="111" t="n"/>
      <c r="EO24" s="111" t="n"/>
      <c r="EP24" s="111" t="n"/>
      <c r="EQ24" s="111" t="n"/>
      <c r="ER24" s="111" t="n"/>
      <c r="ES24" s="111" t="n"/>
      <c r="ET24" s="111" t="n"/>
      <c r="EU24" s="111" t="n"/>
      <c r="EV24" s="111" t="n"/>
      <c r="EW24" s="111" t="n"/>
      <c r="EX24" s="111" t="n"/>
      <c r="EY24" s="111" t="n"/>
      <c r="EZ24" s="111" t="n"/>
      <c r="FA24" s="111" t="n"/>
      <c r="FB24" s="111" t="n"/>
      <c r="FC24" s="111" t="n"/>
      <c r="FD24" s="111" t="n"/>
      <c r="FE24" s="111" t="n"/>
      <c r="FF24" s="111" t="n"/>
      <c r="FG24" s="111" t="n"/>
      <c r="FH24" s="111" t="n"/>
      <c r="FI24" s="111" t="n"/>
      <c r="FJ24" s="111" t="n"/>
      <c r="FK24" s="111" t="n"/>
      <c r="FL24" s="111" t="n"/>
      <c r="FM24" s="111" t="n"/>
      <c r="FN24" s="111" t="n"/>
      <c r="FO24" s="111" t="n"/>
      <c r="FP24" s="111" t="n"/>
      <c r="FQ24" s="111" t="n"/>
      <c r="FR24" s="111" t="n"/>
      <c r="FS24" s="111" t="n"/>
      <c r="FT24" s="111" t="n"/>
      <c r="FU24" s="111" t="n"/>
      <c r="FV24" s="111" t="n"/>
      <c r="FW24" s="111" t="n"/>
      <c r="FX24" s="111" t="n"/>
      <c r="FY24" s="111" t="n"/>
      <c r="FZ24" s="111" t="n"/>
      <c r="GA24" s="111" t="n"/>
      <c r="GB24" s="111" t="n"/>
      <c r="GC24" s="111" t="n"/>
      <c r="GD24" s="111" t="n"/>
      <c r="GE24" s="111" t="n"/>
      <c r="GF24" s="111" t="n"/>
      <c r="GG24" s="111" t="n"/>
      <c r="GH24" s="111" t="n"/>
      <c r="GI24" s="111" t="n"/>
      <c r="GJ24" s="111" t="n"/>
      <c r="GK24" s="111" t="n"/>
      <c r="GL24" s="111" t="n"/>
      <c r="GM24" s="111" t="n"/>
      <c r="GN24" s="111" t="n"/>
      <c r="GO24" s="111" t="n"/>
      <c r="GP24" s="111" t="n"/>
      <c r="GQ24" s="111" t="n"/>
      <c r="GR24" s="111" t="n"/>
      <c r="GS24" s="111" t="n"/>
      <c r="GT24" s="111" t="n"/>
      <c r="GU24" s="111" t="n"/>
      <c r="GV24" s="111" t="n"/>
      <c r="GW24" s="111" t="n"/>
      <c r="GX24" s="111" t="n"/>
      <c r="GY24" s="111" t="n"/>
      <c r="GZ24" s="111" t="n"/>
      <c r="HA24" s="111" t="n"/>
      <c r="HB24" s="111" t="n"/>
      <c r="HC24" s="111" t="n"/>
      <c r="HD24" s="111" t="n"/>
      <c r="HE24" s="111" t="n"/>
      <c r="HF24" s="111" t="n"/>
      <c r="HG24" s="111" t="n"/>
      <c r="HH24" s="111" t="n"/>
      <c r="HI24" s="111" t="n"/>
      <c r="HJ24" s="111" t="n"/>
      <c r="HK24" s="111" t="n"/>
      <c r="HL24" s="111" t="n"/>
      <c r="HM24" s="111" t="n"/>
      <c r="HN24" s="111" t="n"/>
      <c r="HO24" s="111" t="n"/>
      <c r="HP24" s="111" t="n"/>
      <c r="HQ24" s="111" t="n"/>
      <c r="HR24" s="111" t="n"/>
      <c r="HS24" s="111" t="n"/>
      <c r="HT24" s="111" t="n"/>
      <c r="HU24" s="111" t="n"/>
      <c r="HV24" s="111" t="n"/>
      <c r="HW24" s="111" t="n"/>
      <c r="HX24" s="111" t="n"/>
      <c r="HY24" s="111" t="n"/>
      <c r="HZ24" s="111" t="n"/>
      <c r="IA24" s="111" t="n"/>
      <c r="IB24" s="111" t="n"/>
      <c r="IC24" s="111" t="n"/>
      <c r="ID24" s="111" t="n"/>
      <c r="IE24" s="111" t="n"/>
      <c r="IF24" s="111" t="n"/>
      <c r="IG24" s="111" t="n"/>
      <c r="IH24" s="111" t="n"/>
      <c r="II24" s="111" t="n"/>
      <c r="IJ24" s="111" t="n"/>
      <c r="IK24" s="111" t="n"/>
      <c r="IL24" s="111" t="n"/>
      <c r="IM24" s="111" t="n"/>
      <c r="IN24" s="111" t="n"/>
      <c r="IO24" s="111" t="n"/>
      <c r="IP24" s="111" t="n"/>
      <c r="IQ24" s="111" t="n"/>
      <c r="IR24" s="111" t="n"/>
      <c r="IS24" s="111" t="n"/>
      <c r="IT24" s="111" t="n"/>
      <c r="IU24" s="111" t="n"/>
      <c r="IV24" s="111" t="n"/>
      <c r="IW24" s="111" t="n"/>
      <c r="IX24" s="111" t="n"/>
      <c r="IY24" s="111" t="n"/>
      <c r="IZ24" s="111" t="n"/>
      <c r="JA24" s="111" t="n"/>
      <c r="JB24" s="111" t="n"/>
      <c r="JC24" s="111" t="n"/>
      <c r="JD24" s="111" t="n"/>
      <c r="JE24" s="111" t="n"/>
      <c r="JF24" s="111" t="n"/>
      <c r="JG24" s="111" t="n"/>
      <c r="JH24" s="111" t="n"/>
      <c r="JI24" s="111" t="n"/>
      <c r="JJ24" s="111" t="n"/>
      <c r="JK24" s="111" t="n"/>
      <c r="JL24" s="111" t="n"/>
      <c r="JM24" s="111" t="n"/>
      <c r="JN24" s="111" t="n"/>
      <c r="JO24" s="111" t="n"/>
      <c r="JP24" s="111" t="n"/>
      <c r="JQ24" s="111" t="n"/>
      <c r="JR24" s="111" t="n"/>
      <c r="JS24" s="111" t="n"/>
      <c r="JT24" s="111" t="n"/>
      <c r="JU24" s="111" t="n"/>
      <c r="JV24" s="111" t="n"/>
      <c r="JW24" s="111" t="n"/>
      <c r="JX24" s="111" t="n"/>
      <c r="JY24" s="111" t="n"/>
      <c r="JZ24" s="111" t="n"/>
      <c r="KA24" s="111" t="n"/>
      <c r="KB24" s="111" t="n"/>
      <c r="KC24" s="111" t="n"/>
      <c r="KD24" s="111" t="n"/>
      <c r="KE24" s="111" t="n"/>
      <c r="KF24" s="111" t="n"/>
      <c r="KG24" s="111" t="n"/>
      <c r="KH24" s="111" t="n"/>
      <c r="KI24" s="111" t="n"/>
      <c r="KJ24" s="111" t="n"/>
      <c r="KK24" s="111" t="n"/>
      <c r="KL24" s="111" t="n"/>
      <c r="KM24" s="111" t="n"/>
      <c r="KN24" s="111" t="n"/>
      <c r="KO24" s="111" t="n"/>
      <c r="KP24" s="111" t="n"/>
      <c r="KQ24" s="111" t="n"/>
      <c r="KR24" s="111" t="n"/>
      <c r="KS24" s="111" t="n"/>
      <c r="KT24" s="111" t="n"/>
      <c r="KU24" s="111" t="n"/>
      <c r="KV24" s="111" t="n"/>
      <c r="KW24" s="111" t="n"/>
      <c r="KX24" s="111" t="n"/>
      <c r="KY24" s="111" t="n"/>
      <c r="KZ24" s="111" t="n"/>
      <c r="LA24" s="111" t="n"/>
      <c r="LB24" s="111" t="n"/>
      <c r="LC24" s="111" t="n"/>
      <c r="LD24" s="111" t="n"/>
      <c r="LE24" s="111" t="n"/>
      <c r="LF24" s="111" t="n"/>
      <c r="LG24" s="111" t="n"/>
      <c r="LH24" s="111" t="n"/>
      <c r="LI24" s="111" t="n"/>
      <c r="LJ24" s="111" t="n"/>
      <c r="LK24" s="111" t="n"/>
      <c r="LL24" s="111" t="n"/>
      <c r="LM24" s="111" t="n"/>
      <c r="LN24" s="111" t="n"/>
      <c r="LO24" s="111" t="n"/>
      <c r="LP24" s="111" t="n"/>
      <c r="LQ24" s="111" t="n"/>
      <c r="LR24" s="111" t="n"/>
      <c r="LS24" s="111" t="n"/>
      <c r="LT24" s="111" t="n"/>
      <c r="LU24" s="111" t="n"/>
      <c r="LV24" s="111" t="n"/>
      <c r="LW24" s="111" t="n"/>
      <c r="LX24" s="111" t="n"/>
      <c r="LY24" s="111" t="n"/>
      <c r="LZ24" s="111" t="n"/>
      <c r="MA24" s="111" t="n"/>
      <c r="MB24" s="111" t="n"/>
      <c r="MC24" s="111" t="n"/>
      <c r="MD24" s="111" t="n"/>
      <c r="ME24" s="111" t="n"/>
      <c r="MF24" s="111" t="n"/>
      <c r="MG24" s="111" t="n"/>
      <c r="MH24" s="111" t="n"/>
      <c r="MI24" s="111" t="n"/>
      <c r="MJ24" s="111" t="n"/>
      <c r="MK24" s="111" t="n"/>
      <c r="ML24" s="111" t="n"/>
      <c r="MM24" s="111" t="n"/>
      <c r="MN24" s="111" t="n"/>
      <c r="MO24" s="111" t="n"/>
      <c r="MP24" s="111" t="n"/>
      <c r="MQ24" s="111" t="n"/>
      <c r="MR24" s="111" t="n"/>
      <c r="MS24" s="111" t="n"/>
      <c r="MT24" s="111" t="n"/>
      <c r="MU24" s="111" t="n"/>
      <c r="MV24" s="111" t="n"/>
      <c r="MW24" s="111" t="n"/>
      <c r="MX24" s="111" t="n"/>
      <c r="MY24" s="111" t="n"/>
      <c r="MZ24" s="111" t="n"/>
      <c r="NA24" s="111" t="n"/>
      <c r="NB24" s="111" t="n"/>
      <c r="NC24" s="111" t="n"/>
      <c r="ND24" s="111" t="n"/>
      <c r="NE24" s="111" t="n"/>
      <c r="NF24" s="111" t="n"/>
      <c r="NG24" s="111" t="n"/>
      <c r="NH24" s="111" t="n"/>
      <c r="NI24" s="111" t="n"/>
      <c r="NJ24" s="111" t="n"/>
      <c r="NK24" s="111" t="n"/>
      <c r="NL24" s="111" t="n"/>
      <c r="NM24" s="111" t="n"/>
      <c r="NN24" s="111" t="n"/>
      <c r="NO24" s="111" t="n"/>
    </row>
    <row r="25" ht="12.75" customFormat="1" customHeight="1" s="17">
      <c r="A25" s="33">
        <f>IF(ISERROR(VALUE(SUBSTITUTE(OFFSET(A25,-1,0,1,1),".",""))),"0.1",IF(ISERROR(FIND("`",SUBSTITUTE(OFFSET(A25,-1,0,1,1),".","`",1))),OFFSET(A25,-1,0,1,1)&amp;".1",LEFT(OFFSET(A25,-1,0,1,1),FIND("`",SUBSTITUTE(OFFSET(A25,-1,0,1,1),".","`",1)))&amp;IF(ISERROR(FIND("`",SUBSTITUTE(OFFSET(A25,-1,0,1,1),".","`",2))),VALUE(RIGHT(OFFSET(A25,-1,0,1,1),LEN(OFFSET(A25,-1,0,1,1))-FIND("`",SUBSTITUTE(OFFSET(A25,-1,0,1,1),".","`",1))))+1,VALUE(MID(OFFSET(A25,-1,0,1,1),FIND("`",SUBSTITUTE(OFFSET(A25,-1,0,1,1),".","`",1))+1,(FIND("`",SUBSTITUTE(OFFSET(A25,-1,0,1,1),".","`",2))-FIND("`",SUBSTITUTE(OFFSET(A25,-1,0,1,1),".","`",1))-1)))+1)))</f>
        <v/>
      </c>
      <c r="B25" s="32" t="inlineStr">
        <is>
          <t>[Insert Rows above this one, then Hide or Delete this row]</t>
        </is>
      </c>
      <c r="C25" s="32" t="n"/>
      <c r="D25" s="37" t="n"/>
      <c r="E25" s="37" t="n"/>
      <c r="F25" s="37" t="n"/>
      <c r="G25" s="32" t="n"/>
      <c r="H25" s="32" t="n"/>
      <c r="I25" s="21" t="n"/>
      <c r="J25" s="22" t="n"/>
      <c r="K25" s="15" t="n"/>
      <c r="L25" s="15" t="n"/>
      <c r="M25" s="14" t="n"/>
      <c r="N25" s="14" t="n"/>
      <c r="P25" s="111" t="n"/>
      <c r="Q25" s="111" t="n"/>
      <c r="R25" s="111" t="n"/>
      <c r="S25" s="111" t="n"/>
      <c r="T25" s="111" t="n"/>
      <c r="U25" s="111" t="n"/>
      <c r="V25" s="111" t="n"/>
      <c r="W25" s="111" t="n"/>
      <c r="X25" s="111" t="n"/>
      <c r="Y25" s="111" t="n"/>
      <c r="Z25" s="111" t="n"/>
      <c r="AA25" s="111" t="n"/>
      <c r="AB25" s="111" t="n"/>
      <c r="AC25" s="111" t="n"/>
      <c r="AD25" s="111" t="n"/>
      <c r="AE25" s="111" t="n"/>
      <c r="AF25" s="111" t="n"/>
      <c r="AG25" s="111" t="n"/>
      <c r="AH25" s="111" t="n"/>
      <c r="AI25" s="111" t="n"/>
      <c r="AJ25" s="111" t="n"/>
      <c r="AK25" s="111" t="n"/>
      <c r="AL25" s="111" t="n"/>
      <c r="AM25" s="111" t="n"/>
      <c r="AN25" s="111" t="n"/>
      <c r="AO25" s="111" t="n"/>
      <c r="AP25" s="111" t="n"/>
      <c r="AQ25" s="111" t="n"/>
      <c r="AR25" s="111" t="n"/>
      <c r="AS25" s="111" t="n"/>
      <c r="AT25" s="111" t="n"/>
      <c r="AU25" s="111" t="n"/>
      <c r="AV25" s="111" t="n"/>
      <c r="AW25" s="111" t="n"/>
      <c r="AX25" s="111" t="n"/>
      <c r="AY25" s="111" t="n"/>
      <c r="AZ25" s="111" t="n"/>
      <c r="BA25" s="111" t="n"/>
      <c r="BB25" s="111" t="n"/>
      <c r="BC25" s="111" t="n"/>
      <c r="BD25" s="111" t="n"/>
      <c r="BE25" s="111" t="n"/>
      <c r="BF25" s="111" t="n"/>
      <c r="BG25" s="111" t="n"/>
      <c r="BH25" s="111" t="n"/>
      <c r="BI25" s="111" t="n"/>
      <c r="BJ25" s="111" t="n"/>
      <c r="BK25" s="111" t="n"/>
      <c r="BL25" s="111" t="n"/>
      <c r="BM25" s="111" t="n"/>
      <c r="BN25" s="111" t="n"/>
      <c r="BO25" s="111" t="n"/>
      <c r="BP25" s="111" t="n"/>
      <c r="BQ25" s="111" t="n"/>
      <c r="BR25" s="111" t="n"/>
      <c r="BS25" s="111" t="n"/>
      <c r="BT25" s="111" t="n"/>
      <c r="BU25" s="111" t="n"/>
      <c r="BV25" s="111" t="n"/>
      <c r="BW25" s="111" t="n"/>
      <c r="BX25" s="111" t="n"/>
      <c r="BY25" s="111" t="n"/>
      <c r="BZ25" s="111" t="n"/>
      <c r="CA25" s="111" t="n"/>
      <c r="CB25" s="111" t="n"/>
      <c r="CC25" s="111" t="n"/>
      <c r="CD25" s="111" t="n"/>
      <c r="CE25" s="111" t="n"/>
      <c r="CF25" s="111" t="n"/>
      <c r="CG25" s="111" t="n"/>
      <c r="CH25" s="111" t="n"/>
      <c r="CI25" s="111" t="n"/>
      <c r="CJ25" s="111" t="n"/>
      <c r="CK25" s="111" t="n"/>
      <c r="CL25" s="111" t="n"/>
      <c r="CM25" s="111" t="n"/>
      <c r="CN25" s="111" t="n"/>
      <c r="CO25" s="111" t="n"/>
      <c r="CP25" s="111" t="n"/>
      <c r="CQ25" s="111" t="n"/>
      <c r="CR25" s="111" t="n"/>
      <c r="CS25" s="111" t="n"/>
      <c r="CT25" s="111" t="n"/>
      <c r="CU25" s="111" t="n"/>
      <c r="CV25" s="111" t="n"/>
      <c r="CW25" s="111" t="n"/>
      <c r="CX25" s="111" t="n"/>
      <c r="CY25" s="111" t="n"/>
      <c r="CZ25" s="111" t="n"/>
      <c r="DA25" s="111" t="n"/>
      <c r="DB25" s="111" t="n"/>
      <c r="DC25" s="111" t="n"/>
      <c r="DD25" s="111" t="n"/>
      <c r="DE25" s="111" t="n"/>
      <c r="DF25" s="111" t="n"/>
      <c r="DG25" s="111" t="n"/>
      <c r="DH25" s="111" t="n"/>
      <c r="DI25" s="111" t="n"/>
      <c r="DJ25" s="111" t="n"/>
      <c r="DK25" s="111" t="n"/>
      <c r="DL25" s="111" t="n"/>
      <c r="DM25" s="111" t="n"/>
      <c r="DN25" s="111" t="n"/>
      <c r="DO25" s="111" t="n"/>
      <c r="DP25" s="111" t="n"/>
      <c r="DQ25" s="111" t="n"/>
      <c r="DR25" s="111" t="n"/>
      <c r="DS25" s="111" t="n"/>
      <c r="DT25" s="111" t="n"/>
      <c r="DU25" s="111" t="n"/>
      <c r="DV25" s="111" t="n"/>
      <c r="DW25" s="111" t="n"/>
      <c r="DX25" s="111" t="n"/>
      <c r="DY25" s="111" t="n"/>
      <c r="DZ25" s="111" t="n"/>
      <c r="EA25" s="111" t="n"/>
      <c r="EB25" s="111" t="n"/>
      <c r="EC25" s="111" t="n"/>
      <c r="ED25" s="111" t="n"/>
      <c r="EE25" s="111" t="n"/>
      <c r="EF25" s="111" t="n"/>
      <c r="EG25" s="111" t="n"/>
      <c r="EH25" s="111" t="n"/>
      <c r="EI25" s="111" t="n"/>
      <c r="EJ25" s="111" t="n"/>
      <c r="EK25" s="111" t="n"/>
      <c r="EL25" s="111" t="n"/>
      <c r="EM25" s="111" t="n"/>
      <c r="EN25" s="111" t="n"/>
      <c r="EO25" s="111" t="n"/>
      <c r="EP25" s="111" t="n"/>
      <c r="EQ25" s="111" t="n"/>
      <c r="ER25" s="111" t="n"/>
      <c r="ES25" s="111" t="n"/>
      <c r="ET25" s="111" t="n"/>
      <c r="EU25" s="111" t="n"/>
      <c r="EV25" s="111" t="n"/>
      <c r="EW25" s="111" t="n"/>
      <c r="EX25" s="111" t="n"/>
      <c r="EY25" s="111" t="n"/>
      <c r="EZ25" s="111" t="n"/>
      <c r="FA25" s="111" t="n"/>
      <c r="FB25" s="111" t="n"/>
      <c r="FC25" s="111" t="n"/>
      <c r="FD25" s="111" t="n"/>
      <c r="FE25" s="111" t="n"/>
      <c r="FF25" s="111" t="n"/>
      <c r="FG25" s="111" t="n"/>
      <c r="FH25" s="111" t="n"/>
      <c r="FI25" s="111" t="n"/>
      <c r="FJ25" s="111" t="n"/>
      <c r="FK25" s="111" t="n"/>
      <c r="FL25" s="111" t="n"/>
      <c r="FM25" s="111" t="n"/>
      <c r="FN25" s="111" t="n"/>
      <c r="FO25" s="111" t="n"/>
      <c r="FP25" s="111" t="n"/>
      <c r="FQ25" s="111" t="n"/>
      <c r="FR25" s="111" t="n"/>
      <c r="FS25" s="111" t="n"/>
      <c r="FT25" s="111" t="n"/>
      <c r="FU25" s="111" t="n"/>
      <c r="FV25" s="111" t="n"/>
      <c r="FW25" s="111" t="n"/>
      <c r="FX25" s="111" t="n"/>
      <c r="FY25" s="111" t="n"/>
      <c r="FZ25" s="111" t="n"/>
      <c r="GA25" s="111" t="n"/>
      <c r="GB25" s="111" t="n"/>
      <c r="GC25" s="111" t="n"/>
      <c r="GD25" s="111" t="n"/>
      <c r="GE25" s="111" t="n"/>
      <c r="GF25" s="111" t="n"/>
      <c r="GG25" s="111" t="n"/>
      <c r="GH25" s="111" t="n"/>
      <c r="GI25" s="111" t="n"/>
      <c r="GJ25" s="111" t="n"/>
      <c r="GK25" s="111" t="n"/>
      <c r="GL25" s="111" t="n"/>
      <c r="GM25" s="111" t="n"/>
      <c r="GN25" s="111" t="n"/>
      <c r="GO25" s="111" t="n"/>
      <c r="GP25" s="111" t="n"/>
      <c r="GQ25" s="111" t="n"/>
      <c r="GR25" s="111" t="n"/>
      <c r="GS25" s="111" t="n"/>
      <c r="GT25" s="111" t="n"/>
      <c r="GU25" s="111" t="n"/>
      <c r="GV25" s="111" t="n"/>
      <c r="GW25" s="111" t="n"/>
      <c r="GX25" s="111" t="n"/>
      <c r="GY25" s="111" t="n"/>
      <c r="GZ25" s="111" t="n"/>
      <c r="HA25" s="111" t="n"/>
      <c r="HB25" s="111" t="n"/>
      <c r="HC25" s="111" t="n"/>
      <c r="HD25" s="111" t="n"/>
      <c r="HE25" s="111" t="n"/>
      <c r="HF25" s="111" t="n"/>
      <c r="HG25" s="111" t="n"/>
      <c r="HH25" s="111" t="n"/>
      <c r="HI25" s="111" t="n"/>
      <c r="HJ25" s="111" t="n"/>
      <c r="HK25" s="111" t="n"/>
      <c r="HL25" s="111" t="n"/>
      <c r="HM25" s="111" t="n"/>
      <c r="HN25" s="111" t="n"/>
      <c r="HO25" s="111" t="n"/>
      <c r="HP25" s="111" t="n"/>
      <c r="HQ25" s="111" t="n"/>
      <c r="HR25" s="111" t="n"/>
      <c r="HS25" s="111" t="n"/>
      <c r="HT25" s="111" t="n"/>
      <c r="HU25" s="111" t="n"/>
      <c r="HV25" s="111" t="n"/>
      <c r="HW25" s="111" t="n"/>
      <c r="HX25" s="111" t="n"/>
      <c r="HY25" s="111" t="n"/>
      <c r="HZ25" s="111" t="n"/>
      <c r="IA25" s="111" t="n"/>
      <c r="IB25" s="111" t="n"/>
      <c r="IC25" s="111" t="n"/>
      <c r="ID25" s="111" t="n"/>
      <c r="IE25" s="111" t="n"/>
      <c r="IF25" s="111" t="n"/>
      <c r="IG25" s="111" t="n"/>
      <c r="IH25" s="111" t="n"/>
      <c r="II25" s="111" t="n"/>
      <c r="IJ25" s="111" t="n"/>
      <c r="IK25" s="111" t="n"/>
      <c r="IL25" s="111" t="n"/>
      <c r="IM25" s="111" t="n"/>
      <c r="IN25" s="111" t="n"/>
      <c r="IO25" s="111" t="n"/>
      <c r="IP25" s="111" t="n"/>
      <c r="IQ25" s="111" t="n"/>
      <c r="IR25" s="111" t="n"/>
      <c r="IS25" s="111" t="n"/>
      <c r="IT25" s="111" t="n"/>
      <c r="IU25" s="111" t="n"/>
      <c r="IV25" s="111" t="n"/>
      <c r="IW25" s="111" t="n"/>
      <c r="IX25" s="111" t="n"/>
      <c r="IY25" s="111" t="n"/>
      <c r="IZ25" s="111" t="n"/>
      <c r="JA25" s="111" t="n"/>
      <c r="JB25" s="111" t="n"/>
      <c r="JC25" s="111" t="n"/>
      <c r="JD25" s="111" t="n"/>
      <c r="JE25" s="111" t="n"/>
      <c r="JF25" s="111" t="n"/>
      <c r="JG25" s="111" t="n"/>
      <c r="JH25" s="111" t="n"/>
      <c r="JI25" s="111" t="n"/>
      <c r="JJ25" s="111" t="n"/>
      <c r="JK25" s="111" t="n"/>
      <c r="JL25" s="111" t="n"/>
      <c r="JM25" s="111" t="n"/>
      <c r="JN25" s="111" t="n"/>
      <c r="JO25" s="111" t="n"/>
      <c r="JP25" s="111" t="n"/>
      <c r="JQ25" s="111" t="n"/>
      <c r="JR25" s="111" t="n"/>
      <c r="JS25" s="111" t="n"/>
      <c r="JT25" s="111" t="n"/>
      <c r="JU25" s="111" t="n"/>
      <c r="JV25" s="111" t="n"/>
      <c r="JW25" s="111" t="n"/>
      <c r="JX25" s="111" t="n"/>
      <c r="JY25" s="111" t="n"/>
      <c r="JZ25" s="111" t="n"/>
      <c r="KA25" s="111" t="n"/>
      <c r="KB25" s="111" t="n"/>
      <c r="KC25" s="111" t="n"/>
      <c r="KD25" s="111" t="n"/>
      <c r="KE25" s="111" t="n"/>
      <c r="KF25" s="111" t="n"/>
      <c r="KG25" s="111" t="n"/>
      <c r="KH25" s="111" t="n"/>
      <c r="KI25" s="111" t="n"/>
      <c r="KJ25" s="111" t="n"/>
      <c r="KK25" s="111" t="n"/>
      <c r="KL25" s="111" t="n"/>
      <c r="KM25" s="111" t="n"/>
      <c r="KN25" s="111" t="n"/>
      <c r="KO25" s="111" t="n"/>
      <c r="KP25" s="111" t="n"/>
      <c r="KQ25" s="111" t="n"/>
      <c r="KR25" s="111" t="n"/>
      <c r="KS25" s="111" t="n"/>
      <c r="KT25" s="111" t="n"/>
      <c r="KU25" s="111" t="n"/>
      <c r="KV25" s="111" t="n"/>
      <c r="KW25" s="111" t="n"/>
      <c r="KX25" s="111" t="n"/>
      <c r="KY25" s="111" t="n"/>
      <c r="KZ25" s="111" t="n"/>
      <c r="LA25" s="111" t="n"/>
      <c r="LB25" s="111" t="n"/>
      <c r="LC25" s="111" t="n"/>
      <c r="LD25" s="111" t="n"/>
      <c r="LE25" s="111" t="n"/>
      <c r="LF25" s="111" t="n"/>
      <c r="LG25" s="111" t="n"/>
      <c r="LH25" s="111" t="n"/>
      <c r="LI25" s="111" t="n"/>
      <c r="LJ25" s="111" t="n"/>
      <c r="LK25" s="111" t="n"/>
      <c r="LL25" s="111" t="n"/>
      <c r="LM25" s="111" t="n"/>
      <c r="LN25" s="111" t="n"/>
      <c r="LO25" s="111" t="n"/>
      <c r="LP25" s="111" t="n"/>
      <c r="LQ25" s="111" t="n"/>
      <c r="LR25" s="111" t="n"/>
      <c r="LS25" s="111" t="n"/>
      <c r="LT25" s="111" t="n"/>
      <c r="LU25" s="111" t="n"/>
      <c r="LV25" s="111" t="n"/>
      <c r="LW25" s="111" t="n"/>
      <c r="LX25" s="111" t="n"/>
      <c r="LY25" s="111" t="n"/>
      <c r="LZ25" s="111" t="n"/>
      <c r="MA25" s="111" t="n"/>
      <c r="MB25" s="111" t="n"/>
      <c r="MC25" s="111" t="n"/>
      <c r="MD25" s="111" t="n"/>
      <c r="ME25" s="111" t="n"/>
      <c r="MF25" s="111" t="n"/>
      <c r="MG25" s="111" t="n"/>
      <c r="MH25" s="111" t="n"/>
      <c r="MI25" s="111" t="n"/>
      <c r="MJ25" s="111" t="n"/>
      <c r="MK25" s="111" t="n"/>
      <c r="ML25" s="111" t="n"/>
      <c r="MM25" s="111" t="n"/>
      <c r="MN25" s="111" t="n"/>
      <c r="MO25" s="111" t="n"/>
      <c r="MP25" s="111" t="n"/>
      <c r="MQ25" s="111" t="n"/>
      <c r="MR25" s="111" t="n"/>
      <c r="MS25" s="111" t="n"/>
      <c r="MT25" s="111" t="n"/>
      <c r="MU25" s="111" t="n"/>
      <c r="MV25" s="111" t="n"/>
      <c r="MW25" s="111" t="n"/>
      <c r="MX25" s="111" t="n"/>
      <c r="MY25" s="111" t="n"/>
      <c r="MZ25" s="111" t="n"/>
      <c r="NA25" s="111" t="n"/>
      <c r="NB25" s="111" t="n"/>
      <c r="NC25" s="111" t="n"/>
      <c r="ND25" s="111" t="n"/>
      <c r="NE25" s="111" t="n"/>
      <c r="NF25" s="111" t="n"/>
      <c r="NG25" s="111" t="n"/>
      <c r="NH25" s="111" t="n"/>
      <c r="NI25" s="111" t="n"/>
      <c r="NJ25" s="111" t="n"/>
      <c r="NK25" s="111" t="n"/>
      <c r="NL25" s="111" t="n"/>
      <c r="NM25" s="111" t="n"/>
      <c r="NN25" s="111" t="n"/>
      <c r="NO25" s="111" t="n"/>
    </row>
    <row r="26" customFormat="1" s="76">
      <c r="A26" s="70">
        <f>IF(ISERROR(VALUE(SUBSTITUTE(OFFSET(A26,-1,0,1,1),".",""))),"1",IF(ISERROR(FIND("`",SUBSTITUTE(OFFSET(A26,-1,0,1,1),".","`",1))),TEXT(VALUE(OFFSET(A26,-1,0,1,1))+1,"#"),TEXT(VALUE(LEFT(OFFSET(A26,-1,0,1,1),FIND("`",SUBSTITUTE(OFFSET(A26,-1,0,1,1),".","`",1))-1))+1,"#")))</f>
        <v/>
      </c>
      <c r="B26" s="71" t="inlineStr">
        <is>
          <t>[ Color-Coding by Urgency ]</t>
        </is>
      </c>
      <c r="C26" s="72" t="inlineStr">
        <is>
          <t>[ name ]</t>
        </is>
      </c>
      <c r="D26" s="73" t="n"/>
      <c r="E26" s="73" t="n"/>
      <c r="F26" s="73" t="n"/>
      <c r="G26" s="273">
        <f>MIN(G27:G37)</f>
        <v/>
      </c>
      <c r="H26" s="276">
        <f>MAX(H27:H37)</f>
        <v/>
      </c>
      <c r="I26" s="74">
        <f>NETWORKDAYS(G26,H26,holidays)</f>
        <v/>
      </c>
      <c r="J26" s="83">
        <f>SUMPRODUCT(I27:I37,J27:J37)/SUM(I27:I37)</f>
        <v/>
      </c>
      <c r="K26" s="75">
        <f>IF(OR(G26=0,H26=0),0,H26-G26+1)</f>
        <v/>
      </c>
      <c r="L26" s="75">
        <f>MIN(K26,WORKDAY(G26,ROUNDDOWN(J26*I26,0),holidays)-G26)</f>
        <v/>
      </c>
      <c r="M26" s="74">
        <f>K26-L26</f>
        <v/>
      </c>
      <c r="N26" s="105">
        <f>IF(H26&lt;$G$7 +  INDEX(urgency,1),"r",IF(H26&lt;$G$7 +  INDEX(urgency,2),"o",IF(H26&lt;$G$7 +  INDEX(urgency,3),"y","")))</f>
        <v/>
      </c>
      <c r="O26" s="17" t="n"/>
      <c r="P26" s="111" t="n"/>
      <c r="Q26" s="111" t="n"/>
      <c r="R26" s="111" t="n"/>
      <c r="S26" s="111" t="n"/>
      <c r="T26" s="111" t="n"/>
      <c r="U26" s="111" t="n"/>
      <c r="V26" s="111" t="n"/>
      <c r="W26" s="111" t="n"/>
      <c r="X26" s="111" t="n"/>
      <c r="Y26" s="111" t="n"/>
      <c r="Z26" s="111" t="n"/>
      <c r="AA26" s="111" t="n"/>
      <c r="AB26" s="111" t="n"/>
      <c r="AC26" s="111" t="n"/>
      <c r="AD26" s="111" t="n"/>
      <c r="AE26" s="111" t="n"/>
      <c r="AF26" s="111" t="n"/>
      <c r="AG26" s="111" t="n"/>
      <c r="AH26" s="111" t="n"/>
      <c r="AI26" s="111" t="n"/>
      <c r="AJ26" s="111" t="n"/>
      <c r="AK26" s="111" t="n"/>
      <c r="AL26" s="111" t="n"/>
      <c r="AM26" s="111" t="n"/>
      <c r="AN26" s="111" t="n"/>
      <c r="AO26" s="111" t="n"/>
      <c r="AP26" s="111" t="n"/>
      <c r="AQ26" s="111" t="n"/>
      <c r="AR26" s="111" t="n"/>
      <c r="AS26" s="111" t="n"/>
      <c r="AT26" s="111" t="n"/>
      <c r="AU26" s="111" t="n"/>
      <c r="AV26" s="111" t="n"/>
      <c r="AW26" s="111" t="n"/>
      <c r="AX26" s="111" t="n"/>
      <c r="AY26" s="111" t="n"/>
      <c r="AZ26" s="111" t="n"/>
      <c r="BA26" s="111" t="n"/>
      <c r="BB26" s="111" t="n"/>
      <c r="BC26" s="111" t="n"/>
      <c r="BD26" s="111" t="n"/>
      <c r="BE26" s="111" t="n"/>
      <c r="BF26" s="111" t="n"/>
      <c r="BG26" s="111" t="n"/>
      <c r="BH26" s="111" t="n"/>
      <c r="BI26" s="111" t="n"/>
      <c r="BJ26" s="111" t="n"/>
      <c r="BK26" s="111" t="n"/>
      <c r="BL26" s="111" t="n"/>
      <c r="BM26" s="111" t="n"/>
      <c r="BN26" s="111" t="n"/>
      <c r="BO26" s="111" t="n"/>
      <c r="BP26" s="111" t="n"/>
      <c r="BQ26" s="111" t="n"/>
      <c r="BR26" s="111" t="n"/>
      <c r="BS26" s="111" t="n"/>
      <c r="BT26" s="111" t="n"/>
      <c r="BU26" s="111" t="n"/>
      <c r="BV26" s="111" t="n"/>
      <c r="BW26" s="111" t="n"/>
      <c r="BX26" s="111" t="n"/>
      <c r="BY26" s="111" t="n"/>
      <c r="BZ26" s="111" t="n"/>
      <c r="CA26" s="111" t="n"/>
      <c r="CB26" s="111" t="n"/>
      <c r="CC26" s="111" t="n"/>
      <c r="CD26" s="111" t="n"/>
      <c r="CE26" s="111" t="n"/>
      <c r="CF26" s="111" t="n"/>
      <c r="CG26" s="111" t="n"/>
      <c r="CH26" s="111" t="n"/>
      <c r="CI26" s="111" t="n"/>
      <c r="CJ26" s="111" t="n"/>
      <c r="CK26" s="111" t="n"/>
      <c r="CL26" s="111" t="n"/>
      <c r="CM26" s="111" t="n"/>
      <c r="CN26" s="111" t="n"/>
      <c r="CO26" s="111" t="n"/>
      <c r="CP26" s="111" t="n"/>
      <c r="CQ26" s="111" t="n"/>
      <c r="CR26" s="111" t="n"/>
      <c r="CS26" s="111" t="n"/>
      <c r="CT26" s="111" t="n"/>
      <c r="CU26" s="111" t="n"/>
      <c r="CV26" s="111" t="n"/>
      <c r="CW26" s="111" t="n"/>
      <c r="CX26" s="111" t="n"/>
      <c r="CY26" s="111" t="n"/>
      <c r="CZ26" s="111" t="n"/>
      <c r="DA26" s="111" t="n"/>
      <c r="DB26" s="111" t="n"/>
      <c r="DC26" s="111" t="n"/>
      <c r="DD26" s="111" t="n"/>
      <c r="DE26" s="111" t="n"/>
      <c r="DF26" s="111" t="n"/>
      <c r="DG26" s="111" t="n"/>
      <c r="DH26" s="111" t="n"/>
      <c r="DI26" s="111" t="n"/>
      <c r="DJ26" s="111" t="n"/>
      <c r="DK26" s="111" t="n"/>
      <c r="DL26" s="111" t="n"/>
      <c r="DM26" s="111" t="n"/>
      <c r="DN26" s="111" t="n"/>
      <c r="DO26" s="111" t="n"/>
      <c r="DP26" s="111" t="n"/>
      <c r="DQ26" s="111" t="n"/>
      <c r="DR26" s="111" t="n"/>
      <c r="DS26" s="111" t="n"/>
      <c r="DT26" s="111" t="n"/>
      <c r="DU26" s="111" t="n"/>
      <c r="DV26" s="111" t="n"/>
      <c r="DW26" s="111" t="n"/>
      <c r="DX26" s="111" t="n"/>
      <c r="DY26" s="111" t="n"/>
      <c r="DZ26" s="111" t="n"/>
      <c r="EA26" s="111" t="n"/>
      <c r="EB26" s="111" t="n"/>
      <c r="EC26" s="111" t="n"/>
      <c r="ED26" s="111" t="n"/>
      <c r="EE26" s="111" t="n"/>
      <c r="EF26" s="111" t="n"/>
      <c r="EG26" s="111" t="n"/>
      <c r="EH26" s="111" t="n"/>
      <c r="EI26" s="111" t="n"/>
      <c r="EJ26" s="111" t="n"/>
      <c r="EK26" s="111" t="n"/>
      <c r="EL26" s="111" t="n"/>
      <c r="EM26" s="111" t="n"/>
      <c r="EN26" s="111" t="n"/>
      <c r="EO26" s="111" t="n"/>
      <c r="EP26" s="111" t="n"/>
      <c r="EQ26" s="111" t="n"/>
      <c r="ER26" s="111" t="n"/>
      <c r="ES26" s="111" t="n"/>
      <c r="ET26" s="111" t="n"/>
      <c r="EU26" s="111" t="n"/>
      <c r="EV26" s="111" t="n"/>
      <c r="EW26" s="111" t="n"/>
      <c r="EX26" s="111" t="n"/>
      <c r="EY26" s="111" t="n"/>
      <c r="EZ26" s="111" t="n"/>
      <c r="FA26" s="111" t="n"/>
      <c r="FB26" s="111" t="n"/>
      <c r="FC26" s="111" t="n"/>
      <c r="FD26" s="111" t="n"/>
      <c r="FE26" s="111" t="n"/>
      <c r="FF26" s="111" t="n"/>
      <c r="FG26" s="111" t="n"/>
      <c r="FH26" s="111" t="n"/>
      <c r="FI26" s="111" t="n"/>
      <c r="FJ26" s="111" t="n"/>
      <c r="FK26" s="111" t="n"/>
      <c r="FL26" s="111" t="n"/>
      <c r="FM26" s="111" t="n"/>
      <c r="FN26" s="111" t="n"/>
      <c r="FO26" s="111" t="n"/>
      <c r="FP26" s="111" t="n"/>
      <c r="FQ26" s="111" t="n"/>
      <c r="FR26" s="111" t="n"/>
      <c r="FS26" s="111" t="n"/>
      <c r="FT26" s="111" t="n"/>
      <c r="FU26" s="111" t="n"/>
      <c r="FV26" s="111" t="n"/>
      <c r="FW26" s="111" t="n"/>
      <c r="FX26" s="111" t="n"/>
      <c r="FY26" s="111" t="n"/>
      <c r="FZ26" s="111" t="n"/>
      <c r="GA26" s="111" t="n"/>
      <c r="GB26" s="111" t="n"/>
      <c r="GC26" s="111" t="n"/>
      <c r="GD26" s="111" t="n"/>
      <c r="GE26" s="111" t="n"/>
      <c r="GF26" s="111" t="n"/>
      <c r="GG26" s="111" t="n"/>
      <c r="GH26" s="111" t="n"/>
      <c r="GI26" s="111" t="n"/>
      <c r="GJ26" s="111" t="n"/>
      <c r="GK26" s="111" t="n"/>
      <c r="GL26" s="111" t="n"/>
      <c r="GM26" s="111" t="n"/>
      <c r="GN26" s="111" t="n"/>
      <c r="GO26" s="111" t="n"/>
      <c r="GP26" s="111" t="n"/>
      <c r="GQ26" s="111" t="n"/>
      <c r="GR26" s="111" t="n"/>
      <c r="GS26" s="111" t="n"/>
      <c r="GT26" s="111" t="n"/>
      <c r="GU26" s="111" t="n"/>
      <c r="GV26" s="111" t="n"/>
      <c r="GW26" s="111" t="n"/>
      <c r="GX26" s="111" t="n"/>
      <c r="GY26" s="111" t="n"/>
      <c r="GZ26" s="111" t="n"/>
      <c r="HA26" s="111" t="n"/>
      <c r="HB26" s="111" t="n"/>
      <c r="HC26" s="111" t="n"/>
      <c r="HD26" s="111" t="n"/>
      <c r="HE26" s="111" t="n"/>
      <c r="HF26" s="111" t="n"/>
      <c r="HG26" s="111" t="n"/>
      <c r="HH26" s="111" t="n"/>
      <c r="HI26" s="111" t="n"/>
      <c r="HJ26" s="111" t="n"/>
      <c r="HK26" s="111" t="n"/>
      <c r="HL26" s="111" t="n"/>
      <c r="HM26" s="111" t="n"/>
      <c r="HN26" s="111" t="n"/>
      <c r="HO26" s="111" t="n"/>
      <c r="HP26" s="111" t="n"/>
      <c r="HQ26" s="111" t="n"/>
      <c r="HR26" s="111" t="n"/>
      <c r="HS26" s="111" t="n"/>
      <c r="HT26" s="111" t="n"/>
      <c r="HU26" s="111" t="n"/>
      <c r="HV26" s="111" t="n"/>
      <c r="HW26" s="111" t="n"/>
      <c r="HX26" s="111" t="n"/>
      <c r="HY26" s="111" t="n"/>
      <c r="HZ26" s="111" t="n"/>
      <c r="IA26" s="111" t="n"/>
      <c r="IB26" s="111" t="n"/>
      <c r="IC26" s="111" t="n"/>
      <c r="ID26" s="111" t="n"/>
      <c r="IE26" s="111" t="n"/>
      <c r="IF26" s="111" t="n"/>
      <c r="IG26" s="111" t="n"/>
      <c r="IH26" s="111" t="n"/>
      <c r="II26" s="111" t="n"/>
      <c r="IJ26" s="111" t="n"/>
      <c r="IK26" s="111" t="n"/>
      <c r="IL26" s="111" t="n"/>
      <c r="IM26" s="111" t="n"/>
      <c r="IN26" s="111" t="n"/>
      <c r="IO26" s="111" t="n"/>
      <c r="IP26" s="111" t="n"/>
      <c r="IQ26" s="111" t="n"/>
      <c r="IR26" s="111" t="n"/>
      <c r="IS26" s="111" t="n"/>
      <c r="IT26" s="111" t="n"/>
      <c r="IU26" s="111" t="n"/>
      <c r="IV26" s="111" t="n"/>
      <c r="IW26" s="111" t="n"/>
      <c r="IX26" s="111" t="n"/>
      <c r="IY26" s="111" t="n"/>
      <c r="IZ26" s="111" t="n"/>
      <c r="JA26" s="111" t="n"/>
      <c r="JB26" s="111" t="n"/>
      <c r="JC26" s="111" t="n"/>
      <c r="JD26" s="111" t="n"/>
      <c r="JE26" s="111" t="n"/>
      <c r="JF26" s="111" t="n"/>
      <c r="JG26" s="111" t="n"/>
      <c r="JH26" s="111" t="n"/>
      <c r="JI26" s="111" t="n"/>
      <c r="JJ26" s="111" t="n"/>
      <c r="JK26" s="111" t="n"/>
      <c r="JL26" s="111" t="n"/>
      <c r="JM26" s="111" t="n"/>
      <c r="JN26" s="111" t="n"/>
      <c r="JO26" s="111" t="n"/>
      <c r="JP26" s="111" t="n"/>
      <c r="JQ26" s="111" t="n"/>
      <c r="JR26" s="111" t="n"/>
      <c r="JS26" s="111" t="n"/>
      <c r="JT26" s="111" t="n"/>
      <c r="JU26" s="111" t="n"/>
      <c r="JV26" s="111" t="n"/>
      <c r="JW26" s="111" t="n"/>
      <c r="JX26" s="111" t="n"/>
      <c r="JY26" s="111" t="n"/>
      <c r="JZ26" s="111" t="n"/>
      <c r="KA26" s="111" t="n"/>
      <c r="KB26" s="111" t="n"/>
      <c r="KC26" s="111" t="n"/>
      <c r="KD26" s="111" t="n"/>
      <c r="KE26" s="111" t="n"/>
      <c r="KF26" s="111" t="n"/>
      <c r="KG26" s="111" t="n"/>
      <c r="KH26" s="111" t="n"/>
      <c r="KI26" s="111" t="n"/>
      <c r="KJ26" s="111" t="n"/>
      <c r="KK26" s="111" t="n"/>
      <c r="KL26" s="111" t="n"/>
      <c r="KM26" s="111" t="n"/>
      <c r="KN26" s="111" t="n"/>
      <c r="KO26" s="111" t="n"/>
      <c r="KP26" s="111" t="n"/>
      <c r="KQ26" s="111" t="n"/>
      <c r="KR26" s="111" t="n"/>
      <c r="KS26" s="111" t="n"/>
      <c r="KT26" s="111" t="n"/>
      <c r="KU26" s="111" t="n"/>
      <c r="KV26" s="111" t="n"/>
      <c r="KW26" s="111" t="n"/>
      <c r="KX26" s="111" t="n"/>
      <c r="KY26" s="111" t="n"/>
      <c r="KZ26" s="111" t="n"/>
      <c r="LA26" s="111" t="n"/>
      <c r="LB26" s="111" t="n"/>
      <c r="LC26" s="111" t="n"/>
      <c r="LD26" s="111" t="n"/>
      <c r="LE26" s="111" t="n"/>
      <c r="LF26" s="111" t="n"/>
      <c r="LG26" s="111" t="n"/>
      <c r="LH26" s="111" t="n"/>
      <c r="LI26" s="111" t="n"/>
      <c r="LJ26" s="111" t="n"/>
      <c r="LK26" s="111" t="n"/>
      <c r="LL26" s="111" t="n"/>
      <c r="LM26" s="111" t="n"/>
      <c r="LN26" s="111" t="n"/>
      <c r="LO26" s="111" t="n"/>
      <c r="LP26" s="111" t="n"/>
      <c r="LQ26" s="111" t="n"/>
      <c r="LR26" s="111" t="n"/>
      <c r="LS26" s="111" t="n"/>
      <c r="LT26" s="111" t="n"/>
      <c r="LU26" s="111" t="n"/>
      <c r="LV26" s="111" t="n"/>
      <c r="LW26" s="111" t="n"/>
      <c r="LX26" s="111" t="n"/>
      <c r="LY26" s="111" t="n"/>
      <c r="LZ26" s="111" t="n"/>
      <c r="MA26" s="111" t="n"/>
      <c r="MB26" s="111" t="n"/>
      <c r="MC26" s="111" t="n"/>
      <c r="MD26" s="111" t="n"/>
      <c r="ME26" s="111" t="n"/>
      <c r="MF26" s="111" t="n"/>
      <c r="MG26" s="111" t="n"/>
      <c r="MH26" s="111" t="n"/>
      <c r="MI26" s="111" t="n"/>
      <c r="MJ26" s="111" t="n"/>
      <c r="MK26" s="111" t="n"/>
      <c r="ML26" s="111" t="n"/>
      <c r="MM26" s="111" t="n"/>
      <c r="MN26" s="111" t="n"/>
      <c r="MO26" s="111" t="n"/>
      <c r="MP26" s="111" t="n"/>
      <c r="MQ26" s="111" t="n"/>
      <c r="MR26" s="111" t="n"/>
      <c r="MS26" s="111" t="n"/>
      <c r="MT26" s="111" t="n"/>
      <c r="MU26" s="111" t="n"/>
      <c r="MV26" s="111" t="n"/>
      <c r="MW26" s="111" t="n"/>
      <c r="MX26" s="111" t="n"/>
      <c r="MY26" s="111" t="n"/>
      <c r="MZ26" s="111" t="n"/>
      <c r="NA26" s="111" t="n"/>
      <c r="NB26" s="111" t="n"/>
      <c r="NC26" s="111" t="n"/>
      <c r="ND26" s="111" t="n"/>
      <c r="NE26" s="111" t="n"/>
      <c r="NF26" s="111" t="n"/>
      <c r="NG26" s="111" t="n"/>
      <c r="NH26" s="111" t="n"/>
      <c r="NI26" s="111" t="n"/>
      <c r="NJ26" s="111" t="n"/>
      <c r="NK26" s="111" t="n"/>
      <c r="NL26" s="111" t="n"/>
      <c r="NM26" s="111" t="n"/>
      <c r="NN26" s="111" t="n"/>
      <c r="NO26" s="111" t="n"/>
    </row>
    <row r="27" customFormat="1" s="17">
      <c r="A27" s="33">
        <f>IF(ISERROR(VALUE(SUBSTITUTE(OFFSET(A27,-1,0,1,1),".",""))),"0.1",IF(ISERROR(FIND("`",SUBSTITUTE(OFFSET(A27,-1,0,1,1),".","`",1))),OFFSET(A27,-1,0,1,1)&amp;".1",LEFT(OFFSET(A27,-1,0,1,1),FIND("`",SUBSTITUTE(OFFSET(A27,-1,0,1,1),".","`",1)))&amp;IF(ISERROR(FIND("`",SUBSTITUTE(OFFSET(A27,-1,0,1,1),".","`",2))),VALUE(RIGHT(OFFSET(A27,-1,0,1,1),LEN(OFFSET(A27,-1,0,1,1))-FIND("`",SUBSTITUTE(OFFSET(A27,-1,0,1,1),".","`",1))))+1,VALUE(MID(OFFSET(A27,-1,0,1,1),FIND("`",SUBSTITUTE(OFFSET(A27,-1,0,1,1),".","`",1))+1,(FIND("`",SUBSTITUTE(OFFSET(A27,-1,0,1,1),".","`",2))-FIND("`",SUBSTITUTE(OFFSET(A27,-1,0,1,1),".","`",1))-1)))+1)))</f>
        <v/>
      </c>
      <c r="B27" s="10" t="inlineStr">
        <is>
          <t>[ Level 2 Task ]</t>
        </is>
      </c>
      <c r="C27" s="11" t="n"/>
      <c r="D27" s="37" t="n"/>
      <c r="E27" s="37" t="n"/>
      <c r="F27" s="37" t="n"/>
      <c r="G27" s="274" t="n">
        <v>41338</v>
      </c>
      <c r="H27" s="275">
        <f>IF(I27=0,G27,WORKDAY(IF(WEEKDAY(G27,1)=7,G27+2,IF(WEEKDAY(G27,1)=1,G27+1,G27)),I27-1,holidays))</f>
        <v/>
      </c>
      <c r="I27" s="79" t="n">
        <v>4</v>
      </c>
      <c r="J27" s="80" t="n">
        <v>0.5</v>
      </c>
      <c r="K27" s="15">
        <f>IF(OR(G27=0,H27=0),0,H27-G27+1)</f>
        <v/>
      </c>
      <c r="L27" s="15">
        <f>MIN(K27,WORKDAY(G27,ROUNDDOWN(J27*I27,0),holidays)-G27)</f>
        <v/>
      </c>
      <c r="M27" s="14">
        <f>K27-L27</f>
        <v/>
      </c>
      <c r="N27" s="105">
        <f>IF(H27&lt;$G$7 + INDEX(urgency,1),"r",IF(H27&lt;$G$7 + INDEX(urgency,2),"o",IF(H27&lt;$G$7 + INDEX(urgency,3),"y","")))</f>
        <v/>
      </c>
      <c r="O27" s="17"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c r="GU27" s="111" t="n"/>
      <c r="GV27" s="111" t="n"/>
      <c r="GW27" s="111" t="n"/>
      <c r="GX27" s="111" t="n"/>
      <c r="GY27" s="111" t="n"/>
      <c r="GZ27" s="111" t="n"/>
      <c r="HA27" s="111" t="n"/>
      <c r="HB27" s="111" t="n"/>
      <c r="HC27" s="111" t="n"/>
      <c r="HD27" s="111" t="n"/>
      <c r="HE27" s="111" t="n"/>
      <c r="HF27" s="111" t="n"/>
      <c r="HG27" s="111" t="n"/>
      <c r="HH27" s="111" t="n"/>
      <c r="HI27" s="111" t="n"/>
      <c r="HJ27" s="111" t="n"/>
      <c r="HK27" s="111" t="n"/>
      <c r="HL27" s="111" t="n"/>
      <c r="HM27" s="111" t="n"/>
      <c r="HN27" s="111" t="n"/>
      <c r="HO27" s="111" t="n"/>
      <c r="HP27" s="111" t="n"/>
      <c r="HQ27" s="111" t="n"/>
      <c r="HR27" s="111" t="n"/>
      <c r="HS27" s="111" t="n"/>
      <c r="HT27" s="111" t="n"/>
      <c r="HU27" s="111" t="n"/>
      <c r="HV27" s="111" t="n"/>
      <c r="HW27" s="111" t="n"/>
      <c r="HX27" s="111" t="n"/>
      <c r="HY27" s="111" t="n"/>
      <c r="HZ27" s="111" t="n"/>
      <c r="IA27" s="111" t="n"/>
      <c r="IB27" s="111" t="n"/>
      <c r="IC27" s="111" t="n"/>
      <c r="ID27" s="111" t="n"/>
      <c r="IE27" s="111" t="n"/>
      <c r="IF27" s="111" t="n"/>
      <c r="IG27" s="111" t="n"/>
      <c r="IH27" s="111" t="n"/>
      <c r="II27" s="111" t="n"/>
      <c r="IJ27" s="111" t="n"/>
      <c r="IK27" s="111" t="n"/>
      <c r="IL27" s="111" t="n"/>
      <c r="IM27" s="111" t="n"/>
      <c r="IN27" s="111" t="n"/>
      <c r="IO27" s="111" t="n"/>
      <c r="IP27" s="111" t="n"/>
      <c r="IQ27" s="111" t="n"/>
      <c r="IR27" s="111" t="n"/>
      <c r="IS27" s="111" t="n"/>
      <c r="IT27" s="111" t="n"/>
      <c r="IU27" s="111" t="n"/>
      <c r="IV27" s="111" t="n"/>
      <c r="IW27" s="111" t="n"/>
      <c r="IX27" s="111" t="n"/>
      <c r="IY27" s="111" t="n"/>
      <c r="IZ27" s="111" t="n"/>
      <c r="JA27" s="111" t="n"/>
      <c r="JB27" s="111" t="n"/>
      <c r="JC27" s="111" t="n"/>
      <c r="JD27" s="111" t="n"/>
      <c r="JE27" s="111" t="n"/>
      <c r="JF27" s="111" t="n"/>
      <c r="JG27" s="111" t="n"/>
      <c r="JH27" s="111" t="n"/>
      <c r="JI27" s="111" t="n"/>
      <c r="JJ27" s="111" t="n"/>
      <c r="JK27" s="111" t="n"/>
      <c r="JL27" s="111" t="n"/>
      <c r="JM27" s="111" t="n"/>
      <c r="JN27" s="111" t="n"/>
      <c r="JO27" s="111" t="n"/>
      <c r="JP27" s="111" t="n"/>
      <c r="JQ27" s="111" t="n"/>
      <c r="JR27" s="111" t="n"/>
      <c r="JS27" s="111" t="n"/>
      <c r="JT27" s="111" t="n"/>
      <c r="JU27" s="111" t="n"/>
      <c r="JV27" s="111" t="n"/>
      <c r="JW27" s="111" t="n"/>
      <c r="JX27" s="111" t="n"/>
      <c r="JY27" s="111" t="n"/>
      <c r="JZ27" s="111" t="n"/>
      <c r="KA27" s="111" t="n"/>
      <c r="KB27" s="111" t="n"/>
      <c r="KC27" s="111" t="n"/>
      <c r="KD27" s="111" t="n"/>
      <c r="KE27" s="111" t="n"/>
      <c r="KF27" s="111" t="n"/>
      <c r="KG27" s="111" t="n"/>
      <c r="KH27" s="111" t="n"/>
      <c r="KI27" s="111" t="n"/>
      <c r="KJ27" s="111" t="n"/>
      <c r="KK27" s="111" t="n"/>
      <c r="KL27" s="111" t="n"/>
      <c r="KM27" s="111" t="n"/>
      <c r="KN27" s="111" t="n"/>
      <c r="KO27" s="111" t="n"/>
      <c r="KP27" s="111" t="n"/>
      <c r="KQ27" s="111" t="n"/>
      <c r="KR27" s="111" t="n"/>
      <c r="KS27" s="111" t="n"/>
      <c r="KT27" s="111" t="n"/>
      <c r="KU27" s="111" t="n"/>
      <c r="KV27" s="111" t="n"/>
      <c r="KW27" s="111" t="n"/>
      <c r="KX27" s="111" t="n"/>
      <c r="KY27" s="111" t="n"/>
      <c r="KZ27" s="111" t="n"/>
      <c r="LA27" s="111" t="n"/>
      <c r="LB27" s="111" t="n"/>
      <c r="LC27" s="111" t="n"/>
      <c r="LD27" s="111" t="n"/>
      <c r="LE27" s="111" t="n"/>
      <c r="LF27" s="111" t="n"/>
      <c r="LG27" s="111" t="n"/>
      <c r="LH27" s="111" t="n"/>
      <c r="LI27" s="111" t="n"/>
      <c r="LJ27" s="111" t="n"/>
      <c r="LK27" s="111" t="n"/>
      <c r="LL27" s="111" t="n"/>
      <c r="LM27" s="111" t="n"/>
      <c r="LN27" s="111" t="n"/>
      <c r="LO27" s="111" t="n"/>
      <c r="LP27" s="111" t="n"/>
      <c r="LQ27" s="111" t="n"/>
      <c r="LR27" s="111" t="n"/>
      <c r="LS27" s="111" t="n"/>
      <c r="LT27" s="111" t="n"/>
      <c r="LU27" s="111" t="n"/>
      <c r="LV27" s="111" t="n"/>
      <c r="LW27" s="111" t="n"/>
      <c r="LX27" s="111" t="n"/>
      <c r="LY27" s="111" t="n"/>
      <c r="LZ27" s="111" t="n"/>
      <c r="MA27" s="111" t="n"/>
      <c r="MB27" s="111" t="n"/>
      <c r="MC27" s="111" t="n"/>
      <c r="MD27" s="111" t="n"/>
      <c r="ME27" s="111" t="n"/>
      <c r="MF27" s="111" t="n"/>
      <c r="MG27" s="111" t="n"/>
      <c r="MH27" s="111" t="n"/>
      <c r="MI27" s="111" t="n"/>
      <c r="MJ27" s="111" t="n"/>
      <c r="MK27" s="111" t="n"/>
      <c r="ML27" s="111" t="n"/>
      <c r="MM27" s="111" t="n"/>
      <c r="MN27" s="111" t="n"/>
      <c r="MO27" s="111" t="n"/>
      <c r="MP27" s="111" t="n"/>
      <c r="MQ27" s="111" t="n"/>
      <c r="MR27" s="111" t="n"/>
      <c r="MS27" s="111" t="n"/>
      <c r="MT27" s="111" t="n"/>
      <c r="MU27" s="111" t="n"/>
      <c r="MV27" s="111" t="n"/>
      <c r="MW27" s="111" t="n"/>
      <c r="MX27" s="111" t="n"/>
      <c r="MY27" s="111" t="n"/>
      <c r="MZ27" s="111" t="n"/>
      <c r="NA27" s="111" t="n"/>
      <c r="NB27" s="111" t="n"/>
      <c r="NC27" s="111" t="n"/>
      <c r="ND27" s="111" t="n"/>
      <c r="NE27" s="111" t="n"/>
      <c r="NF27" s="111" t="n"/>
      <c r="NG27" s="111" t="n"/>
      <c r="NH27" s="111" t="n"/>
      <c r="NI27" s="111" t="n"/>
      <c r="NJ27" s="111" t="n"/>
      <c r="NK27" s="111" t="n"/>
      <c r="NL27" s="111" t="n"/>
      <c r="NM27" s="111" t="n"/>
      <c r="NN27" s="111" t="n"/>
      <c r="NO27" s="111" t="n"/>
    </row>
    <row r="28" customFormat="1" s="17">
      <c r="A28" s="33">
        <f>IF(ISERROR(VALUE(SUBSTITUTE(OFFSET(A28,-1,0,1,1),".",""))),"0.1",IF(ISERROR(FIND("`",SUBSTITUTE(OFFSET(A28,-1,0,1,1),".","`",1))),OFFSET(A28,-1,0,1,1)&amp;".1",LEFT(OFFSET(A28,-1,0,1,1),FIND("`",SUBSTITUTE(OFFSET(A28,-1,0,1,1),".","`",1)))&amp;IF(ISERROR(FIND("`",SUBSTITUTE(OFFSET(A28,-1,0,1,1),".","`",2))),VALUE(RIGHT(OFFSET(A28,-1,0,1,1),LEN(OFFSET(A28,-1,0,1,1))-FIND("`",SUBSTITUTE(OFFSET(A28,-1,0,1,1),".","`",1))))+1,VALUE(MID(OFFSET(A28,-1,0,1,1),FIND("`",SUBSTITUTE(OFFSET(A28,-1,0,1,1),".","`",1))+1,(FIND("`",SUBSTITUTE(OFFSET(A28,-1,0,1,1),".","`",2))-FIND("`",SUBSTITUTE(OFFSET(A28,-1,0,1,1),".","`",1))-1)))+1)))</f>
        <v/>
      </c>
      <c r="B28" s="10" t="inlineStr">
        <is>
          <t>[ Level 2 Task ]</t>
        </is>
      </c>
      <c r="C28" s="11" t="n"/>
      <c r="D28" s="37" t="n"/>
      <c r="E28" s="37" t="n"/>
      <c r="F28" s="37" t="n"/>
      <c r="G28" s="274">
        <f>WORKDAY(G27,1,holidays)</f>
        <v/>
      </c>
      <c r="H28" s="275">
        <f>IF(I28=0,G28,WORKDAY(IF(WEEKDAY(G28,1)=7,G28+2,IF(WEEKDAY(G28,1)=1,G28+1,G28)),I28-1,holidays))</f>
        <v/>
      </c>
      <c r="I28" s="79" t="n">
        <v>4</v>
      </c>
      <c r="J28" s="80" t="n">
        <v>0.5</v>
      </c>
      <c r="K28" s="15">
        <f>IF(OR(G28=0,H28=0),0,H28-G28+1)</f>
        <v/>
      </c>
      <c r="L28" s="15">
        <f>MIN(K28,WORKDAY(G28,ROUNDDOWN(J28*I28,0),holidays)-G28)</f>
        <v/>
      </c>
      <c r="M28" s="14">
        <f>K28-L28</f>
        <v/>
      </c>
      <c r="N28" s="105">
        <f>IF(H28&lt;$G$7 + INDEX(urgency,1),"r",IF(H28&lt;$G$7 + INDEX(urgency,2),"o",IF(H28&lt;$G$7 + INDEX(urgency,3),"y","")))</f>
        <v/>
      </c>
      <c r="O28" s="17"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c r="GU28" s="111" t="n"/>
      <c r="GV28" s="111" t="n"/>
      <c r="GW28" s="111" t="n"/>
      <c r="GX28" s="111" t="n"/>
      <c r="GY28" s="111" t="n"/>
      <c r="GZ28" s="111" t="n"/>
      <c r="HA28" s="111" t="n"/>
      <c r="HB28" s="111" t="n"/>
      <c r="HC28" s="111" t="n"/>
      <c r="HD28" s="111" t="n"/>
      <c r="HE28" s="111" t="n"/>
      <c r="HF28" s="111" t="n"/>
      <c r="HG28" s="111" t="n"/>
      <c r="HH28" s="111" t="n"/>
      <c r="HI28" s="111" t="n"/>
      <c r="HJ28" s="111" t="n"/>
      <c r="HK28" s="111" t="n"/>
      <c r="HL28" s="111" t="n"/>
      <c r="HM28" s="111" t="n"/>
      <c r="HN28" s="111" t="n"/>
      <c r="HO28" s="111" t="n"/>
      <c r="HP28" s="111" t="n"/>
      <c r="HQ28" s="111" t="n"/>
      <c r="HR28" s="111" t="n"/>
      <c r="HS28" s="111" t="n"/>
      <c r="HT28" s="111" t="n"/>
      <c r="HU28" s="111" t="n"/>
      <c r="HV28" s="111" t="n"/>
      <c r="HW28" s="111" t="n"/>
      <c r="HX28" s="111" t="n"/>
      <c r="HY28" s="111" t="n"/>
      <c r="HZ28" s="111" t="n"/>
      <c r="IA28" s="111" t="n"/>
      <c r="IB28" s="111" t="n"/>
      <c r="IC28" s="111" t="n"/>
      <c r="ID28" s="111" t="n"/>
      <c r="IE28" s="111" t="n"/>
      <c r="IF28" s="111" t="n"/>
      <c r="IG28" s="111" t="n"/>
      <c r="IH28" s="111" t="n"/>
      <c r="II28" s="111" t="n"/>
      <c r="IJ28" s="111" t="n"/>
      <c r="IK28" s="111" t="n"/>
      <c r="IL28" s="111" t="n"/>
      <c r="IM28" s="111" t="n"/>
      <c r="IN28" s="111" t="n"/>
      <c r="IO28" s="111" t="n"/>
      <c r="IP28" s="111" t="n"/>
      <c r="IQ28" s="111" t="n"/>
      <c r="IR28" s="111" t="n"/>
      <c r="IS28" s="111" t="n"/>
      <c r="IT28" s="111" t="n"/>
      <c r="IU28" s="111" t="n"/>
      <c r="IV28" s="111" t="n"/>
      <c r="IW28" s="111" t="n"/>
      <c r="IX28" s="111" t="n"/>
      <c r="IY28" s="111" t="n"/>
      <c r="IZ28" s="111" t="n"/>
      <c r="JA28" s="111" t="n"/>
      <c r="JB28" s="111" t="n"/>
      <c r="JC28" s="111" t="n"/>
      <c r="JD28" s="111" t="n"/>
      <c r="JE28" s="111" t="n"/>
      <c r="JF28" s="111" t="n"/>
      <c r="JG28" s="111" t="n"/>
      <c r="JH28" s="111" t="n"/>
      <c r="JI28" s="111" t="n"/>
      <c r="JJ28" s="111" t="n"/>
      <c r="JK28" s="111" t="n"/>
      <c r="JL28" s="111" t="n"/>
      <c r="JM28" s="111" t="n"/>
      <c r="JN28" s="111" t="n"/>
      <c r="JO28" s="111" t="n"/>
      <c r="JP28" s="111" t="n"/>
      <c r="JQ28" s="111" t="n"/>
      <c r="JR28" s="111" t="n"/>
      <c r="JS28" s="111" t="n"/>
      <c r="JT28" s="111" t="n"/>
      <c r="JU28" s="111" t="n"/>
      <c r="JV28" s="111" t="n"/>
      <c r="JW28" s="111" t="n"/>
      <c r="JX28" s="111" t="n"/>
      <c r="JY28" s="111" t="n"/>
      <c r="JZ28" s="111" t="n"/>
      <c r="KA28" s="111" t="n"/>
      <c r="KB28" s="111" t="n"/>
      <c r="KC28" s="111" t="n"/>
      <c r="KD28" s="111" t="n"/>
      <c r="KE28" s="111" t="n"/>
      <c r="KF28" s="111" t="n"/>
      <c r="KG28" s="111" t="n"/>
      <c r="KH28" s="111" t="n"/>
      <c r="KI28" s="111" t="n"/>
      <c r="KJ28" s="111" t="n"/>
      <c r="KK28" s="111" t="n"/>
      <c r="KL28" s="111" t="n"/>
      <c r="KM28" s="111" t="n"/>
      <c r="KN28" s="111" t="n"/>
      <c r="KO28" s="111" t="n"/>
      <c r="KP28" s="111" t="n"/>
      <c r="KQ28" s="111" t="n"/>
      <c r="KR28" s="111" t="n"/>
      <c r="KS28" s="111" t="n"/>
      <c r="KT28" s="111" t="n"/>
      <c r="KU28" s="111" t="n"/>
      <c r="KV28" s="111" t="n"/>
      <c r="KW28" s="111" t="n"/>
      <c r="KX28" s="111" t="n"/>
      <c r="KY28" s="111" t="n"/>
      <c r="KZ28" s="111" t="n"/>
      <c r="LA28" s="111" t="n"/>
      <c r="LB28" s="111" t="n"/>
      <c r="LC28" s="111" t="n"/>
      <c r="LD28" s="111" t="n"/>
      <c r="LE28" s="111" t="n"/>
      <c r="LF28" s="111" t="n"/>
      <c r="LG28" s="111" t="n"/>
      <c r="LH28" s="111" t="n"/>
      <c r="LI28" s="111" t="n"/>
      <c r="LJ28" s="111" t="n"/>
      <c r="LK28" s="111" t="n"/>
      <c r="LL28" s="111" t="n"/>
      <c r="LM28" s="111" t="n"/>
      <c r="LN28" s="111" t="n"/>
      <c r="LO28" s="111" t="n"/>
      <c r="LP28" s="111" t="n"/>
      <c r="LQ28" s="111" t="n"/>
      <c r="LR28" s="111" t="n"/>
      <c r="LS28" s="111" t="n"/>
      <c r="LT28" s="111" t="n"/>
      <c r="LU28" s="111" t="n"/>
      <c r="LV28" s="111" t="n"/>
      <c r="LW28" s="111" t="n"/>
      <c r="LX28" s="111" t="n"/>
      <c r="LY28" s="111" t="n"/>
      <c r="LZ28" s="111" t="n"/>
      <c r="MA28" s="111" t="n"/>
      <c r="MB28" s="111" t="n"/>
      <c r="MC28" s="111" t="n"/>
      <c r="MD28" s="111" t="n"/>
      <c r="ME28" s="111" t="n"/>
      <c r="MF28" s="111" t="n"/>
      <c r="MG28" s="111" t="n"/>
      <c r="MH28" s="111" t="n"/>
      <c r="MI28" s="111" t="n"/>
      <c r="MJ28" s="111" t="n"/>
      <c r="MK28" s="111" t="n"/>
      <c r="ML28" s="111" t="n"/>
      <c r="MM28" s="111" t="n"/>
      <c r="MN28" s="111" t="n"/>
      <c r="MO28" s="111" t="n"/>
      <c r="MP28" s="111" t="n"/>
      <c r="MQ28" s="111" t="n"/>
      <c r="MR28" s="111" t="n"/>
      <c r="MS28" s="111" t="n"/>
      <c r="MT28" s="111" t="n"/>
      <c r="MU28" s="111" t="n"/>
      <c r="MV28" s="111" t="n"/>
      <c r="MW28" s="111" t="n"/>
      <c r="MX28" s="111" t="n"/>
      <c r="MY28" s="111" t="n"/>
      <c r="MZ28" s="111" t="n"/>
      <c r="NA28" s="111" t="n"/>
      <c r="NB28" s="111" t="n"/>
      <c r="NC28" s="111" t="n"/>
      <c r="ND28" s="111" t="n"/>
      <c r="NE28" s="111" t="n"/>
      <c r="NF28" s="111" t="n"/>
      <c r="NG28" s="111" t="n"/>
      <c r="NH28" s="111" t="n"/>
      <c r="NI28" s="111" t="n"/>
      <c r="NJ28" s="111" t="n"/>
      <c r="NK28" s="111" t="n"/>
      <c r="NL28" s="111" t="n"/>
      <c r="NM28" s="111" t="n"/>
      <c r="NN28" s="111" t="n"/>
      <c r="NO28" s="111" t="n"/>
    </row>
    <row r="29" customFormat="1" s="17">
      <c r="A29" s="33">
        <f>IF(ISERROR(VALUE(SUBSTITUTE(OFFSET(A29,-1,0,1,1),".",""))),"0.1",IF(ISERROR(FIND("`",SUBSTITUTE(OFFSET(A29,-1,0,1,1),".","`",1))),OFFSET(A29,-1,0,1,1)&amp;".1",LEFT(OFFSET(A29,-1,0,1,1),FIND("`",SUBSTITUTE(OFFSET(A29,-1,0,1,1),".","`",1)))&amp;IF(ISERROR(FIND("`",SUBSTITUTE(OFFSET(A29,-1,0,1,1),".","`",2))),VALUE(RIGHT(OFFSET(A29,-1,0,1,1),LEN(OFFSET(A29,-1,0,1,1))-FIND("`",SUBSTITUTE(OFFSET(A29,-1,0,1,1),".","`",1))))+1,VALUE(MID(OFFSET(A29,-1,0,1,1),FIND("`",SUBSTITUTE(OFFSET(A29,-1,0,1,1),".","`",1))+1,(FIND("`",SUBSTITUTE(OFFSET(A29,-1,0,1,1),".","`",2))-FIND("`",SUBSTITUTE(OFFSET(A29,-1,0,1,1),".","`",1))-1)))+1)))</f>
        <v/>
      </c>
      <c r="B29" s="10" t="inlineStr">
        <is>
          <t>[ Level 2 Task ]</t>
        </is>
      </c>
      <c r="C29" s="11" t="n"/>
      <c r="D29" s="37" t="n"/>
      <c r="E29" s="37" t="n"/>
      <c r="F29" s="37" t="n"/>
      <c r="G29" s="274">
        <f>WORKDAY(G28,1,holidays)</f>
        <v/>
      </c>
      <c r="H29" s="275">
        <f>IF(I29=0,G29,WORKDAY(IF(WEEKDAY(G29,1)=7,G29+2,IF(WEEKDAY(G29,1)=1,G29+1,G29)),I29-1,holidays))</f>
        <v/>
      </c>
      <c r="I29" s="79" t="n">
        <v>4</v>
      </c>
      <c r="J29" s="80" t="n">
        <v>0.5</v>
      </c>
      <c r="K29" s="15">
        <f>IF(OR(G29=0,H29=0),0,H29-G29+1)</f>
        <v/>
      </c>
      <c r="L29" s="15">
        <f>MIN(K29,WORKDAY(G29,ROUNDDOWN(J29*I29,0),holidays)-G29)</f>
        <v/>
      </c>
      <c r="M29" s="14">
        <f>K29-L29</f>
        <v/>
      </c>
      <c r="N29" s="105">
        <f>IF(H29&lt;$G$7 + INDEX(urgency,1),"r",IF(H29&lt;$G$7 + INDEX(urgency,2),"o",IF(H29&lt;$G$7 + INDEX(urgency,3),"y","")))</f>
        <v/>
      </c>
      <c r="O29" s="17" t="n"/>
      <c r="P29" s="111" t="n"/>
      <c r="Q29" s="111"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c r="AJ29" s="111" t="n"/>
      <c r="AK29" s="111" t="n"/>
      <c r="AL29" s="111" t="n"/>
      <c r="AM29" s="111" t="n"/>
      <c r="AN29" s="111" t="n"/>
      <c r="AO29" s="111" t="n"/>
      <c r="AP29" s="111" t="n"/>
      <c r="AQ29" s="111" t="n"/>
      <c r="AR29" s="111" t="n"/>
      <c r="AS29" s="111" t="n"/>
      <c r="AT29" s="111" t="n"/>
      <c r="AU29" s="111" t="n"/>
      <c r="AV29" s="111" t="n"/>
      <c r="AW29" s="111" t="n"/>
      <c r="AX29" s="111" t="n"/>
      <c r="AY29" s="111" t="n"/>
      <c r="AZ29" s="111" t="n"/>
      <c r="BA29" s="111" t="n"/>
      <c r="BB29" s="111" t="n"/>
      <c r="BC29" s="111" t="n"/>
      <c r="BD29" s="111" t="n"/>
      <c r="BE29" s="111" t="n"/>
      <c r="BF29" s="111" t="n"/>
      <c r="BG29" s="111" t="n"/>
      <c r="BH29" s="111" t="n"/>
      <c r="BI29" s="111" t="n"/>
      <c r="BJ29" s="111" t="n"/>
      <c r="BK29" s="111" t="n"/>
      <c r="BL29" s="111" t="n"/>
      <c r="BM29" s="111" t="n"/>
      <c r="BN29" s="111" t="n"/>
      <c r="BO29" s="111" t="n"/>
      <c r="BP29" s="111" t="n"/>
      <c r="BQ29" s="111" t="n"/>
      <c r="BR29" s="111" t="n"/>
      <c r="BS29" s="111" t="n"/>
      <c r="BT29" s="111" t="n"/>
      <c r="BU29" s="111" t="n"/>
      <c r="BV29" s="111" t="n"/>
      <c r="BW29" s="111" t="n"/>
      <c r="BX29" s="111" t="n"/>
      <c r="BY29" s="111" t="n"/>
      <c r="BZ29" s="111" t="n"/>
      <c r="CA29" s="111" t="n"/>
      <c r="CB29" s="111" t="n"/>
      <c r="CC29" s="111" t="n"/>
      <c r="CD29" s="111" t="n"/>
      <c r="CE29" s="111" t="n"/>
      <c r="CF29" s="111" t="n"/>
      <c r="CG29" s="111" t="n"/>
      <c r="CH29" s="111" t="n"/>
      <c r="CI29" s="111" t="n"/>
      <c r="CJ29" s="111" t="n"/>
      <c r="CK29" s="111" t="n"/>
      <c r="CL29" s="111" t="n"/>
      <c r="CM29" s="111" t="n"/>
      <c r="CN29" s="111" t="n"/>
      <c r="CO29" s="111" t="n"/>
      <c r="CP29" s="111" t="n"/>
      <c r="CQ29" s="111" t="n"/>
      <c r="CR29" s="111" t="n"/>
      <c r="CS29" s="111" t="n"/>
      <c r="CT29" s="111" t="n"/>
      <c r="CU29" s="111" t="n"/>
      <c r="CV29" s="111" t="n"/>
      <c r="CW29" s="111" t="n"/>
      <c r="CX29" s="111" t="n"/>
      <c r="CY29" s="111" t="n"/>
      <c r="CZ29" s="111" t="n"/>
      <c r="DA29" s="111" t="n"/>
      <c r="DB29" s="111" t="n"/>
      <c r="DC29" s="111" t="n"/>
      <c r="DD29" s="111" t="n"/>
      <c r="DE29" s="111" t="n"/>
      <c r="DF29" s="111" t="n"/>
      <c r="DG29" s="111" t="n"/>
      <c r="DH29" s="111" t="n"/>
      <c r="DI29" s="111" t="n"/>
      <c r="DJ29" s="111" t="n"/>
      <c r="DK29" s="111" t="n"/>
      <c r="DL29" s="111" t="n"/>
      <c r="DM29" s="111" t="n"/>
      <c r="DN29" s="111" t="n"/>
      <c r="DO29" s="111" t="n"/>
      <c r="DP29" s="111" t="n"/>
      <c r="DQ29" s="111" t="n"/>
      <c r="DR29" s="111" t="n"/>
      <c r="DS29" s="111" t="n"/>
      <c r="DT29" s="111" t="n"/>
      <c r="DU29" s="111" t="n"/>
      <c r="DV29" s="111" t="n"/>
      <c r="DW29" s="111" t="n"/>
      <c r="DX29" s="111" t="n"/>
      <c r="DY29" s="111" t="n"/>
      <c r="DZ29" s="111" t="n"/>
      <c r="EA29" s="111" t="n"/>
      <c r="EB29" s="111" t="n"/>
      <c r="EC29" s="111" t="n"/>
      <c r="ED29" s="111" t="n"/>
      <c r="EE29" s="111" t="n"/>
      <c r="EF29" s="111" t="n"/>
      <c r="EG29" s="111" t="n"/>
      <c r="EH29" s="111" t="n"/>
      <c r="EI29" s="111" t="n"/>
      <c r="EJ29" s="111" t="n"/>
      <c r="EK29" s="111" t="n"/>
      <c r="EL29" s="111" t="n"/>
      <c r="EM29" s="111" t="n"/>
      <c r="EN29" s="111" t="n"/>
      <c r="EO29" s="111" t="n"/>
      <c r="EP29" s="111" t="n"/>
      <c r="EQ29" s="111" t="n"/>
      <c r="ER29" s="111" t="n"/>
      <c r="ES29" s="111" t="n"/>
      <c r="ET29" s="111" t="n"/>
      <c r="EU29" s="111" t="n"/>
      <c r="EV29" s="111" t="n"/>
      <c r="EW29" s="111" t="n"/>
      <c r="EX29" s="111" t="n"/>
      <c r="EY29" s="111" t="n"/>
      <c r="EZ29" s="111" t="n"/>
      <c r="FA29" s="111" t="n"/>
      <c r="FB29" s="111" t="n"/>
      <c r="FC29" s="111" t="n"/>
      <c r="FD29" s="111" t="n"/>
      <c r="FE29" s="111" t="n"/>
      <c r="FF29" s="111" t="n"/>
      <c r="FG29" s="111" t="n"/>
      <c r="FH29" s="111" t="n"/>
      <c r="FI29" s="111" t="n"/>
      <c r="FJ29" s="111" t="n"/>
      <c r="FK29" s="111" t="n"/>
      <c r="FL29" s="111" t="n"/>
      <c r="FM29" s="111" t="n"/>
      <c r="FN29" s="111" t="n"/>
      <c r="FO29" s="111" t="n"/>
      <c r="FP29" s="111" t="n"/>
      <c r="FQ29" s="111" t="n"/>
      <c r="FR29" s="111" t="n"/>
      <c r="FS29" s="111" t="n"/>
      <c r="FT29" s="111" t="n"/>
      <c r="FU29" s="111" t="n"/>
      <c r="FV29" s="111" t="n"/>
      <c r="FW29" s="111" t="n"/>
      <c r="FX29" s="111" t="n"/>
      <c r="FY29" s="111" t="n"/>
      <c r="FZ29" s="111" t="n"/>
      <c r="GA29" s="111" t="n"/>
      <c r="GB29" s="111" t="n"/>
      <c r="GC29" s="111" t="n"/>
      <c r="GD29" s="111" t="n"/>
      <c r="GE29" s="111" t="n"/>
      <c r="GF29" s="111" t="n"/>
      <c r="GG29" s="111" t="n"/>
      <c r="GH29" s="111" t="n"/>
      <c r="GI29" s="111" t="n"/>
      <c r="GJ29" s="111" t="n"/>
      <c r="GK29" s="111" t="n"/>
      <c r="GL29" s="111" t="n"/>
      <c r="GM29" s="111" t="n"/>
      <c r="GN29" s="111" t="n"/>
      <c r="GO29" s="111" t="n"/>
      <c r="GP29" s="111" t="n"/>
      <c r="GQ29" s="111" t="n"/>
      <c r="GR29" s="111" t="n"/>
      <c r="GS29" s="111" t="n"/>
      <c r="GT29" s="111" t="n"/>
      <c r="GU29" s="111" t="n"/>
      <c r="GV29" s="111" t="n"/>
      <c r="GW29" s="111" t="n"/>
      <c r="GX29" s="111" t="n"/>
      <c r="GY29" s="111" t="n"/>
      <c r="GZ29" s="111" t="n"/>
      <c r="HA29" s="111" t="n"/>
      <c r="HB29" s="111" t="n"/>
      <c r="HC29" s="111" t="n"/>
      <c r="HD29" s="111" t="n"/>
      <c r="HE29" s="111" t="n"/>
      <c r="HF29" s="111" t="n"/>
      <c r="HG29" s="111" t="n"/>
      <c r="HH29" s="111" t="n"/>
      <c r="HI29" s="111" t="n"/>
      <c r="HJ29" s="111" t="n"/>
      <c r="HK29" s="111" t="n"/>
      <c r="HL29" s="111" t="n"/>
      <c r="HM29" s="111" t="n"/>
      <c r="HN29" s="111" t="n"/>
      <c r="HO29" s="111" t="n"/>
      <c r="HP29" s="111" t="n"/>
      <c r="HQ29" s="111" t="n"/>
      <c r="HR29" s="111" t="n"/>
      <c r="HS29" s="111" t="n"/>
      <c r="HT29" s="111" t="n"/>
      <c r="HU29" s="111" t="n"/>
      <c r="HV29" s="111" t="n"/>
      <c r="HW29" s="111" t="n"/>
      <c r="HX29" s="111" t="n"/>
      <c r="HY29" s="111" t="n"/>
      <c r="HZ29" s="111" t="n"/>
      <c r="IA29" s="111" t="n"/>
      <c r="IB29" s="111" t="n"/>
      <c r="IC29" s="111" t="n"/>
      <c r="ID29" s="111" t="n"/>
      <c r="IE29" s="111" t="n"/>
      <c r="IF29" s="111" t="n"/>
      <c r="IG29" s="111" t="n"/>
      <c r="IH29" s="111" t="n"/>
      <c r="II29" s="111" t="n"/>
      <c r="IJ29" s="111" t="n"/>
      <c r="IK29" s="111" t="n"/>
      <c r="IL29" s="111" t="n"/>
      <c r="IM29" s="111" t="n"/>
      <c r="IN29" s="111" t="n"/>
      <c r="IO29" s="111" t="n"/>
      <c r="IP29" s="111" t="n"/>
      <c r="IQ29" s="111" t="n"/>
      <c r="IR29" s="111" t="n"/>
      <c r="IS29" s="111" t="n"/>
      <c r="IT29" s="111" t="n"/>
      <c r="IU29" s="111" t="n"/>
      <c r="IV29" s="111" t="n"/>
      <c r="IW29" s="111" t="n"/>
      <c r="IX29" s="111" t="n"/>
      <c r="IY29" s="111" t="n"/>
      <c r="IZ29" s="111" t="n"/>
      <c r="JA29" s="111" t="n"/>
      <c r="JB29" s="111" t="n"/>
      <c r="JC29" s="111" t="n"/>
      <c r="JD29" s="111" t="n"/>
      <c r="JE29" s="111" t="n"/>
      <c r="JF29" s="111" t="n"/>
      <c r="JG29" s="111" t="n"/>
      <c r="JH29" s="111" t="n"/>
      <c r="JI29" s="111" t="n"/>
      <c r="JJ29" s="111" t="n"/>
      <c r="JK29" s="111" t="n"/>
      <c r="JL29" s="111" t="n"/>
      <c r="JM29" s="111" t="n"/>
      <c r="JN29" s="111" t="n"/>
      <c r="JO29" s="111" t="n"/>
      <c r="JP29" s="111" t="n"/>
      <c r="JQ29" s="111" t="n"/>
      <c r="JR29" s="111" t="n"/>
      <c r="JS29" s="111" t="n"/>
      <c r="JT29" s="111" t="n"/>
      <c r="JU29" s="111" t="n"/>
      <c r="JV29" s="111" t="n"/>
      <c r="JW29" s="111" t="n"/>
      <c r="JX29" s="111" t="n"/>
      <c r="JY29" s="111" t="n"/>
      <c r="JZ29" s="111" t="n"/>
      <c r="KA29" s="111" t="n"/>
      <c r="KB29" s="111" t="n"/>
      <c r="KC29" s="111" t="n"/>
      <c r="KD29" s="111" t="n"/>
      <c r="KE29" s="111" t="n"/>
      <c r="KF29" s="111" t="n"/>
      <c r="KG29" s="111" t="n"/>
      <c r="KH29" s="111" t="n"/>
      <c r="KI29" s="111" t="n"/>
      <c r="KJ29" s="111" t="n"/>
      <c r="KK29" s="111" t="n"/>
      <c r="KL29" s="111" t="n"/>
      <c r="KM29" s="111" t="n"/>
      <c r="KN29" s="111" t="n"/>
      <c r="KO29" s="111" t="n"/>
      <c r="KP29" s="111" t="n"/>
      <c r="KQ29" s="111" t="n"/>
      <c r="KR29" s="111" t="n"/>
      <c r="KS29" s="111" t="n"/>
      <c r="KT29" s="111" t="n"/>
      <c r="KU29" s="111" t="n"/>
      <c r="KV29" s="111" t="n"/>
      <c r="KW29" s="111" t="n"/>
      <c r="KX29" s="111" t="n"/>
      <c r="KY29" s="111" t="n"/>
      <c r="KZ29" s="111" t="n"/>
      <c r="LA29" s="111" t="n"/>
      <c r="LB29" s="111" t="n"/>
      <c r="LC29" s="111" t="n"/>
      <c r="LD29" s="111" t="n"/>
      <c r="LE29" s="111" t="n"/>
      <c r="LF29" s="111" t="n"/>
      <c r="LG29" s="111" t="n"/>
      <c r="LH29" s="111" t="n"/>
      <c r="LI29" s="111" t="n"/>
      <c r="LJ29" s="111" t="n"/>
      <c r="LK29" s="111" t="n"/>
      <c r="LL29" s="111" t="n"/>
      <c r="LM29" s="111" t="n"/>
      <c r="LN29" s="111" t="n"/>
      <c r="LO29" s="111" t="n"/>
      <c r="LP29" s="111" t="n"/>
      <c r="LQ29" s="111" t="n"/>
      <c r="LR29" s="111" t="n"/>
      <c r="LS29" s="111" t="n"/>
      <c r="LT29" s="111" t="n"/>
      <c r="LU29" s="111" t="n"/>
      <c r="LV29" s="111" t="n"/>
      <c r="LW29" s="111" t="n"/>
      <c r="LX29" s="111" t="n"/>
      <c r="LY29" s="111" t="n"/>
      <c r="LZ29" s="111" t="n"/>
      <c r="MA29" s="111" t="n"/>
      <c r="MB29" s="111" t="n"/>
      <c r="MC29" s="111" t="n"/>
      <c r="MD29" s="111" t="n"/>
      <c r="ME29" s="111" t="n"/>
      <c r="MF29" s="111" t="n"/>
      <c r="MG29" s="111" t="n"/>
      <c r="MH29" s="111" t="n"/>
      <c r="MI29" s="111" t="n"/>
      <c r="MJ29" s="111" t="n"/>
      <c r="MK29" s="111" t="n"/>
      <c r="ML29" s="111" t="n"/>
      <c r="MM29" s="111" t="n"/>
      <c r="MN29" s="111" t="n"/>
      <c r="MO29" s="111" t="n"/>
      <c r="MP29" s="111" t="n"/>
      <c r="MQ29" s="111" t="n"/>
      <c r="MR29" s="111" t="n"/>
      <c r="MS29" s="111" t="n"/>
      <c r="MT29" s="111" t="n"/>
      <c r="MU29" s="111" t="n"/>
      <c r="MV29" s="111" t="n"/>
      <c r="MW29" s="111" t="n"/>
      <c r="MX29" s="111" t="n"/>
      <c r="MY29" s="111" t="n"/>
      <c r="MZ29" s="111" t="n"/>
      <c r="NA29" s="111" t="n"/>
      <c r="NB29" s="111" t="n"/>
      <c r="NC29" s="111" t="n"/>
      <c r="ND29" s="111" t="n"/>
      <c r="NE29" s="111" t="n"/>
      <c r="NF29" s="111" t="n"/>
      <c r="NG29" s="111" t="n"/>
      <c r="NH29" s="111" t="n"/>
      <c r="NI29" s="111" t="n"/>
      <c r="NJ29" s="111" t="n"/>
      <c r="NK29" s="111" t="n"/>
      <c r="NL29" s="111" t="n"/>
      <c r="NM29" s="111" t="n"/>
      <c r="NN29" s="111" t="n"/>
      <c r="NO29" s="111" t="n"/>
    </row>
    <row r="30" customFormat="1" s="17">
      <c r="A30" s="33">
        <f>IF(ISERROR(VALUE(SUBSTITUTE(OFFSET(A30,-1,0,1,1),".",""))),"0.1",IF(ISERROR(FIND("`",SUBSTITUTE(OFFSET(A30,-1,0,1,1),".","`",1))),OFFSET(A30,-1,0,1,1)&amp;".1",LEFT(OFFSET(A30,-1,0,1,1),FIND("`",SUBSTITUTE(OFFSET(A30,-1,0,1,1),".","`",1)))&amp;IF(ISERROR(FIND("`",SUBSTITUTE(OFFSET(A30,-1,0,1,1),".","`",2))),VALUE(RIGHT(OFFSET(A30,-1,0,1,1),LEN(OFFSET(A30,-1,0,1,1))-FIND("`",SUBSTITUTE(OFFSET(A30,-1,0,1,1),".","`",1))))+1,VALUE(MID(OFFSET(A30,-1,0,1,1),FIND("`",SUBSTITUTE(OFFSET(A30,-1,0,1,1),".","`",1))+1,(FIND("`",SUBSTITUTE(OFFSET(A30,-1,0,1,1),".","`",2))-FIND("`",SUBSTITUTE(OFFSET(A30,-1,0,1,1),".","`",1))-1)))+1)))</f>
        <v/>
      </c>
      <c r="B30" s="10" t="inlineStr">
        <is>
          <t>[ Level 2 Task ]</t>
        </is>
      </c>
      <c r="C30" s="11" t="n"/>
      <c r="D30" s="37" t="n"/>
      <c r="E30" s="37" t="n"/>
      <c r="F30" s="37" t="n"/>
      <c r="G30" s="274">
        <f>WORKDAY(G29,1,holidays)</f>
        <v/>
      </c>
      <c r="H30" s="275">
        <f>IF(I30=0,G30,WORKDAY(IF(WEEKDAY(G30,1)=7,G30+2,IF(WEEKDAY(G30,1)=1,G30+1,G30)),I30-1,holidays))</f>
        <v/>
      </c>
      <c r="I30" s="79" t="n">
        <v>4</v>
      </c>
      <c r="J30" s="80" t="n">
        <v>1</v>
      </c>
      <c r="K30" s="15">
        <f>IF(OR(G30=0,H30=0),0,H30-G30+1)</f>
        <v/>
      </c>
      <c r="L30" s="15">
        <f>MIN(K30,WORKDAY(G30,ROUNDDOWN(J30*I30,0),holidays)-G30)</f>
        <v/>
      </c>
      <c r="M30" s="14">
        <f>K30-L30</f>
        <v/>
      </c>
      <c r="N30" s="105">
        <f>IF(H30&lt;$G$7 + INDEX(urgency,1),"r",IF(H30&lt;$G$7 + INDEX(urgency,2),"o",IF(H30&lt;$G$7 + INDEX(urgency,3),"y","")))</f>
        <v/>
      </c>
      <c r="O30" s="17" t="n"/>
      <c r="P30" s="111" t="n"/>
      <c r="Q30" s="111" t="n"/>
      <c r="R30" s="111" t="n"/>
      <c r="S30" s="111" t="n"/>
      <c r="T30" s="111" t="n"/>
      <c r="U30" s="111" t="n"/>
      <c r="V30" s="111" t="n"/>
      <c r="W30" s="111" t="n"/>
      <c r="X30" s="111" t="n"/>
      <c r="Y30" s="111" t="n"/>
      <c r="Z30" s="111" t="n"/>
      <c r="AA30" s="111" t="n"/>
      <c r="AB30" s="111" t="n"/>
      <c r="AC30" s="111" t="n"/>
      <c r="AD30" s="111" t="n"/>
      <c r="AE30" s="111" t="n"/>
      <c r="AF30" s="111" t="n"/>
      <c r="AG30" s="111" t="n"/>
      <c r="AH30" s="111" t="n"/>
      <c r="AI30" s="111" t="n"/>
      <c r="AJ30" s="111" t="n"/>
      <c r="AK30" s="111" t="n"/>
      <c r="AL30" s="111" t="n"/>
      <c r="AM30" s="111" t="n"/>
      <c r="AN30" s="111" t="n"/>
      <c r="AO30" s="111" t="n"/>
      <c r="AP30" s="111" t="n"/>
      <c r="AQ30" s="111" t="n"/>
      <c r="AR30" s="111" t="n"/>
      <c r="AS30" s="111" t="n"/>
      <c r="AT30" s="111" t="n"/>
      <c r="AU30" s="111" t="n"/>
      <c r="AV30" s="111" t="n"/>
      <c r="AW30" s="111" t="n"/>
      <c r="AX30" s="111" t="n"/>
      <c r="AY30" s="111" t="n"/>
      <c r="AZ30" s="111" t="n"/>
      <c r="BA30" s="111" t="n"/>
      <c r="BB30" s="111" t="n"/>
      <c r="BC30" s="111" t="n"/>
      <c r="BD30" s="111" t="n"/>
      <c r="BE30" s="111" t="n"/>
      <c r="BF30" s="111" t="n"/>
      <c r="BG30" s="111" t="n"/>
      <c r="BH30" s="111" t="n"/>
      <c r="BI30" s="111" t="n"/>
      <c r="BJ30" s="111" t="n"/>
      <c r="BK30" s="111" t="n"/>
      <c r="BL30" s="111" t="n"/>
      <c r="BM30" s="111" t="n"/>
      <c r="BN30" s="111" t="n"/>
      <c r="BO30" s="111" t="n"/>
      <c r="BP30" s="111" t="n"/>
      <c r="BQ30" s="111" t="n"/>
      <c r="BR30" s="111" t="n"/>
      <c r="BS30" s="111" t="n"/>
      <c r="BT30" s="111" t="n"/>
      <c r="BU30" s="111" t="n"/>
      <c r="BV30" s="111" t="n"/>
      <c r="BW30" s="111" t="n"/>
      <c r="BX30" s="111" t="n"/>
      <c r="BY30" s="111" t="n"/>
      <c r="BZ30" s="111" t="n"/>
      <c r="CA30" s="111" t="n"/>
      <c r="CB30" s="111" t="n"/>
      <c r="CC30" s="111" t="n"/>
      <c r="CD30" s="111" t="n"/>
      <c r="CE30" s="111" t="n"/>
      <c r="CF30" s="111" t="n"/>
      <c r="CG30" s="111" t="n"/>
      <c r="CH30" s="111" t="n"/>
      <c r="CI30" s="111" t="n"/>
      <c r="CJ30" s="111" t="n"/>
      <c r="CK30" s="111" t="n"/>
      <c r="CL30" s="111" t="n"/>
      <c r="CM30" s="111" t="n"/>
      <c r="CN30" s="111" t="n"/>
      <c r="CO30" s="111" t="n"/>
      <c r="CP30" s="111" t="n"/>
      <c r="CQ30" s="111" t="n"/>
      <c r="CR30" s="111" t="n"/>
      <c r="CS30" s="111" t="n"/>
      <c r="CT30" s="111" t="n"/>
      <c r="CU30" s="111" t="n"/>
      <c r="CV30" s="111" t="n"/>
      <c r="CW30" s="111" t="n"/>
      <c r="CX30" s="111" t="n"/>
      <c r="CY30" s="111" t="n"/>
      <c r="CZ30" s="111" t="n"/>
      <c r="DA30" s="111" t="n"/>
      <c r="DB30" s="111" t="n"/>
      <c r="DC30" s="111" t="n"/>
      <c r="DD30" s="111" t="n"/>
      <c r="DE30" s="111" t="n"/>
      <c r="DF30" s="111" t="n"/>
      <c r="DG30" s="111" t="n"/>
      <c r="DH30" s="111" t="n"/>
      <c r="DI30" s="111" t="n"/>
      <c r="DJ30" s="111" t="n"/>
      <c r="DK30" s="111" t="n"/>
      <c r="DL30" s="111" t="n"/>
      <c r="DM30" s="111" t="n"/>
      <c r="DN30" s="111" t="n"/>
      <c r="DO30" s="111" t="n"/>
      <c r="DP30" s="111" t="n"/>
      <c r="DQ30" s="111" t="n"/>
      <c r="DR30" s="111" t="n"/>
      <c r="DS30" s="111" t="n"/>
      <c r="DT30" s="111" t="n"/>
      <c r="DU30" s="111" t="n"/>
      <c r="DV30" s="111" t="n"/>
      <c r="DW30" s="111" t="n"/>
      <c r="DX30" s="111" t="n"/>
      <c r="DY30" s="111" t="n"/>
      <c r="DZ30" s="111" t="n"/>
      <c r="EA30" s="111" t="n"/>
      <c r="EB30" s="111" t="n"/>
      <c r="EC30" s="111" t="n"/>
      <c r="ED30" s="111" t="n"/>
      <c r="EE30" s="111" t="n"/>
      <c r="EF30" s="111" t="n"/>
      <c r="EG30" s="111" t="n"/>
      <c r="EH30" s="111" t="n"/>
      <c r="EI30" s="111" t="n"/>
      <c r="EJ30" s="111" t="n"/>
      <c r="EK30" s="111" t="n"/>
      <c r="EL30" s="111" t="n"/>
      <c r="EM30" s="111" t="n"/>
      <c r="EN30" s="111" t="n"/>
      <c r="EO30" s="111" t="n"/>
      <c r="EP30" s="111" t="n"/>
      <c r="EQ30" s="111" t="n"/>
      <c r="ER30" s="111" t="n"/>
      <c r="ES30" s="111" t="n"/>
      <c r="ET30" s="111" t="n"/>
      <c r="EU30" s="111" t="n"/>
      <c r="EV30" s="111" t="n"/>
      <c r="EW30" s="111" t="n"/>
      <c r="EX30" s="111" t="n"/>
      <c r="EY30" s="111" t="n"/>
      <c r="EZ30" s="111" t="n"/>
      <c r="FA30" s="111" t="n"/>
      <c r="FB30" s="111" t="n"/>
      <c r="FC30" s="111" t="n"/>
      <c r="FD30" s="111" t="n"/>
      <c r="FE30" s="111" t="n"/>
      <c r="FF30" s="111" t="n"/>
      <c r="FG30" s="111" t="n"/>
      <c r="FH30" s="111" t="n"/>
      <c r="FI30" s="111" t="n"/>
      <c r="FJ30" s="111" t="n"/>
      <c r="FK30" s="111" t="n"/>
      <c r="FL30" s="111" t="n"/>
      <c r="FM30" s="111" t="n"/>
      <c r="FN30" s="111" t="n"/>
      <c r="FO30" s="111" t="n"/>
      <c r="FP30" s="111" t="n"/>
      <c r="FQ30" s="111" t="n"/>
      <c r="FR30" s="111" t="n"/>
      <c r="FS30" s="111" t="n"/>
      <c r="FT30" s="111" t="n"/>
      <c r="FU30" s="111" t="n"/>
      <c r="FV30" s="111" t="n"/>
      <c r="FW30" s="111" t="n"/>
      <c r="FX30" s="111" t="n"/>
      <c r="FY30" s="111" t="n"/>
      <c r="FZ30" s="111" t="n"/>
      <c r="GA30" s="111" t="n"/>
      <c r="GB30" s="111" t="n"/>
      <c r="GC30" s="111" t="n"/>
      <c r="GD30" s="111" t="n"/>
      <c r="GE30" s="111" t="n"/>
      <c r="GF30" s="111" t="n"/>
      <c r="GG30" s="111" t="n"/>
      <c r="GH30" s="111" t="n"/>
      <c r="GI30" s="111" t="n"/>
      <c r="GJ30" s="111" t="n"/>
      <c r="GK30" s="111" t="n"/>
      <c r="GL30" s="111" t="n"/>
      <c r="GM30" s="111" t="n"/>
      <c r="GN30" s="111" t="n"/>
      <c r="GO30" s="111" t="n"/>
      <c r="GP30" s="111" t="n"/>
      <c r="GQ30" s="111" t="n"/>
      <c r="GR30" s="111" t="n"/>
      <c r="GS30" s="111" t="n"/>
      <c r="GT30" s="111" t="n"/>
      <c r="GU30" s="111" t="n"/>
      <c r="GV30" s="111" t="n"/>
      <c r="GW30" s="111" t="n"/>
      <c r="GX30" s="111" t="n"/>
      <c r="GY30" s="111" t="n"/>
      <c r="GZ30" s="111" t="n"/>
      <c r="HA30" s="111" t="n"/>
      <c r="HB30" s="111" t="n"/>
      <c r="HC30" s="111" t="n"/>
      <c r="HD30" s="111" t="n"/>
      <c r="HE30" s="111" t="n"/>
      <c r="HF30" s="111" t="n"/>
      <c r="HG30" s="111" t="n"/>
      <c r="HH30" s="111" t="n"/>
      <c r="HI30" s="111" t="n"/>
      <c r="HJ30" s="111" t="n"/>
      <c r="HK30" s="111" t="n"/>
      <c r="HL30" s="111" t="n"/>
      <c r="HM30" s="111" t="n"/>
      <c r="HN30" s="111" t="n"/>
      <c r="HO30" s="111" t="n"/>
      <c r="HP30" s="111" t="n"/>
      <c r="HQ30" s="111" t="n"/>
      <c r="HR30" s="111" t="n"/>
      <c r="HS30" s="111" t="n"/>
      <c r="HT30" s="111" t="n"/>
      <c r="HU30" s="111" t="n"/>
      <c r="HV30" s="111" t="n"/>
      <c r="HW30" s="111" t="n"/>
      <c r="HX30" s="111" t="n"/>
      <c r="HY30" s="111" t="n"/>
      <c r="HZ30" s="111" t="n"/>
      <c r="IA30" s="111" t="n"/>
      <c r="IB30" s="111" t="n"/>
      <c r="IC30" s="111" t="n"/>
      <c r="ID30" s="111" t="n"/>
      <c r="IE30" s="111" t="n"/>
      <c r="IF30" s="111" t="n"/>
      <c r="IG30" s="111" t="n"/>
      <c r="IH30" s="111" t="n"/>
      <c r="II30" s="111" t="n"/>
      <c r="IJ30" s="111" t="n"/>
      <c r="IK30" s="111" t="n"/>
      <c r="IL30" s="111" t="n"/>
      <c r="IM30" s="111" t="n"/>
      <c r="IN30" s="111" t="n"/>
      <c r="IO30" s="111" t="n"/>
      <c r="IP30" s="111" t="n"/>
      <c r="IQ30" s="111" t="n"/>
      <c r="IR30" s="111" t="n"/>
      <c r="IS30" s="111" t="n"/>
      <c r="IT30" s="111" t="n"/>
      <c r="IU30" s="111" t="n"/>
      <c r="IV30" s="111" t="n"/>
      <c r="IW30" s="111" t="n"/>
      <c r="IX30" s="111" t="n"/>
      <c r="IY30" s="111" t="n"/>
      <c r="IZ30" s="111" t="n"/>
      <c r="JA30" s="111" t="n"/>
      <c r="JB30" s="111" t="n"/>
      <c r="JC30" s="111" t="n"/>
      <c r="JD30" s="111" t="n"/>
      <c r="JE30" s="111" t="n"/>
      <c r="JF30" s="111" t="n"/>
      <c r="JG30" s="111" t="n"/>
      <c r="JH30" s="111" t="n"/>
      <c r="JI30" s="111" t="n"/>
      <c r="JJ30" s="111" t="n"/>
      <c r="JK30" s="111" t="n"/>
      <c r="JL30" s="111" t="n"/>
      <c r="JM30" s="111" t="n"/>
      <c r="JN30" s="111" t="n"/>
      <c r="JO30" s="111" t="n"/>
      <c r="JP30" s="111" t="n"/>
      <c r="JQ30" s="111" t="n"/>
      <c r="JR30" s="111" t="n"/>
      <c r="JS30" s="111" t="n"/>
      <c r="JT30" s="111" t="n"/>
      <c r="JU30" s="111" t="n"/>
      <c r="JV30" s="111" t="n"/>
      <c r="JW30" s="111" t="n"/>
      <c r="JX30" s="111" t="n"/>
      <c r="JY30" s="111" t="n"/>
      <c r="JZ30" s="111" t="n"/>
      <c r="KA30" s="111" t="n"/>
      <c r="KB30" s="111" t="n"/>
      <c r="KC30" s="111" t="n"/>
      <c r="KD30" s="111" t="n"/>
      <c r="KE30" s="111" t="n"/>
      <c r="KF30" s="111" t="n"/>
      <c r="KG30" s="111" t="n"/>
      <c r="KH30" s="111" t="n"/>
      <c r="KI30" s="111" t="n"/>
      <c r="KJ30" s="111" t="n"/>
      <c r="KK30" s="111" t="n"/>
      <c r="KL30" s="111" t="n"/>
      <c r="KM30" s="111" t="n"/>
      <c r="KN30" s="111" t="n"/>
      <c r="KO30" s="111" t="n"/>
      <c r="KP30" s="111" t="n"/>
      <c r="KQ30" s="111" t="n"/>
      <c r="KR30" s="111" t="n"/>
      <c r="KS30" s="111" t="n"/>
      <c r="KT30" s="111" t="n"/>
      <c r="KU30" s="111" t="n"/>
      <c r="KV30" s="111" t="n"/>
      <c r="KW30" s="111" t="n"/>
      <c r="KX30" s="111" t="n"/>
      <c r="KY30" s="111" t="n"/>
      <c r="KZ30" s="111" t="n"/>
      <c r="LA30" s="111" t="n"/>
      <c r="LB30" s="111" t="n"/>
      <c r="LC30" s="111" t="n"/>
      <c r="LD30" s="111" t="n"/>
      <c r="LE30" s="111" t="n"/>
      <c r="LF30" s="111" t="n"/>
      <c r="LG30" s="111" t="n"/>
      <c r="LH30" s="111" t="n"/>
      <c r="LI30" s="111" t="n"/>
      <c r="LJ30" s="111" t="n"/>
      <c r="LK30" s="111" t="n"/>
      <c r="LL30" s="111" t="n"/>
      <c r="LM30" s="111" t="n"/>
      <c r="LN30" s="111" t="n"/>
      <c r="LO30" s="111" t="n"/>
      <c r="LP30" s="111" t="n"/>
      <c r="LQ30" s="111" t="n"/>
      <c r="LR30" s="111" t="n"/>
      <c r="LS30" s="111" t="n"/>
      <c r="LT30" s="111" t="n"/>
      <c r="LU30" s="111" t="n"/>
      <c r="LV30" s="111" t="n"/>
      <c r="LW30" s="111" t="n"/>
      <c r="LX30" s="111" t="n"/>
      <c r="LY30" s="111" t="n"/>
      <c r="LZ30" s="111" t="n"/>
      <c r="MA30" s="111" t="n"/>
      <c r="MB30" s="111" t="n"/>
      <c r="MC30" s="111" t="n"/>
      <c r="MD30" s="111" t="n"/>
      <c r="ME30" s="111" t="n"/>
      <c r="MF30" s="111" t="n"/>
      <c r="MG30" s="111" t="n"/>
      <c r="MH30" s="111" t="n"/>
      <c r="MI30" s="111" t="n"/>
      <c r="MJ30" s="111" t="n"/>
      <c r="MK30" s="111" t="n"/>
      <c r="ML30" s="111" t="n"/>
      <c r="MM30" s="111" t="n"/>
      <c r="MN30" s="111" t="n"/>
      <c r="MO30" s="111" t="n"/>
      <c r="MP30" s="111" t="n"/>
      <c r="MQ30" s="111" t="n"/>
      <c r="MR30" s="111" t="n"/>
      <c r="MS30" s="111" t="n"/>
      <c r="MT30" s="111" t="n"/>
      <c r="MU30" s="111" t="n"/>
      <c r="MV30" s="111" t="n"/>
      <c r="MW30" s="111" t="n"/>
      <c r="MX30" s="111" t="n"/>
      <c r="MY30" s="111" t="n"/>
      <c r="MZ30" s="111" t="n"/>
      <c r="NA30" s="111" t="n"/>
      <c r="NB30" s="111" t="n"/>
      <c r="NC30" s="111" t="n"/>
      <c r="ND30" s="111" t="n"/>
      <c r="NE30" s="111" t="n"/>
      <c r="NF30" s="111" t="n"/>
      <c r="NG30" s="111" t="n"/>
      <c r="NH30" s="111" t="n"/>
      <c r="NI30" s="111" t="n"/>
      <c r="NJ30" s="111" t="n"/>
      <c r="NK30" s="111" t="n"/>
      <c r="NL30" s="111" t="n"/>
      <c r="NM30" s="111" t="n"/>
      <c r="NN30" s="111" t="n"/>
      <c r="NO30" s="111" t="n"/>
    </row>
    <row r="31" customFormat="1" s="17">
      <c r="A31" s="33">
        <f>IF(ISERROR(VALUE(SUBSTITUTE(OFFSET(A31,-1,0,1,1),".",""))),"0.1",IF(ISERROR(FIND("`",SUBSTITUTE(OFFSET(A31,-1,0,1,1),".","`",1))),OFFSET(A31,-1,0,1,1)&amp;".1",LEFT(OFFSET(A31,-1,0,1,1),FIND("`",SUBSTITUTE(OFFSET(A31,-1,0,1,1),".","`",1)))&amp;IF(ISERROR(FIND("`",SUBSTITUTE(OFFSET(A31,-1,0,1,1),".","`",2))),VALUE(RIGHT(OFFSET(A31,-1,0,1,1),LEN(OFFSET(A31,-1,0,1,1))-FIND("`",SUBSTITUTE(OFFSET(A31,-1,0,1,1),".","`",1))))+1,VALUE(MID(OFFSET(A31,-1,0,1,1),FIND("`",SUBSTITUTE(OFFSET(A31,-1,0,1,1),".","`",1))+1,(FIND("`",SUBSTITUTE(OFFSET(A31,-1,0,1,1),".","`",2))-FIND("`",SUBSTITUTE(OFFSET(A31,-1,0,1,1),".","`",1))-1)))+1)))</f>
        <v/>
      </c>
      <c r="B31" s="10" t="inlineStr">
        <is>
          <t>[ Level 2 Task ]</t>
        </is>
      </c>
      <c r="C31" s="11" t="n"/>
      <c r="D31" s="37" t="n"/>
      <c r="E31" s="37" t="n"/>
      <c r="F31" s="37" t="n"/>
      <c r="G31" s="274">
        <f>WORKDAY(G30,1,holidays)</f>
        <v/>
      </c>
      <c r="H31" s="275">
        <f>IF(I31=0,G31,WORKDAY(IF(WEEKDAY(G31,1)=7,G31+2,IF(WEEKDAY(G31,1)=1,G31+1,G31)),I31-1,holidays))</f>
        <v/>
      </c>
      <c r="I31" s="79" t="n">
        <v>4</v>
      </c>
      <c r="J31" s="80" t="n">
        <v>1</v>
      </c>
      <c r="K31" s="15">
        <f>IF(OR(G31=0,H31=0),0,H31-G31+1)</f>
        <v/>
      </c>
      <c r="L31" s="15">
        <f>MIN(K31,WORKDAY(G31,ROUNDDOWN(J31*I31,0),holidays)-G31)</f>
        <v/>
      </c>
      <c r="M31" s="14">
        <f>K31-L31</f>
        <v/>
      </c>
      <c r="N31" s="105">
        <f>IF(H31&lt;$G$7 + INDEX(urgency,1),"r",IF(H31&lt;$G$7 + INDEX(urgency,2),"o",IF(H31&lt;$G$7 + INDEX(urgency,3),"y","")))</f>
        <v/>
      </c>
      <c r="O31" s="17" t="n"/>
      <c r="P31" s="111" t="n"/>
      <c r="Q31" s="111"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c r="AJ31" s="111" t="n"/>
      <c r="AK31" s="111" t="n"/>
      <c r="AL31" s="111" t="n"/>
      <c r="AM31" s="111" t="n"/>
      <c r="AN31" s="111" t="n"/>
      <c r="AO31" s="111" t="n"/>
      <c r="AP31" s="111" t="n"/>
      <c r="AQ31" s="111" t="n"/>
      <c r="AR31" s="111" t="n"/>
      <c r="AS31" s="111" t="n"/>
      <c r="AT31" s="111" t="n"/>
      <c r="AU31" s="111" t="n"/>
      <c r="AV31" s="111" t="n"/>
      <c r="AW31" s="111" t="n"/>
      <c r="AX31" s="111" t="n"/>
      <c r="AY31" s="111" t="n"/>
      <c r="AZ31" s="111" t="n"/>
      <c r="BA31" s="111" t="n"/>
      <c r="BB31" s="111" t="n"/>
      <c r="BC31" s="111" t="n"/>
      <c r="BD31" s="111" t="n"/>
      <c r="BE31" s="111" t="n"/>
      <c r="BF31" s="111" t="n"/>
      <c r="BG31" s="111" t="n"/>
      <c r="BH31" s="111" t="n"/>
      <c r="BI31" s="111" t="n"/>
      <c r="BJ31" s="111" t="n"/>
      <c r="BK31" s="111" t="n"/>
      <c r="BL31" s="111" t="n"/>
      <c r="BM31" s="111" t="n"/>
      <c r="BN31" s="111" t="n"/>
      <c r="BO31" s="111" t="n"/>
      <c r="BP31" s="111" t="n"/>
      <c r="BQ31" s="111" t="n"/>
      <c r="BR31" s="111" t="n"/>
      <c r="BS31" s="111" t="n"/>
      <c r="BT31" s="111" t="n"/>
      <c r="BU31" s="111" t="n"/>
      <c r="BV31" s="111" t="n"/>
      <c r="BW31" s="111" t="n"/>
      <c r="BX31" s="111" t="n"/>
      <c r="BY31" s="111" t="n"/>
      <c r="BZ31" s="111" t="n"/>
      <c r="CA31" s="111" t="n"/>
      <c r="CB31" s="111" t="n"/>
      <c r="CC31" s="111" t="n"/>
      <c r="CD31" s="111" t="n"/>
      <c r="CE31" s="111" t="n"/>
      <c r="CF31" s="111" t="n"/>
      <c r="CG31" s="111" t="n"/>
      <c r="CH31" s="111" t="n"/>
      <c r="CI31" s="111" t="n"/>
      <c r="CJ31" s="111" t="n"/>
      <c r="CK31" s="111" t="n"/>
      <c r="CL31" s="111" t="n"/>
      <c r="CM31" s="111" t="n"/>
      <c r="CN31" s="111" t="n"/>
      <c r="CO31" s="111" t="n"/>
      <c r="CP31" s="111" t="n"/>
      <c r="CQ31" s="111" t="n"/>
      <c r="CR31" s="111" t="n"/>
      <c r="CS31" s="111" t="n"/>
      <c r="CT31" s="111" t="n"/>
      <c r="CU31" s="111" t="n"/>
      <c r="CV31" s="111" t="n"/>
      <c r="CW31" s="111" t="n"/>
      <c r="CX31" s="111" t="n"/>
      <c r="CY31" s="111" t="n"/>
      <c r="CZ31" s="111" t="n"/>
      <c r="DA31" s="111" t="n"/>
      <c r="DB31" s="111" t="n"/>
      <c r="DC31" s="111" t="n"/>
      <c r="DD31" s="111" t="n"/>
      <c r="DE31" s="111" t="n"/>
      <c r="DF31" s="111" t="n"/>
      <c r="DG31" s="111" t="n"/>
      <c r="DH31" s="111" t="n"/>
      <c r="DI31" s="111" t="n"/>
      <c r="DJ31" s="111" t="n"/>
      <c r="DK31" s="111" t="n"/>
      <c r="DL31" s="111" t="n"/>
      <c r="DM31" s="111" t="n"/>
      <c r="DN31" s="111" t="n"/>
      <c r="DO31" s="111" t="n"/>
      <c r="DP31" s="111" t="n"/>
      <c r="DQ31" s="111" t="n"/>
      <c r="DR31" s="111" t="n"/>
      <c r="DS31" s="111" t="n"/>
      <c r="DT31" s="111" t="n"/>
      <c r="DU31" s="111" t="n"/>
      <c r="DV31" s="111" t="n"/>
      <c r="DW31" s="111" t="n"/>
      <c r="DX31" s="111" t="n"/>
      <c r="DY31" s="111" t="n"/>
      <c r="DZ31" s="111" t="n"/>
      <c r="EA31" s="111" t="n"/>
      <c r="EB31" s="111" t="n"/>
      <c r="EC31" s="111" t="n"/>
      <c r="ED31" s="111" t="n"/>
      <c r="EE31" s="111" t="n"/>
      <c r="EF31" s="111" t="n"/>
      <c r="EG31" s="111" t="n"/>
      <c r="EH31" s="111" t="n"/>
      <c r="EI31" s="111" t="n"/>
      <c r="EJ31" s="111" t="n"/>
      <c r="EK31" s="111" t="n"/>
      <c r="EL31" s="111" t="n"/>
      <c r="EM31" s="111" t="n"/>
      <c r="EN31" s="111" t="n"/>
      <c r="EO31" s="111" t="n"/>
      <c r="EP31" s="111" t="n"/>
      <c r="EQ31" s="111" t="n"/>
      <c r="ER31" s="111" t="n"/>
      <c r="ES31" s="111" t="n"/>
      <c r="ET31" s="111" t="n"/>
      <c r="EU31" s="111" t="n"/>
      <c r="EV31" s="111" t="n"/>
      <c r="EW31" s="111" t="n"/>
      <c r="EX31" s="111" t="n"/>
      <c r="EY31" s="111" t="n"/>
      <c r="EZ31" s="111" t="n"/>
      <c r="FA31" s="111" t="n"/>
      <c r="FB31" s="111" t="n"/>
      <c r="FC31" s="111" t="n"/>
      <c r="FD31" s="111" t="n"/>
      <c r="FE31" s="111" t="n"/>
      <c r="FF31" s="111" t="n"/>
      <c r="FG31" s="111" t="n"/>
      <c r="FH31" s="111" t="n"/>
      <c r="FI31" s="111" t="n"/>
      <c r="FJ31" s="111" t="n"/>
      <c r="FK31" s="111" t="n"/>
      <c r="FL31" s="111" t="n"/>
      <c r="FM31" s="111" t="n"/>
      <c r="FN31" s="111" t="n"/>
      <c r="FO31" s="111" t="n"/>
      <c r="FP31" s="111" t="n"/>
      <c r="FQ31" s="111" t="n"/>
      <c r="FR31" s="111" t="n"/>
      <c r="FS31" s="111" t="n"/>
      <c r="FT31" s="111" t="n"/>
      <c r="FU31" s="111" t="n"/>
      <c r="FV31" s="111" t="n"/>
      <c r="FW31" s="111" t="n"/>
      <c r="FX31" s="111" t="n"/>
      <c r="FY31" s="111" t="n"/>
      <c r="FZ31" s="111" t="n"/>
      <c r="GA31" s="111" t="n"/>
      <c r="GB31" s="111" t="n"/>
      <c r="GC31" s="111" t="n"/>
      <c r="GD31" s="111" t="n"/>
      <c r="GE31" s="111" t="n"/>
      <c r="GF31" s="111" t="n"/>
      <c r="GG31" s="111" t="n"/>
      <c r="GH31" s="111" t="n"/>
      <c r="GI31" s="111" t="n"/>
      <c r="GJ31" s="111" t="n"/>
      <c r="GK31" s="111" t="n"/>
      <c r="GL31" s="111" t="n"/>
      <c r="GM31" s="111" t="n"/>
      <c r="GN31" s="111" t="n"/>
      <c r="GO31" s="111" t="n"/>
      <c r="GP31" s="111" t="n"/>
      <c r="GQ31" s="111" t="n"/>
      <c r="GR31" s="111" t="n"/>
      <c r="GS31" s="111" t="n"/>
      <c r="GT31" s="111" t="n"/>
      <c r="GU31" s="111" t="n"/>
      <c r="GV31" s="111" t="n"/>
      <c r="GW31" s="111" t="n"/>
      <c r="GX31" s="111" t="n"/>
      <c r="GY31" s="111" t="n"/>
      <c r="GZ31" s="111" t="n"/>
      <c r="HA31" s="111" t="n"/>
      <c r="HB31" s="111" t="n"/>
      <c r="HC31" s="111" t="n"/>
      <c r="HD31" s="111" t="n"/>
      <c r="HE31" s="111" t="n"/>
      <c r="HF31" s="111" t="n"/>
      <c r="HG31" s="111" t="n"/>
      <c r="HH31" s="111" t="n"/>
      <c r="HI31" s="111" t="n"/>
      <c r="HJ31" s="111" t="n"/>
      <c r="HK31" s="111" t="n"/>
      <c r="HL31" s="111" t="n"/>
      <c r="HM31" s="111" t="n"/>
      <c r="HN31" s="111" t="n"/>
      <c r="HO31" s="111" t="n"/>
      <c r="HP31" s="111" t="n"/>
      <c r="HQ31" s="111" t="n"/>
      <c r="HR31" s="111" t="n"/>
      <c r="HS31" s="111" t="n"/>
      <c r="HT31" s="111" t="n"/>
      <c r="HU31" s="111" t="n"/>
      <c r="HV31" s="111" t="n"/>
      <c r="HW31" s="111" t="n"/>
      <c r="HX31" s="111" t="n"/>
      <c r="HY31" s="111" t="n"/>
      <c r="HZ31" s="111" t="n"/>
      <c r="IA31" s="111" t="n"/>
      <c r="IB31" s="111" t="n"/>
      <c r="IC31" s="111" t="n"/>
      <c r="ID31" s="111" t="n"/>
      <c r="IE31" s="111" t="n"/>
      <c r="IF31" s="111" t="n"/>
      <c r="IG31" s="111" t="n"/>
      <c r="IH31" s="111" t="n"/>
      <c r="II31" s="111" t="n"/>
      <c r="IJ31" s="111" t="n"/>
      <c r="IK31" s="111" t="n"/>
      <c r="IL31" s="111" t="n"/>
      <c r="IM31" s="111" t="n"/>
      <c r="IN31" s="111" t="n"/>
      <c r="IO31" s="111" t="n"/>
      <c r="IP31" s="111" t="n"/>
      <c r="IQ31" s="111" t="n"/>
      <c r="IR31" s="111" t="n"/>
      <c r="IS31" s="111" t="n"/>
      <c r="IT31" s="111" t="n"/>
      <c r="IU31" s="111" t="n"/>
      <c r="IV31" s="111" t="n"/>
      <c r="IW31" s="111" t="n"/>
      <c r="IX31" s="111" t="n"/>
      <c r="IY31" s="111" t="n"/>
      <c r="IZ31" s="111" t="n"/>
      <c r="JA31" s="111" t="n"/>
      <c r="JB31" s="111" t="n"/>
      <c r="JC31" s="111" t="n"/>
      <c r="JD31" s="111" t="n"/>
      <c r="JE31" s="111" t="n"/>
      <c r="JF31" s="111" t="n"/>
      <c r="JG31" s="111" t="n"/>
      <c r="JH31" s="111" t="n"/>
      <c r="JI31" s="111" t="n"/>
      <c r="JJ31" s="111" t="n"/>
      <c r="JK31" s="111" t="n"/>
      <c r="JL31" s="111" t="n"/>
      <c r="JM31" s="111" t="n"/>
      <c r="JN31" s="111" t="n"/>
      <c r="JO31" s="111" t="n"/>
      <c r="JP31" s="111" t="n"/>
      <c r="JQ31" s="111" t="n"/>
      <c r="JR31" s="111" t="n"/>
      <c r="JS31" s="111" t="n"/>
      <c r="JT31" s="111" t="n"/>
      <c r="JU31" s="111" t="n"/>
      <c r="JV31" s="111" t="n"/>
      <c r="JW31" s="111" t="n"/>
      <c r="JX31" s="111" t="n"/>
      <c r="JY31" s="111" t="n"/>
      <c r="JZ31" s="111" t="n"/>
      <c r="KA31" s="111" t="n"/>
      <c r="KB31" s="111" t="n"/>
      <c r="KC31" s="111" t="n"/>
      <c r="KD31" s="111" t="n"/>
      <c r="KE31" s="111" t="n"/>
      <c r="KF31" s="111" t="n"/>
      <c r="KG31" s="111" t="n"/>
      <c r="KH31" s="111" t="n"/>
      <c r="KI31" s="111" t="n"/>
      <c r="KJ31" s="111" t="n"/>
      <c r="KK31" s="111" t="n"/>
      <c r="KL31" s="111" t="n"/>
      <c r="KM31" s="111" t="n"/>
      <c r="KN31" s="111" t="n"/>
      <c r="KO31" s="111" t="n"/>
      <c r="KP31" s="111" t="n"/>
      <c r="KQ31" s="111" t="n"/>
      <c r="KR31" s="111" t="n"/>
      <c r="KS31" s="111" t="n"/>
      <c r="KT31" s="111" t="n"/>
      <c r="KU31" s="111" t="n"/>
      <c r="KV31" s="111" t="n"/>
      <c r="KW31" s="111" t="n"/>
      <c r="KX31" s="111" t="n"/>
      <c r="KY31" s="111" t="n"/>
      <c r="KZ31" s="111" t="n"/>
      <c r="LA31" s="111" t="n"/>
      <c r="LB31" s="111" t="n"/>
      <c r="LC31" s="111" t="n"/>
      <c r="LD31" s="111" t="n"/>
      <c r="LE31" s="111" t="n"/>
      <c r="LF31" s="111" t="n"/>
      <c r="LG31" s="111" t="n"/>
      <c r="LH31" s="111" t="n"/>
      <c r="LI31" s="111" t="n"/>
      <c r="LJ31" s="111" t="n"/>
      <c r="LK31" s="111" t="n"/>
      <c r="LL31" s="111" t="n"/>
      <c r="LM31" s="111" t="n"/>
      <c r="LN31" s="111" t="n"/>
      <c r="LO31" s="111" t="n"/>
      <c r="LP31" s="111" t="n"/>
      <c r="LQ31" s="111" t="n"/>
      <c r="LR31" s="111" t="n"/>
      <c r="LS31" s="111" t="n"/>
      <c r="LT31" s="111" t="n"/>
      <c r="LU31" s="111" t="n"/>
      <c r="LV31" s="111" t="n"/>
      <c r="LW31" s="111" t="n"/>
      <c r="LX31" s="111" t="n"/>
      <c r="LY31" s="111" t="n"/>
      <c r="LZ31" s="111" t="n"/>
      <c r="MA31" s="111" t="n"/>
      <c r="MB31" s="111" t="n"/>
      <c r="MC31" s="111" t="n"/>
      <c r="MD31" s="111" t="n"/>
      <c r="ME31" s="111" t="n"/>
      <c r="MF31" s="111" t="n"/>
      <c r="MG31" s="111" t="n"/>
      <c r="MH31" s="111" t="n"/>
      <c r="MI31" s="111" t="n"/>
      <c r="MJ31" s="111" t="n"/>
      <c r="MK31" s="111" t="n"/>
      <c r="ML31" s="111" t="n"/>
      <c r="MM31" s="111" t="n"/>
      <c r="MN31" s="111" t="n"/>
      <c r="MO31" s="111" t="n"/>
      <c r="MP31" s="111" t="n"/>
      <c r="MQ31" s="111" t="n"/>
      <c r="MR31" s="111" t="n"/>
      <c r="MS31" s="111" t="n"/>
      <c r="MT31" s="111" t="n"/>
      <c r="MU31" s="111" t="n"/>
      <c r="MV31" s="111" t="n"/>
      <c r="MW31" s="111" t="n"/>
      <c r="MX31" s="111" t="n"/>
      <c r="MY31" s="111" t="n"/>
      <c r="MZ31" s="111" t="n"/>
      <c r="NA31" s="111" t="n"/>
      <c r="NB31" s="111" t="n"/>
      <c r="NC31" s="111" t="n"/>
      <c r="ND31" s="111" t="n"/>
      <c r="NE31" s="111" t="n"/>
      <c r="NF31" s="111" t="n"/>
      <c r="NG31" s="111" t="n"/>
      <c r="NH31" s="111" t="n"/>
      <c r="NI31" s="111" t="n"/>
      <c r="NJ31" s="111" t="n"/>
      <c r="NK31" s="111" t="n"/>
      <c r="NL31" s="111" t="n"/>
      <c r="NM31" s="111" t="n"/>
      <c r="NN31" s="111" t="n"/>
      <c r="NO31" s="111" t="n"/>
    </row>
    <row r="32" customFormat="1" s="17">
      <c r="A32" s="33">
        <f>IF(ISERROR(VALUE(SUBSTITUTE(OFFSET(A32,-1,0,1,1),".",""))),"0.1",IF(ISERROR(FIND("`",SUBSTITUTE(OFFSET(A32,-1,0,1,1),".","`",1))),OFFSET(A32,-1,0,1,1)&amp;".1",LEFT(OFFSET(A32,-1,0,1,1),FIND("`",SUBSTITUTE(OFFSET(A32,-1,0,1,1),".","`",1)))&amp;IF(ISERROR(FIND("`",SUBSTITUTE(OFFSET(A32,-1,0,1,1),".","`",2))),VALUE(RIGHT(OFFSET(A32,-1,0,1,1),LEN(OFFSET(A32,-1,0,1,1))-FIND("`",SUBSTITUTE(OFFSET(A32,-1,0,1,1),".","`",1))))+1,VALUE(MID(OFFSET(A32,-1,0,1,1),FIND("`",SUBSTITUTE(OFFSET(A32,-1,0,1,1),".","`",1))+1,(FIND("`",SUBSTITUTE(OFFSET(A32,-1,0,1,1),".","`",2))-FIND("`",SUBSTITUTE(OFFSET(A32,-1,0,1,1),".","`",1))-1)))+1)))</f>
        <v/>
      </c>
      <c r="B32" s="10" t="inlineStr">
        <is>
          <t>[ Level 2 Task ]</t>
        </is>
      </c>
      <c r="C32" s="11" t="n"/>
      <c r="D32" s="37" t="n"/>
      <c r="E32" s="37" t="n"/>
      <c r="F32" s="37" t="n"/>
      <c r="G32" s="274">
        <f>WORKDAY(G31,1,holidays)</f>
        <v/>
      </c>
      <c r="H32" s="275">
        <f>IF(I32=0,G32,WORKDAY(IF(WEEKDAY(G32,1)=7,G32+2,IF(WEEKDAY(G32,1)=1,G32+1,G32)),I32-1,holidays))</f>
        <v/>
      </c>
      <c r="I32" s="79" t="n">
        <v>4</v>
      </c>
      <c r="J32" s="80" t="n">
        <v>1</v>
      </c>
      <c r="K32" s="15">
        <f>IF(OR(G32=0,H32=0),0,H32-G32+1)</f>
        <v/>
      </c>
      <c r="L32" s="15">
        <f>MIN(K32,WORKDAY(G32,ROUNDDOWN(J32*I32,0),holidays)-G32)</f>
        <v/>
      </c>
      <c r="M32" s="14">
        <f>K32-L32</f>
        <v/>
      </c>
      <c r="N32" s="105">
        <f>IF(H32&lt;$G$7 + INDEX(urgency,1),"r",IF(H32&lt;$G$7 + INDEX(urgency,2),"o",IF(H32&lt;$G$7 + INDEX(urgency,3),"y","")))</f>
        <v/>
      </c>
      <c r="O32" s="17" t="n"/>
      <c r="P32" s="111" t="n"/>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c r="BK32" s="111" t="n"/>
      <c r="BL32" s="111" t="n"/>
      <c r="BM32" s="111" t="n"/>
      <c r="BN32" s="111" t="n"/>
      <c r="BO32" s="111" t="n"/>
      <c r="BP32" s="111" t="n"/>
      <c r="BQ32" s="111" t="n"/>
      <c r="BR32" s="111" t="n"/>
      <c r="BS32" s="111" t="n"/>
      <c r="BT32" s="111" t="n"/>
      <c r="BU32" s="111" t="n"/>
      <c r="BV32" s="111" t="n"/>
      <c r="BW32" s="111" t="n"/>
      <c r="BX32" s="111" t="n"/>
      <c r="BY32" s="111" t="n"/>
      <c r="BZ32" s="111" t="n"/>
      <c r="CA32" s="111" t="n"/>
      <c r="CB32" s="111" t="n"/>
      <c r="CC32" s="111" t="n"/>
      <c r="CD32" s="111" t="n"/>
      <c r="CE32" s="111" t="n"/>
      <c r="CF32" s="111"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1" t="n"/>
      <c r="DS32" s="111" t="n"/>
      <c r="DT32" s="111" t="n"/>
      <c r="DU32" s="111" t="n"/>
      <c r="DV32" s="111" t="n"/>
      <c r="DW32" s="111" t="n"/>
      <c r="DX32" s="111" t="n"/>
      <c r="DY32" s="111" t="n"/>
      <c r="DZ32" s="111" t="n"/>
      <c r="EA32" s="111" t="n"/>
      <c r="EB32" s="111" t="n"/>
      <c r="EC32" s="111" t="n"/>
      <c r="ED32" s="111" t="n"/>
      <c r="EE32" s="111" t="n"/>
      <c r="EF32" s="111" t="n"/>
      <c r="EG32" s="111" t="n"/>
      <c r="EH32" s="111" t="n"/>
      <c r="EI32" s="111" t="n"/>
      <c r="EJ32" s="111" t="n"/>
      <c r="EK32" s="111" t="n"/>
      <c r="EL32" s="111" t="n"/>
      <c r="EM32" s="111" t="n"/>
      <c r="EN32" s="111" t="n"/>
      <c r="EO32" s="111" t="n"/>
      <c r="EP32" s="111" t="n"/>
      <c r="EQ32" s="111" t="n"/>
      <c r="ER32" s="111" t="n"/>
      <c r="ES32" s="111" t="n"/>
      <c r="ET32" s="111" t="n"/>
      <c r="EU32" s="111" t="n"/>
      <c r="EV32" s="111" t="n"/>
      <c r="EW32" s="111" t="n"/>
      <c r="EX32" s="111" t="n"/>
      <c r="EY32" s="111" t="n"/>
      <c r="EZ32" s="111" t="n"/>
      <c r="FA32" s="111" t="n"/>
      <c r="FB32" s="111"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1" t="n"/>
      <c r="GH32" s="111" t="n"/>
      <c r="GI32" s="111" t="n"/>
      <c r="GJ32" s="111" t="n"/>
      <c r="GK32" s="111" t="n"/>
      <c r="GL32" s="111" t="n"/>
      <c r="GM32" s="111" t="n"/>
      <c r="GN32" s="111" t="n"/>
      <c r="GO32" s="111" t="n"/>
      <c r="GP32" s="111" t="n"/>
      <c r="GQ32" s="111" t="n"/>
      <c r="GR32" s="111" t="n"/>
      <c r="GS32" s="111" t="n"/>
      <c r="GT32" s="111" t="n"/>
      <c r="GU32" s="111" t="n"/>
      <c r="GV32" s="111" t="n"/>
      <c r="GW32" s="111" t="n"/>
      <c r="GX32" s="111" t="n"/>
      <c r="GY32" s="111" t="n"/>
      <c r="GZ32" s="111" t="n"/>
      <c r="HA32" s="111" t="n"/>
      <c r="HB32" s="111" t="n"/>
      <c r="HC32" s="111" t="n"/>
      <c r="HD32" s="111" t="n"/>
      <c r="HE32" s="111" t="n"/>
      <c r="HF32" s="111" t="n"/>
      <c r="HG32" s="111" t="n"/>
      <c r="HH32" s="111" t="n"/>
      <c r="HI32" s="111" t="n"/>
      <c r="HJ32" s="111" t="n"/>
      <c r="HK32" s="111" t="n"/>
      <c r="HL32" s="111" t="n"/>
      <c r="HM32" s="111" t="n"/>
      <c r="HN32" s="111" t="n"/>
      <c r="HO32" s="111" t="n"/>
      <c r="HP32" s="111" t="n"/>
      <c r="HQ32" s="111" t="n"/>
      <c r="HR32" s="111" t="n"/>
      <c r="HS32" s="111" t="n"/>
      <c r="HT32" s="111" t="n"/>
      <c r="HU32" s="111" t="n"/>
      <c r="HV32" s="111" t="n"/>
      <c r="HW32" s="111" t="n"/>
      <c r="HX32" s="111" t="n"/>
      <c r="HY32" s="111" t="n"/>
      <c r="HZ32" s="111" t="n"/>
      <c r="IA32" s="111" t="n"/>
      <c r="IB32" s="111" t="n"/>
      <c r="IC32" s="111" t="n"/>
      <c r="ID32" s="111" t="n"/>
      <c r="IE32" s="111" t="n"/>
      <c r="IF32" s="111" t="n"/>
      <c r="IG32" s="111" t="n"/>
      <c r="IH32" s="111" t="n"/>
      <c r="II32" s="111" t="n"/>
      <c r="IJ32" s="111" t="n"/>
      <c r="IK32" s="111" t="n"/>
      <c r="IL32" s="111" t="n"/>
      <c r="IM32" s="111" t="n"/>
      <c r="IN32" s="111" t="n"/>
      <c r="IO32" s="111" t="n"/>
      <c r="IP32" s="111" t="n"/>
      <c r="IQ32" s="111" t="n"/>
      <c r="IR32" s="111" t="n"/>
      <c r="IS32" s="111" t="n"/>
      <c r="IT32" s="111" t="n"/>
      <c r="IU32" s="111" t="n"/>
      <c r="IV32" s="111" t="n"/>
      <c r="IW32" s="111" t="n"/>
      <c r="IX32" s="111" t="n"/>
      <c r="IY32" s="111" t="n"/>
      <c r="IZ32" s="111" t="n"/>
      <c r="JA32" s="111" t="n"/>
      <c r="JB32" s="111" t="n"/>
      <c r="JC32" s="111" t="n"/>
      <c r="JD32" s="111" t="n"/>
      <c r="JE32" s="111" t="n"/>
      <c r="JF32" s="111" t="n"/>
      <c r="JG32" s="111" t="n"/>
      <c r="JH32" s="111" t="n"/>
      <c r="JI32" s="111" t="n"/>
      <c r="JJ32" s="111" t="n"/>
      <c r="JK32" s="111" t="n"/>
      <c r="JL32" s="111" t="n"/>
      <c r="JM32" s="111" t="n"/>
      <c r="JN32" s="111" t="n"/>
      <c r="JO32" s="111" t="n"/>
      <c r="JP32" s="111" t="n"/>
      <c r="JQ32" s="111" t="n"/>
      <c r="JR32" s="111" t="n"/>
      <c r="JS32" s="111" t="n"/>
      <c r="JT32" s="111" t="n"/>
      <c r="JU32" s="111" t="n"/>
      <c r="JV32" s="111" t="n"/>
      <c r="JW32" s="111" t="n"/>
      <c r="JX32" s="111" t="n"/>
      <c r="JY32" s="111" t="n"/>
      <c r="JZ32" s="111" t="n"/>
      <c r="KA32" s="111" t="n"/>
      <c r="KB32" s="111" t="n"/>
      <c r="KC32" s="111" t="n"/>
      <c r="KD32" s="111" t="n"/>
      <c r="KE32" s="111" t="n"/>
      <c r="KF32" s="111" t="n"/>
      <c r="KG32" s="111" t="n"/>
      <c r="KH32" s="111" t="n"/>
      <c r="KI32" s="111" t="n"/>
      <c r="KJ32" s="111" t="n"/>
      <c r="KK32" s="111" t="n"/>
      <c r="KL32" s="111" t="n"/>
      <c r="KM32" s="111" t="n"/>
      <c r="KN32" s="111" t="n"/>
      <c r="KO32" s="111" t="n"/>
      <c r="KP32" s="111" t="n"/>
      <c r="KQ32" s="111" t="n"/>
      <c r="KR32" s="111" t="n"/>
      <c r="KS32" s="111" t="n"/>
      <c r="KT32" s="111" t="n"/>
      <c r="KU32" s="111" t="n"/>
      <c r="KV32" s="111" t="n"/>
      <c r="KW32" s="111" t="n"/>
      <c r="KX32" s="111" t="n"/>
      <c r="KY32" s="111" t="n"/>
      <c r="KZ32" s="111" t="n"/>
      <c r="LA32" s="111" t="n"/>
      <c r="LB32" s="111" t="n"/>
      <c r="LC32" s="111" t="n"/>
      <c r="LD32" s="111" t="n"/>
      <c r="LE32" s="111" t="n"/>
      <c r="LF32" s="111" t="n"/>
      <c r="LG32" s="111" t="n"/>
      <c r="LH32" s="111" t="n"/>
      <c r="LI32" s="111" t="n"/>
      <c r="LJ32" s="111" t="n"/>
      <c r="LK32" s="111" t="n"/>
      <c r="LL32" s="111" t="n"/>
      <c r="LM32" s="111" t="n"/>
      <c r="LN32" s="111" t="n"/>
      <c r="LO32" s="111" t="n"/>
      <c r="LP32" s="111" t="n"/>
      <c r="LQ32" s="111" t="n"/>
      <c r="LR32" s="111" t="n"/>
      <c r="LS32" s="111" t="n"/>
      <c r="LT32" s="111" t="n"/>
      <c r="LU32" s="111" t="n"/>
      <c r="LV32" s="111" t="n"/>
      <c r="LW32" s="111" t="n"/>
      <c r="LX32" s="111" t="n"/>
      <c r="LY32" s="111" t="n"/>
      <c r="LZ32" s="111" t="n"/>
      <c r="MA32" s="111" t="n"/>
      <c r="MB32" s="111" t="n"/>
      <c r="MC32" s="111" t="n"/>
      <c r="MD32" s="111" t="n"/>
      <c r="ME32" s="111" t="n"/>
      <c r="MF32" s="111" t="n"/>
      <c r="MG32" s="111" t="n"/>
      <c r="MH32" s="111" t="n"/>
      <c r="MI32" s="111" t="n"/>
      <c r="MJ32" s="111" t="n"/>
      <c r="MK32" s="111" t="n"/>
      <c r="ML32" s="111" t="n"/>
      <c r="MM32" s="111" t="n"/>
      <c r="MN32" s="111" t="n"/>
      <c r="MO32" s="111" t="n"/>
      <c r="MP32" s="111" t="n"/>
      <c r="MQ32" s="111" t="n"/>
      <c r="MR32" s="111" t="n"/>
      <c r="MS32" s="111" t="n"/>
      <c r="MT32" s="111" t="n"/>
      <c r="MU32" s="111" t="n"/>
      <c r="MV32" s="111" t="n"/>
      <c r="MW32" s="111" t="n"/>
      <c r="MX32" s="111" t="n"/>
      <c r="MY32" s="111" t="n"/>
      <c r="MZ32" s="111" t="n"/>
      <c r="NA32" s="111" t="n"/>
      <c r="NB32" s="111" t="n"/>
      <c r="NC32" s="111" t="n"/>
      <c r="ND32" s="111" t="n"/>
      <c r="NE32" s="111" t="n"/>
      <c r="NF32" s="111" t="n"/>
      <c r="NG32" s="111" t="n"/>
      <c r="NH32" s="111" t="n"/>
      <c r="NI32" s="111" t="n"/>
      <c r="NJ32" s="111" t="n"/>
      <c r="NK32" s="111" t="n"/>
      <c r="NL32" s="111" t="n"/>
      <c r="NM32" s="111" t="n"/>
      <c r="NN32" s="111" t="n"/>
      <c r="NO32" s="111" t="n"/>
    </row>
    <row r="33" customFormat="1" s="17">
      <c r="A33" s="33">
        <f>IF(ISERROR(VALUE(SUBSTITUTE(OFFSET(A33,-1,0,1,1),".",""))),"0.1",IF(ISERROR(FIND("`",SUBSTITUTE(OFFSET(A33,-1,0,1,1),".","`",1))),OFFSET(A33,-1,0,1,1)&amp;".1",LEFT(OFFSET(A33,-1,0,1,1),FIND("`",SUBSTITUTE(OFFSET(A33,-1,0,1,1),".","`",1)))&amp;IF(ISERROR(FIND("`",SUBSTITUTE(OFFSET(A33,-1,0,1,1),".","`",2))),VALUE(RIGHT(OFFSET(A33,-1,0,1,1),LEN(OFFSET(A33,-1,0,1,1))-FIND("`",SUBSTITUTE(OFFSET(A33,-1,0,1,1),".","`",1))))+1,VALUE(MID(OFFSET(A33,-1,0,1,1),FIND("`",SUBSTITUTE(OFFSET(A33,-1,0,1,1),".","`",1))+1,(FIND("`",SUBSTITUTE(OFFSET(A33,-1,0,1,1),".","`",2))-FIND("`",SUBSTITUTE(OFFSET(A33,-1,0,1,1),".","`",1))-1)))+1)))</f>
        <v/>
      </c>
      <c r="B33" s="10" t="inlineStr">
        <is>
          <t>[ Level 2 Task ]</t>
        </is>
      </c>
      <c r="C33" s="11" t="n"/>
      <c r="D33" s="37" t="n"/>
      <c r="E33" s="37" t="n"/>
      <c r="F33" s="37" t="n"/>
      <c r="G33" s="274">
        <f>WORKDAY(G32,1,holidays)</f>
        <v/>
      </c>
      <c r="H33" s="275">
        <f>IF(I33=0,G33,WORKDAY(IF(WEEKDAY(G33,1)=7,G33+2,IF(WEEKDAY(G33,1)=1,G33+1,G33)),I33-1,holidays))</f>
        <v/>
      </c>
      <c r="I33" s="79" t="n">
        <v>4</v>
      </c>
      <c r="J33" s="80" t="n">
        <v>0.5</v>
      </c>
      <c r="K33" s="15">
        <f>IF(OR(G33=0,H33=0),0,H33-G33+1)</f>
        <v/>
      </c>
      <c r="L33" s="15">
        <f>MIN(K33,WORKDAY(G33,ROUNDDOWN(J33*I33,0),holidays)-G33)</f>
        <v/>
      </c>
      <c r="M33" s="14">
        <f>K33-L33</f>
        <v/>
      </c>
      <c r="N33" s="105">
        <f>IF(H33&lt;$G$7 + INDEX(urgency,1),"r",IF(H33&lt;$G$7 + INDEX(urgency,2),"o",IF(H33&lt;$G$7 + INDEX(urgency,3),"y","")))</f>
        <v/>
      </c>
      <c r="O33" s="17" t="n"/>
      <c r="P33" s="111" t="n"/>
      <c r="Q33" s="111"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1" t="n"/>
      <c r="AY33" s="111" t="n"/>
      <c r="AZ33" s="111" t="n"/>
      <c r="BA33" s="111" t="n"/>
      <c r="BB33" s="111" t="n"/>
      <c r="BC33" s="111" t="n"/>
      <c r="BD33" s="111" t="n"/>
      <c r="BE33" s="111" t="n"/>
      <c r="BF33" s="111" t="n"/>
      <c r="BG33" s="111" t="n"/>
      <c r="BH33" s="111" t="n"/>
      <c r="BI33" s="111" t="n"/>
      <c r="BJ33" s="111" t="n"/>
      <c r="BK33" s="111" t="n"/>
      <c r="BL33" s="111" t="n"/>
      <c r="BM33" s="111" t="n"/>
      <c r="BN33" s="111" t="n"/>
      <c r="BO33" s="111" t="n"/>
      <c r="BP33" s="111" t="n"/>
      <c r="BQ33" s="111" t="n"/>
      <c r="BR33" s="111" t="n"/>
      <c r="BS33" s="111" t="n"/>
      <c r="BT33" s="111" t="n"/>
      <c r="BU33" s="111" t="n"/>
      <c r="BV33" s="111" t="n"/>
      <c r="BW33" s="111" t="n"/>
      <c r="BX33" s="111" t="n"/>
      <c r="BY33" s="111" t="n"/>
      <c r="BZ33" s="111" t="n"/>
      <c r="CA33" s="111" t="n"/>
      <c r="CB33" s="111" t="n"/>
      <c r="CC33" s="111" t="n"/>
      <c r="CD33" s="111" t="n"/>
      <c r="CE33" s="111" t="n"/>
      <c r="CF33" s="111"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1" t="n"/>
      <c r="DS33" s="111" t="n"/>
      <c r="DT33" s="111" t="n"/>
      <c r="DU33" s="111" t="n"/>
      <c r="DV33" s="111" t="n"/>
      <c r="DW33" s="111" t="n"/>
      <c r="DX33" s="111" t="n"/>
      <c r="DY33" s="111" t="n"/>
      <c r="DZ33" s="111" t="n"/>
      <c r="EA33" s="111" t="n"/>
      <c r="EB33" s="111" t="n"/>
      <c r="EC33" s="111" t="n"/>
      <c r="ED33" s="111" t="n"/>
      <c r="EE33" s="111" t="n"/>
      <c r="EF33" s="111" t="n"/>
      <c r="EG33" s="111" t="n"/>
      <c r="EH33" s="111" t="n"/>
      <c r="EI33" s="111" t="n"/>
      <c r="EJ33" s="111" t="n"/>
      <c r="EK33" s="111" t="n"/>
      <c r="EL33" s="111" t="n"/>
      <c r="EM33" s="111" t="n"/>
      <c r="EN33" s="111" t="n"/>
      <c r="EO33" s="111" t="n"/>
      <c r="EP33" s="111" t="n"/>
      <c r="EQ33" s="111" t="n"/>
      <c r="ER33" s="111" t="n"/>
      <c r="ES33" s="111" t="n"/>
      <c r="ET33" s="111" t="n"/>
      <c r="EU33" s="111" t="n"/>
      <c r="EV33" s="111" t="n"/>
      <c r="EW33" s="111" t="n"/>
      <c r="EX33" s="111" t="n"/>
      <c r="EY33" s="111" t="n"/>
      <c r="EZ33" s="111" t="n"/>
      <c r="FA33" s="111" t="n"/>
      <c r="FB33" s="111"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1" t="n"/>
      <c r="GH33" s="111" t="n"/>
      <c r="GI33" s="111" t="n"/>
      <c r="GJ33" s="111" t="n"/>
      <c r="GK33" s="111" t="n"/>
      <c r="GL33" s="111" t="n"/>
      <c r="GM33" s="111" t="n"/>
      <c r="GN33" s="111" t="n"/>
      <c r="GO33" s="111" t="n"/>
      <c r="GP33" s="111" t="n"/>
      <c r="GQ33" s="111" t="n"/>
      <c r="GR33" s="111" t="n"/>
      <c r="GS33" s="111" t="n"/>
      <c r="GT33" s="111" t="n"/>
      <c r="GU33" s="111" t="n"/>
      <c r="GV33" s="111" t="n"/>
      <c r="GW33" s="111" t="n"/>
      <c r="GX33" s="111" t="n"/>
      <c r="GY33" s="111" t="n"/>
      <c r="GZ33" s="111" t="n"/>
      <c r="HA33" s="111" t="n"/>
      <c r="HB33" s="111" t="n"/>
      <c r="HC33" s="111" t="n"/>
      <c r="HD33" s="111" t="n"/>
      <c r="HE33" s="111" t="n"/>
      <c r="HF33" s="111" t="n"/>
      <c r="HG33" s="111" t="n"/>
      <c r="HH33" s="111" t="n"/>
      <c r="HI33" s="111" t="n"/>
      <c r="HJ33" s="111" t="n"/>
      <c r="HK33" s="111" t="n"/>
      <c r="HL33" s="111" t="n"/>
      <c r="HM33" s="111" t="n"/>
      <c r="HN33" s="111" t="n"/>
      <c r="HO33" s="111" t="n"/>
      <c r="HP33" s="111" t="n"/>
      <c r="HQ33" s="111" t="n"/>
      <c r="HR33" s="111" t="n"/>
      <c r="HS33" s="111" t="n"/>
      <c r="HT33" s="111" t="n"/>
      <c r="HU33" s="111" t="n"/>
      <c r="HV33" s="111" t="n"/>
      <c r="HW33" s="111" t="n"/>
      <c r="HX33" s="111" t="n"/>
      <c r="HY33" s="111" t="n"/>
      <c r="HZ33" s="111" t="n"/>
      <c r="IA33" s="111" t="n"/>
      <c r="IB33" s="111" t="n"/>
      <c r="IC33" s="111" t="n"/>
      <c r="ID33" s="111" t="n"/>
      <c r="IE33" s="111" t="n"/>
      <c r="IF33" s="111" t="n"/>
      <c r="IG33" s="111" t="n"/>
      <c r="IH33" s="111" t="n"/>
      <c r="II33" s="111" t="n"/>
      <c r="IJ33" s="111" t="n"/>
      <c r="IK33" s="111" t="n"/>
      <c r="IL33" s="111" t="n"/>
      <c r="IM33" s="111" t="n"/>
      <c r="IN33" s="111" t="n"/>
      <c r="IO33" s="111" t="n"/>
      <c r="IP33" s="111" t="n"/>
      <c r="IQ33" s="111" t="n"/>
      <c r="IR33" s="111" t="n"/>
      <c r="IS33" s="111" t="n"/>
      <c r="IT33" s="111" t="n"/>
      <c r="IU33" s="111" t="n"/>
      <c r="IV33" s="111" t="n"/>
      <c r="IW33" s="111" t="n"/>
      <c r="IX33" s="111" t="n"/>
      <c r="IY33" s="111" t="n"/>
      <c r="IZ33" s="111" t="n"/>
      <c r="JA33" s="111" t="n"/>
      <c r="JB33" s="111" t="n"/>
      <c r="JC33" s="111" t="n"/>
      <c r="JD33" s="111" t="n"/>
      <c r="JE33" s="111" t="n"/>
      <c r="JF33" s="111" t="n"/>
      <c r="JG33" s="111" t="n"/>
      <c r="JH33" s="111" t="n"/>
      <c r="JI33" s="111" t="n"/>
      <c r="JJ33" s="111" t="n"/>
      <c r="JK33" s="111" t="n"/>
      <c r="JL33" s="111" t="n"/>
      <c r="JM33" s="111" t="n"/>
      <c r="JN33" s="111" t="n"/>
      <c r="JO33" s="111" t="n"/>
      <c r="JP33" s="111" t="n"/>
      <c r="JQ33" s="111" t="n"/>
      <c r="JR33" s="111" t="n"/>
      <c r="JS33" s="111" t="n"/>
      <c r="JT33" s="111" t="n"/>
      <c r="JU33" s="111" t="n"/>
      <c r="JV33" s="111" t="n"/>
      <c r="JW33" s="111" t="n"/>
      <c r="JX33" s="111" t="n"/>
      <c r="JY33" s="111" t="n"/>
      <c r="JZ33" s="111" t="n"/>
      <c r="KA33" s="111" t="n"/>
      <c r="KB33" s="111" t="n"/>
      <c r="KC33" s="111" t="n"/>
      <c r="KD33" s="111" t="n"/>
      <c r="KE33" s="111" t="n"/>
      <c r="KF33" s="111" t="n"/>
      <c r="KG33" s="111" t="n"/>
      <c r="KH33" s="111" t="n"/>
      <c r="KI33" s="111" t="n"/>
      <c r="KJ33" s="111" t="n"/>
      <c r="KK33" s="111" t="n"/>
      <c r="KL33" s="111" t="n"/>
      <c r="KM33" s="111" t="n"/>
      <c r="KN33" s="111" t="n"/>
      <c r="KO33" s="111" t="n"/>
      <c r="KP33" s="111" t="n"/>
      <c r="KQ33" s="111" t="n"/>
      <c r="KR33" s="111" t="n"/>
      <c r="KS33" s="111" t="n"/>
      <c r="KT33" s="111" t="n"/>
      <c r="KU33" s="111" t="n"/>
      <c r="KV33" s="111" t="n"/>
      <c r="KW33" s="111" t="n"/>
      <c r="KX33" s="111" t="n"/>
      <c r="KY33" s="111" t="n"/>
      <c r="KZ33" s="111" t="n"/>
      <c r="LA33" s="111" t="n"/>
      <c r="LB33" s="111" t="n"/>
      <c r="LC33" s="111" t="n"/>
      <c r="LD33" s="111" t="n"/>
      <c r="LE33" s="111" t="n"/>
      <c r="LF33" s="111" t="n"/>
      <c r="LG33" s="111" t="n"/>
      <c r="LH33" s="111" t="n"/>
      <c r="LI33" s="111" t="n"/>
      <c r="LJ33" s="111" t="n"/>
      <c r="LK33" s="111" t="n"/>
      <c r="LL33" s="111" t="n"/>
      <c r="LM33" s="111" t="n"/>
      <c r="LN33" s="111" t="n"/>
      <c r="LO33" s="111" t="n"/>
      <c r="LP33" s="111" t="n"/>
      <c r="LQ33" s="111" t="n"/>
      <c r="LR33" s="111" t="n"/>
      <c r="LS33" s="111" t="n"/>
      <c r="LT33" s="111" t="n"/>
      <c r="LU33" s="111" t="n"/>
      <c r="LV33" s="111" t="n"/>
      <c r="LW33" s="111" t="n"/>
      <c r="LX33" s="111" t="n"/>
      <c r="LY33" s="111" t="n"/>
      <c r="LZ33" s="111" t="n"/>
      <c r="MA33" s="111" t="n"/>
      <c r="MB33" s="111" t="n"/>
      <c r="MC33" s="111" t="n"/>
      <c r="MD33" s="111" t="n"/>
      <c r="ME33" s="111" t="n"/>
      <c r="MF33" s="111" t="n"/>
      <c r="MG33" s="111" t="n"/>
      <c r="MH33" s="111" t="n"/>
      <c r="MI33" s="111" t="n"/>
      <c r="MJ33" s="111" t="n"/>
      <c r="MK33" s="111" t="n"/>
      <c r="ML33" s="111" t="n"/>
      <c r="MM33" s="111" t="n"/>
      <c r="MN33" s="111" t="n"/>
      <c r="MO33" s="111" t="n"/>
      <c r="MP33" s="111" t="n"/>
      <c r="MQ33" s="111" t="n"/>
      <c r="MR33" s="111" t="n"/>
      <c r="MS33" s="111" t="n"/>
      <c r="MT33" s="111" t="n"/>
      <c r="MU33" s="111" t="n"/>
      <c r="MV33" s="111" t="n"/>
      <c r="MW33" s="111" t="n"/>
      <c r="MX33" s="111" t="n"/>
      <c r="MY33" s="111" t="n"/>
      <c r="MZ33" s="111" t="n"/>
      <c r="NA33" s="111" t="n"/>
      <c r="NB33" s="111" t="n"/>
      <c r="NC33" s="111" t="n"/>
      <c r="ND33" s="111" t="n"/>
      <c r="NE33" s="111" t="n"/>
      <c r="NF33" s="111" t="n"/>
      <c r="NG33" s="111" t="n"/>
      <c r="NH33" s="111" t="n"/>
      <c r="NI33" s="111" t="n"/>
      <c r="NJ33" s="111" t="n"/>
      <c r="NK33" s="111" t="n"/>
      <c r="NL33" s="111" t="n"/>
      <c r="NM33" s="111" t="n"/>
      <c r="NN33" s="111" t="n"/>
      <c r="NO33" s="111" t="n"/>
    </row>
    <row r="34" customFormat="1" s="17">
      <c r="A34" s="33">
        <f>IF(ISERROR(VALUE(SUBSTITUTE(OFFSET(A34,-1,0,1,1),".",""))),"0.1",IF(ISERROR(FIND("`",SUBSTITUTE(OFFSET(A34,-1,0,1,1),".","`",1))),OFFSET(A34,-1,0,1,1)&amp;".1",LEFT(OFFSET(A34,-1,0,1,1),FIND("`",SUBSTITUTE(OFFSET(A34,-1,0,1,1),".","`",1)))&amp;IF(ISERROR(FIND("`",SUBSTITUTE(OFFSET(A34,-1,0,1,1),".","`",2))),VALUE(RIGHT(OFFSET(A34,-1,0,1,1),LEN(OFFSET(A34,-1,0,1,1))-FIND("`",SUBSTITUTE(OFFSET(A34,-1,0,1,1),".","`",1))))+1,VALUE(MID(OFFSET(A34,-1,0,1,1),FIND("`",SUBSTITUTE(OFFSET(A34,-1,0,1,1),".","`",1))+1,(FIND("`",SUBSTITUTE(OFFSET(A34,-1,0,1,1),".","`",2))-FIND("`",SUBSTITUTE(OFFSET(A34,-1,0,1,1),".","`",1))-1)))+1)))</f>
        <v/>
      </c>
      <c r="B34" s="10" t="inlineStr">
        <is>
          <t>[ Level 2 Task ]</t>
        </is>
      </c>
      <c r="C34" s="11" t="n"/>
      <c r="D34" s="37" t="n"/>
      <c r="E34" s="37" t="n"/>
      <c r="F34" s="37" t="n"/>
      <c r="G34" s="274">
        <f>WORKDAY(G33,1,holidays)</f>
        <v/>
      </c>
      <c r="H34" s="275">
        <f>IF(I34=0,G34,WORKDAY(IF(WEEKDAY(G34,1)=7,G34+2,IF(WEEKDAY(G34,1)=1,G34+1,G34)),I34-1,holidays))</f>
        <v/>
      </c>
      <c r="I34" s="79" t="n">
        <v>4</v>
      </c>
      <c r="J34" s="80" t="n">
        <v>0.5</v>
      </c>
      <c r="K34" s="15">
        <f>IF(OR(G34=0,H34=0),0,H34-G34+1)</f>
        <v/>
      </c>
      <c r="L34" s="15">
        <f>MIN(K34,WORKDAY(G34,ROUNDDOWN(J34*I34,0),holidays)-G34)</f>
        <v/>
      </c>
      <c r="M34" s="14">
        <f>K34-L34</f>
        <v/>
      </c>
      <c r="N34" s="105">
        <f>IF(H34&lt;$G$7 + INDEX(urgency,1),"r",IF(H34&lt;$G$7 + INDEX(urgency,2),"o",IF(H34&lt;$G$7 + INDEX(urgency,3),"y","")))</f>
        <v/>
      </c>
      <c r="O34" s="17" t="n"/>
      <c r="P34" s="111" t="n"/>
      <c r="Q34" s="111"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1" t="n"/>
      <c r="CC34" s="111" t="n"/>
      <c r="CD34" s="111" t="n"/>
      <c r="CE34" s="111" t="n"/>
      <c r="CF34" s="111"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1" t="n"/>
      <c r="DS34" s="111" t="n"/>
      <c r="DT34" s="111" t="n"/>
      <c r="DU34" s="111" t="n"/>
      <c r="DV34" s="111" t="n"/>
      <c r="DW34" s="111" t="n"/>
      <c r="DX34" s="111" t="n"/>
      <c r="DY34" s="111" t="n"/>
      <c r="DZ34" s="111" t="n"/>
      <c r="EA34" s="111" t="n"/>
      <c r="EB34" s="111" t="n"/>
      <c r="EC34" s="111" t="n"/>
      <c r="ED34" s="111" t="n"/>
      <c r="EE34" s="111" t="n"/>
      <c r="EF34" s="111" t="n"/>
      <c r="EG34" s="111" t="n"/>
      <c r="EH34" s="111" t="n"/>
      <c r="EI34" s="111" t="n"/>
      <c r="EJ34" s="111" t="n"/>
      <c r="EK34" s="111" t="n"/>
      <c r="EL34" s="111" t="n"/>
      <c r="EM34" s="111" t="n"/>
      <c r="EN34" s="111" t="n"/>
      <c r="EO34" s="111" t="n"/>
      <c r="EP34" s="111" t="n"/>
      <c r="EQ34" s="111" t="n"/>
      <c r="ER34" s="111" t="n"/>
      <c r="ES34" s="111" t="n"/>
      <c r="ET34" s="111" t="n"/>
      <c r="EU34" s="111" t="n"/>
      <c r="EV34" s="111" t="n"/>
      <c r="EW34" s="111" t="n"/>
      <c r="EX34" s="111" t="n"/>
      <c r="EY34" s="111" t="n"/>
      <c r="EZ34" s="111" t="n"/>
      <c r="FA34" s="111" t="n"/>
      <c r="FB34" s="111"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1" t="n"/>
      <c r="GH34" s="111" t="n"/>
      <c r="GI34" s="111" t="n"/>
      <c r="GJ34" s="111" t="n"/>
      <c r="GK34" s="111" t="n"/>
      <c r="GL34" s="111" t="n"/>
      <c r="GM34" s="111" t="n"/>
      <c r="GN34" s="111" t="n"/>
      <c r="GO34" s="111" t="n"/>
      <c r="GP34" s="111" t="n"/>
      <c r="GQ34" s="111" t="n"/>
      <c r="GR34" s="111" t="n"/>
      <c r="GS34" s="111" t="n"/>
      <c r="GT34" s="111" t="n"/>
      <c r="GU34" s="111" t="n"/>
      <c r="GV34" s="111" t="n"/>
      <c r="GW34" s="111" t="n"/>
      <c r="GX34" s="111" t="n"/>
      <c r="GY34" s="111" t="n"/>
      <c r="GZ34" s="111" t="n"/>
      <c r="HA34" s="111" t="n"/>
      <c r="HB34" s="111" t="n"/>
      <c r="HC34" s="111" t="n"/>
      <c r="HD34" s="111" t="n"/>
      <c r="HE34" s="111" t="n"/>
      <c r="HF34" s="111" t="n"/>
      <c r="HG34" s="111" t="n"/>
      <c r="HH34" s="111" t="n"/>
      <c r="HI34" s="111" t="n"/>
      <c r="HJ34" s="111" t="n"/>
      <c r="HK34" s="111" t="n"/>
      <c r="HL34" s="111" t="n"/>
      <c r="HM34" s="111" t="n"/>
      <c r="HN34" s="111" t="n"/>
      <c r="HO34" s="111" t="n"/>
      <c r="HP34" s="111" t="n"/>
      <c r="HQ34" s="111" t="n"/>
      <c r="HR34" s="111" t="n"/>
      <c r="HS34" s="111" t="n"/>
      <c r="HT34" s="111" t="n"/>
      <c r="HU34" s="111" t="n"/>
      <c r="HV34" s="111" t="n"/>
      <c r="HW34" s="111" t="n"/>
      <c r="HX34" s="111" t="n"/>
      <c r="HY34" s="111" t="n"/>
      <c r="HZ34" s="111" t="n"/>
      <c r="IA34" s="111" t="n"/>
      <c r="IB34" s="111" t="n"/>
      <c r="IC34" s="111" t="n"/>
      <c r="ID34" s="111" t="n"/>
      <c r="IE34" s="111" t="n"/>
      <c r="IF34" s="111" t="n"/>
      <c r="IG34" s="111" t="n"/>
      <c r="IH34" s="111" t="n"/>
      <c r="II34" s="111" t="n"/>
      <c r="IJ34" s="111" t="n"/>
      <c r="IK34" s="111" t="n"/>
      <c r="IL34" s="111" t="n"/>
      <c r="IM34" s="111" t="n"/>
      <c r="IN34" s="111" t="n"/>
      <c r="IO34" s="111" t="n"/>
      <c r="IP34" s="111" t="n"/>
      <c r="IQ34" s="111" t="n"/>
      <c r="IR34" s="111" t="n"/>
      <c r="IS34" s="111" t="n"/>
      <c r="IT34" s="111" t="n"/>
      <c r="IU34" s="111" t="n"/>
      <c r="IV34" s="111" t="n"/>
      <c r="IW34" s="111" t="n"/>
      <c r="IX34" s="111" t="n"/>
      <c r="IY34" s="111" t="n"/>
      <c r="IZ34" s="111" t="n"/>
      <c r="JA34" s="111" t="n"/>
      <c r="JB34" s="111" t="n"/>
      <c r="JC34" s="111" t="n"/>
      <c r="JD34" s="111" t="n"/>
      <c r="JE34" s="111" t="n"/>
      <c r="JF34" s="111" t="n"/>
      <c r="JG34" s="111" t="n"/>
      <c r="JH34" s="111" t="n"/>
      <c r="JI34" s="111" t="n"/>
      <c r="JJ34" s="111" t="n"/>
      <c r="JK34" s="111" t="n"/>
      <c r="JL34" s="111" t="n"/>
      <c r="JM34" s="111" t="n"/>
      <c r="JN34" s="111" t="n"/>
      <c r="JO34" s="111" t="n"/>
      <c r="JP34" s="111" t="n"/>
      <c r="JQ34" s="111" t="n"/>
      <c r="JR34" s="111" t="n"/>
      <c r="JS34" s="111" t="n"/>
      <c r="JT34" s="111" t="n"/>
      <c r="JU34" s="111" t="n"/>
      <c r="JV34" s="111" t="n"/>
      <c r="JW34" s="111" t="n"/>
      <c r="JX34" s="111" t="n"/>
      <c r="JY34" s="111" t="n"/>
      <c r="JZ34" s="111" t="n"/>
      <c r="KA34" s="111" t="n"/>
      <c r="KB34" s="111" t="n"/>
      <c r="KC34" s="111" t="n"/>
      <c r="KD34" s="111" t="n"/>
      <c r="KE34" s="111" t="n"/>
      <c r="KF34" s="111" t="n"/>
      <c r="KG34" s="111" t="n"/>
      <c r="KH34" s="111" t="n"/>
      <c r="KI34" s="111" t="n"/>
      <c r="KJ34" s="111" t="n"/>
      <c r="KK34" s="111" t="n"/>
      <c r="KL34" s="111" t="n"/>
      <c r="KM34" s="111" t="n"/>
      <c r="KN34" s="111" t="n"/>
      <c r="KO34" s="111" t="n"/>
      <c r="KP34" s="111" t="n"/>
      <c r="KQ34" s="111" t="n"/>
      <c r="KR34" s="111" t="n"/>
      <c r="KS34" s="111" t="n"/>
      <c r="KT34" s="111" t="n"/>
      <c r="KU34" s="111" t="n"/>
      <c r="KV34" s="111" t="n"/>
      <c r="KW34" s="111" t="n"/>
      <c r="KX34" s="111" t="n"/>
      <c r="KY34" s="111" t="n"/>
      <c r="KZ34" s="111" t="n"/>
      <c r="LA34" s="111" t="n"/>
      <c r="LB34" s="111" t="n"/>
      <c r="LC34" s="111" t="n"/>
      <c r="LD34" s="111" t="n"/>
      <c r="LE34" s="111" t="n"/>
      <c r="LF34" s="111" t="n"/>
      <c r="LG34" s="111" t="n"/>
      <c r="LH34" s="111" t="n"/>
      <c r="LI34" s="111" t="n"/>
      <c r="LJ34" s="111" t="n"/>
      <c r="LK34" s="111" t="n"/>
      <c r="LL34" s="111" t="n"/>
      <c r="LM34" s="111" t="n"/>
      <c r="LN34" s="111" t="n"/>
      <c r="LO34" s="111" t="n"/>
      <c r="LP34" s="111" t="n"/>
      <c r="LQ34" s="111" t="n"/>
      <c r="LR34" s="111" t="n"/>
      <c r="LS34" s="111" t="n"/>
      <c r="LT34" s="111" t="n"/>
      <c r="LU34" s="111" t="n"/>
      <c r="LV34" s="111" t="n"/>
      <c r="LW34" s="111" t="n"/>
      <c r="LX34" s="111" t="n"/>
      <c r="LY34" s="111" t="n"/>
      <c r="LZ34" s="111" t="n"/>
      <c r="MA34" s="111" t="n"/>
      <c r="MB34" s="111" t="n"/>
      <c r="MC34" s="111" t="n"/>
      <c r="MD34" s="111" t="n"/>
      <c r="ME34" s="111" t="n"/>
      <c r="MF34" s="111" t="n"/>
      <c r="MG34" s="111" t="n"/>
      <c r="MH34" s="111" t="n"/>
      <c r="MI34" s="111" t="n"/>
      <c r="MJ34" s="111" t="n"/>
      <c r="MK34" s="111" t="n"/>
      <c r="ML34" s="111" t="n"/>
      <c r="MM34" s="111" t="n"/>
      <c r="MN34" s="111" t="n"/>
      <c r="MO34" s="111" t="n"/>
      <c r="MP34" s="111" t="n"/>
      <c r="MQ34" s="111" t="n"/>
      <c r="MR34" s="111" t="n"/>
      <c r="MS34" s="111" t="n"/>
      <c r="MT34" s="111" t="n"/>
      <c r="MU34" s="111" t="n"/>
      <c r="MV34" s="111" t="n"/>
      <c r="MW34" s="111" t="n"/>
      <c r="MX34" s="111" t="n"/>
      <c r="MY34" s="111" t="n"/>
      <c r="MZ34" s="111" t="n"/>
      <c r="NA34" s="111" t="n"/>
      <c r="NB34" s="111" t="n"/>
      <c r="NC34" s="111" t="n"/>
      <c r="ND34" s="111" t="n"/>
      <c r="NE34" s="111" t="n"/>
      <c r="NF34" s="111" t="n"/>
      <c r="NG34" s="111" t="n"/>
      <c r="NH34" s="111" t="n"/>
      <c r="NI34" s="111" t="n"/>
      <c r="NJ34" s="111" t="n"/>
      <c r="NK34" s="111" t="n"/>
      <c r="NL34" s="111" t="n"/>
      <c r="NM34" s="111" t="n"/>
      <c r="NN34" s="111" t="n"/>
      <c r="NO34" s="111" t="n"/>
    </row>
    <row r="35" customFormat="1" s="17">
      <c r="A35" s="33">
        <f>IF(ISERROR(VALUE(SUBSTITUTE(OFFSET(A35,-1,0,1,1),".",""))),"0.1",IF(ISERROR(FIND("`",SUBSTITUTE(OFFSET(A35,-1,0,1,1),".","`",1))),OFFSET(A35,-1,0,1,1)&amp;".1",LEFT(OFFSET(A35,-1,0,1,1),FIND("`",SUBSTITUTE(OFFSET(A35,-1,0,1,1),".","`",1)))&amp;IF(ISERROR(FIND("`",SUBSTITUTE(OFFSET(A35,-1,0,1,1),".","`",2))),VALUE(RIGHT(OFFSET(A35,-1,0,1,1),LEN(OFFSET(A35,-1,0,1,1))-FIND("`",SUBSTITUTE(OFFSET(A35,-1,0,1,1),".","`",1))))+1,VALUE(MID(OFFSET(A35,-1,0,1,1),FIND("`",SUBSTITUTE(OFFSET(A35,-1,0,1,1),".","`",1))+1,(FIND("`",SUBSTITUTE(OFFSET(A35,-1,0,1,1),".","`",2))-FIND("`",SUBSTITUTE(OFFSET(A35,-1,0,1,1),".","`",1))-1)))+1)))</f>
        <v/>
      </c>
      <c r="B35" s="10" t="inlineStr">
        <is>
          <t>[ Level 2 Task ]</t>
        </is>
      </c>
      <c r="C35" s="11" t="n"/>
      <c r="D35" s="37" t="n"/>
      <c r="E35" s="37" t="n"/>
      <c r="F35" s="37" t="n"/>
      <c r="G35" s="274">
        <f>WORKDAY(G34,1,holidays)</f>
        <v/>
      </c>
      <c r="H35" s="275">
        <f>IF(I35=0,G35,WORKDAY(IF(WEEKDAY(G35,1)=7,G35+2,IF(WEEKDAY(G35,1)=1,G35+1,G35)),I35-1,holidays))</f>
        <v/>
      </c>
      <c r="I35" s="79" t="n">
        <v>4</v>
      </c>
      <c r="J35" s="80" t="n">
        <v>0.5</v>
      </c>
      <c r="K35" s="15">
        <f>IF(OR(G35=0,H35=0),0,H35-G35+1)</f>
        <v/>
      </c>
      <c r="L35" s="15">
        <f>MIN(K35,WORKDAY(G35,ROUNDDOWN(J35*I35,0),holidays)-G35)</f>
        <v/>
      </c>
      <c r="M35" s="14">
        <f>K35-L35</f>
        <v/>
      </c>
      <c r="N35" s="105">
        <f>IF(H35&lt;$G$7 + INDEX(urgency,1),"r",IF(H35&lt;$G$7 + INDEX(urgency,2),"o",IF(H35&lt;$G$7 + INDEX(urgency,3),"y","")))</f>
        <v/>
      </c>
      <c r="O35" s="17" t="n"/>
      <c r="P35" s="111" t="n"/>
      <c r="Q35" s="111"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111" t="n"/>
      <c r="GJ35" s="111" t="n"/>
      <c r="GK35" s="111" t="n"/>
      <c r="GL35" s="111" t="n"/>
      <c r="GM35" s="111" t="n"/>
      <c r="GN35" s="111" t="n"/>
      <c r="GO35" s="111" t="n"/>
      <c r="GP35" s="111" t="n"/>
      <c r="GQ35" s="111" t="n"/>
      <c r="GR35" s="111" t="n"/>
      <c r="GS35" s="111" t="n"/>
      <c r="GT35" s="111" t="n"/>
      <c r="GU35" s="111" t="n"/>
      <c r="GV35" s="111" t="n"/>
      <c r="GW35" s="111" t="n"/>
      <c r="GX35" s="111" t="n"/>
      <c r="GY35" s="111" t="n"/>
      <c r="GZ35" s="111" t="n"/>
      <c r="HA35" s="111" t="n"/>
      <c r="HB35" s="111" t="n"/>
      <c r="HC35" s="111" t="n"/>
      <c r="HD35" s="111" t="n"/>
      <c r="HE35" s="111" t="n"/>
      <c r="HF35" s="111" t="n"/>
      <c r="HG35" s="111" t="n"/>
      <c r="HH35" s="111" t="n"/>
      <c r="HI35" s="111" t="n"/>
      <c r="HJ35" s="111" t="n"/>
      <c r="HK35" s="111" t="n"/>
      <c r="HL35" s="111" t="n"/>
      <c r="HM35" s="111" t="n"/>
      <c r="HN35" s="111" t="n"/>
      <c r="HO35" s="111" t="n"/>
      <c r="HP35" s="111" t="n"/>
      <c r="HQ35" s="111" t="n"/>
      <c r="HR35" s="111" t="n"/>
      <c r="HS35" s="111" t="n"/>
      <c r="HT35" s="111" t="n"/>
      <c r="HU35" s="111" t="n"/>
      <c r="HV35" s="111" t="n"/>
      <c r="HW35" s="111" t="n"/>
      <c r="HX35" s="111" t="n"/>
      <c r="HY35" s="111" t="n"/>
      <c r="HZ35" s="111" t="n"/>
      <c r="IA35" s="111" t="n"/>
      <c r="IB35" s="111" t="n"/>
      <c r="IC35" s="111" t="n"/>
      <c r="ID35" s="111" t="n"/>
      <c r="IE35" s="111" t="n"/>
      <c r="IF35" s="111" t="n"/>
      <c r="IG35" s="111" t="n"/>
      <c r="IH35" s="111" t="n"/>
      <c r="II35" s="111" t="n"/>
      <c r="IJ35" s="111" t="n"/>
      <c r="IK35" s="111" t="n"/>
      <c r="IL35" s="111" t="n"/>
      <c r="IM35" s="111" t="n"/>
      <c r="IN35" s="111" t="n"/>
      <c r="IO35" s="111" t="n"/>
      <c r="IP35" s="111" t="n"/>
      <c r="IQ35" s="111" t="n"/>
      <c r="IR35" s="111" t="n"/>
      <c r="IS35" s="111" t="n"/>
      <c r="IT35" s="111" t="n"/>
      <c r="IU35" s="111" t="n"/>
      <c r="IV35" s="111" t="n"/>
      <c r="IW35" s="111" t="n"/>
      <c r="IX35" s="111" t="n"/>
      <c r="IY35" s="111" t="n"/>
      <c r="IZ35" s="111" t="n"/>
      <c r="JA35" s="111" t="n"/>
      <c r="JB35" s="111" t="n"/>
      <c r="JC35" s="111" t="n"/>
      <c r="JD35" s="111" t="n"/>
      <c r="JE35" s="111" t="n"/>
      <c r="JF35" s="111" t="n"/>
      <c r="JG35" s="111" t="n"/>
      <c r="JH35" s="111" t="n"/>
      <c r="JI35" s="111" t="n"/>
      <c r="JJ35" s="111" t="n"/>
      <c r="JK35" s="111" t="n"/>
      <c r="JL35" s="111" t="n"/>
      <c r="JM35" s="111" t="n"/>
      <c r="JN35" s="111" t="n"/>
      <c r="JO35" s="111" t="n"/>
      <c r="JP35" s="111" t="n"/>
      <c r="JQ35" s="111" t="n"/>
      <c r="JR35" s="111" t="n"/>
      <c r="JS35" s="111" t="n"/>
      <c r="JT35" s="111" t="n"/>
      <c r="JU35" s="111" t="n"/>
      <c r="JV35" s="111" t="n"/>
      <c r="JW35" s="111" t="n"/>
      <c r="JX35" s="111" t="n"/>
      <c r="JY35" s="111" t="n"/>
      <c r="JZ35" s="111" t="n"/>
      <c r="KA35" s="111" t="n"/>
      <c r="KB35" s="111" t="n"/>
      <c r="KC35" s="111" t="n"/>
      <c r="KD35" s="111" t="n"/>
      <c r="KE35" s="111" t="n"/>
      <c r="KF35" s="111" t="n"/>
      <c r="KG35" s="111" t="n"/>
      <c r="KH35" s="111" t="n"/>
      <c r="KI35" s="111" t="n"/>
      <c r="KJ35" s="111" t="n"/>
      <c r="KK35" s="111" t="n"/>
      <c r="KL35" s="111" t="n"/>
      <c r="KM35" s="111" t="n"/>
      <c r="KN35" s="111" t="n"/>
      <c r="KO35" s="111" t="n"/>
      <c r="KP35" s="111" t="n"/>
      <c r="KQ35" s="111" t="n"/>
      <c r="KR35" s="111" t="n"/>
      <c r="KS35" s="111" t="n"/>
      <c r="KT35" s="111" t="n"/>
      <c r="KU35" s="111" t="n"/>
      <c r="KV35" s="111" t="n"/>
      <c r="KW35" s="111" t="n"/>
      <c r="KX35" s="111" t="n"/>
      <c r="KY35" s="111" t="n"/>
      <c r="KZ35" s="111" t="n"/>
      <c r="LA35" s="111" t="n"/>
      <c r="LB35" s="111" t="n"/>
      <c r="LC35" s="111" t="n"/>
      <c r="LD35" s="111" t="n"/>
      <c r="LE35" s="111" t="n"/>
      <c r="LF35" s="111" t="n"/>
      <c r="LG35" s="111" t="n"/>
      <c r="LH35" s="111" t="n"/>
      <c r="LI35" s="111" t="n"/>
      <c r="LJ35" s="111" t="n"/>
      <c r="LK35" s="111" t="n"/>
      <c r="LL35" s="111" t="n"/>
      <c r="LM35" s="111" t="n"/>
      <c r="LN35" s="111" t="n"/>
      <c r="LO35" s="111" t="n"/>
      <c r="LP35" s="111" t="n"/>
      <c r="LQ35" s="111" t="n"/>
      <c r="LR35" s="111" t="n"/>
      <c r="LS35" s="111" t="n"/>
      <c r="LT35" s="111" t="n"/>
      <c r="LU35" s="111" t="n"/>
      <c r="LV35" s="111" t="n"/>
      <c r="LW35" s="111" t="n"/>
      <c r="LX35" s="111" t="n"/>
      <c r="LY35" s="111" t="n"/>
      <c r="LZ35" s="111" t="n"/>
      <c r="MA35" s="111" t="n"/>
      <c r="MB35" s="111" t="n"/>
      <c r="MC35" s="111" t="n"/>
      <c r="MD35" s="111" t="n"/>
      <c r="ME35" s="111" t="n"/>
      <c r="MF35" s="111" t="n"/>
      <c r="MG35" s="111" t="n"/>
      <c r="MH35" s="111" t="n"/>
      <c r="MI35" s="111" t="n"/>
      <c r="MJ35" s="111" t="n"/>
      <c r="MK35" s="111" t="n"/>
      <c r="ML35" s="111" t="n"/>
      <c r="MM35" s="111" t="n"/>
      <c r="MN35" s="111" t="n"/>
      <c r="MO35" s="111" t="n"/>
      <c r="MP35" s="111" t="n"/>
      <c r="MQ35" s="111" t="n"/>
      <c r="MR35" s="111" t="n"/>
      <c r="MS35" s="111" t="n"/>
      <c r="MT35" s="111" t="n"/>
      <c r="MU35" s="111" t="n"/>
      <c r="MV35" s="111" t="n"/>
      <c r="MW35" s="111" t="n"/>
      <c r="MX35" s="111" t="n"/>
      <c r="MY35" s="111" t="n"/>
      <c r="MZ35" s="111" t="n"/>
      <c r="NA35" s="111" t="n"/>
      <c r="NB35" s="111" t="n"/>
      <c r="NC35" s="111" t="n"/>
      <c r="ND35" s="111" t="n"/>
      <c r="NE35" s="111" t="n"/>
      <c r="NF35" s="111" t="n"/>
      <c r="NG35" s="111" t="n"/>
      <c r="NH35" s="111" t="n"/>
      <c r="NI35" s="111" t="n"/>
      <c r="NJ35" s="111" t="n"/>
      <c r="NK35" s="111" t="n"/>
      <c r="NL35" s="111" t="n"/>
      <c r="NM35" s="111" t="n"/>
      <c r="NN35" s="111" t="n"/>
      <c r="NO35" s="111" t="n"/>
    </row>
    <row r="36" customFormat="1" s="17">
      <c r="A36" s="33">
        <f>IF(ISERROR(VALUE(SUBSTITUTE(OFFSET(A36,-1,0,1,1),".",""))),"0.1",IF(ISERROR(FIND("`",SUBSTITUTE(OFFSET(A36,-1,0,1,1),".","`",1))),OFFSET(A36,-1,0,1,1)&amp;".1",LEFT(OFFSET(A36,-1,0,1,1),FIND("`",SUBSTITUTE(OFFSET(A36,-1,0,1,1),".","`",1)))&amp;IF(ISERROR(FIND("`",SUBSTITUTE(OFFSET(A36,-1,0,1,1),".","`",2))),VALUE(RIGHT(OFFSET(A36,-1,0,1,1),LEN(OFFSET(A36,-1,0,1,1))-FIND("`",SUBSTITUTE(OFFSET(A36,-1,0,1,1),".","`",1))))+1,VALUE(MID(OFFSET(A36,-1,0,1,1),FIND("`",SUBSTITUTE(OFFSET(A36,-1,0,1,1),".","`",1))+1,(FIND("`",SUBSTITUTE(OFFSET(A36,-1,0,1,1),".","`",2))-FIND("`",SUBSTITUTE(OFFSET(A36,-1,0,1,1),".","`",1))-1)))+1)))</f>
        <v/>
      </c>
      <c r="B36" s="10" t="inlineStr">
        <is>
          <t>[ Level 2 Task ]</t>
        </is>
      </c>
      <c r="C36" s="11" t="n"/>
      <c r="D36" s="37" t="n"/>
      <c r="E36" s="37" t="n"/>
      <c r="F36" s="37" t="n"/>
      <c r="G36" s="274">
        <f>WORKDAY(G35,1,holidays)</f>
        <v/>
      </c>
      <c r="H36" s="275">
        <f>IF(I36=0,G36,WORKDAY(IF(WEEKDAY(G36,1)=7,G36+2,IF(WEEKDAY(G36,1)=1,G36+1,G36)),I36-1,holidays))</f>
        <v/>
      </c>
      <c r="I36" s="79" t="n">
        <v>4</v>
      </c>
      <c r="J36" s="80" t="n">
        <v>0.5</v>
      </c>
      <c r="K36" s="15">
        <f>IF(OR(G36=0,H36=0),0,H36-G36+1)</f>
        <v/>
      </c>
      <c r="L36" s="15">
        <f>MIN(K36,WORKDAY(G36,ROUNDDOWN(J36*I36,0),holidays)-G36)</f>
        <v/>
      </c>
      <c r="M36" s="14">
        <f>K36-L36</f>
        <v/>
      </c>
      <c r="N36" s="105">
        <f>IF(H36&lt;$G$7 + INDEX(urgency,1),"r",IF(H36&lt;$G$7 + INDEX(urgency,2),"o",IF(H36&lt;$G$7 + INDEX(urgency,3),"y","")))</f>
        <v/>
      </c>
      <c r="O36" s="17" t="n"/>
      <c r="P36" s="111" t="n"/>
      <c r="Q36" s="111" t="n"/>
      <c r="R36" s="111" t="n"/>
      <c r="S36" s="111" t="n"/>
      <c r="T36" s="111" t="n"/>
      <c r="U36" s="111" t="n"/>
      <c r="V36" s="111" t="n"/>
      <c r="W36" s="111"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1" t="n"/>
      <c r="CF36" s="111"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1" t="n"/>
      <c r="DS36" s="111" t="n"/>
      <c r="DT36" s="111" t="n"/>
      <c r="DU36" s="111" t="n"/>
      <c r="DV36" s="111" t="n"/>
      <c r="DW36" s="111" t="n"/>
      <c r="DX36" s="111" t="n"/>
      <c r="DY36" s="111" t="n"/>
      <c r="DZ36" s="111" t="n"/>
      <c r="EA36" s="111" t="n"/>
      <c r="EB36" s="111" t="n"/>
      <c r="EC36" s="111" t="n"/>
      <c r="ED36" s="111" t="n"/>
      <c r="EE36" s="111" t="n"/>
      <c r="EF36" s="111" t="n"/>
      <c r="EG36" s="111" t="n"/>
      <c r="EH36" s="111" t="n"/>
      <c r="EI36" s="111" t="n"/>
      <c r="EJ36" s="111" t="n"/>
      <c r="EK36" s="111" t="n"/>
      <c r="EL36" s="111" t="n"/>
      <c r="EM36" s="111" t="n"/>
      <c r="EN36" s="111" t="n"/>
      <c r="EO36" s="111" t="n"/>
      <c r="EP36" s="111" t="n"/>
      <c r="EQ36" s="111" t="n"/>
      <c r="ER36" s="111" t="n"/>
      <c r="ES36" s="111" t="n"/>
      <c r="ET36" s="111" t="n"/>
      <c r="EU36" s="111" t="n"/>
      <c r="EV36" s="111" t="n"/>
      <c r="EW36" s="111" t="n"/>
      <c r="EX36" s="111" t="n"/>
      <c r="EY36" s="111" t="n"/>
      <c r="EZ36" s="111" t="n"/>
      <c r="FA36" s="111" t="n"/>
      <c r="FB36" s="111"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1" t="n"/>
      <c r="GH36" s="111" t="n"/>
      <c r="GI36" s="111" t="n"/>
      <c r="GJ36" s="111" t="n"/>
      <c r="GK36" s="111" t="n"/>
      <c r="GL36" s="111" t="n"/>
      <c r="GM36" s="111" t="n"/>
      <c r="GN36" s="111" t="n"/>
      <c r="GO36" s="111" t="n"/>
      <c r="GP36" s="111" t="n"/>
      <c r="GQ36" s="111" t="n"/>
      <c r="GR36" s="111" t="n"/>
      <c r="GS36" s="111" t="n"/>
      <c r="GT36" s="111" t="n"/>
      <c r="GU36" s="111" t="n"/>
      <c r="GV36" s="111" t="n"/>
      <c r="GW36" s="111" t="n"/>
      <c r="GX36" s="111" t="n"/>
      <c r="GY36" s="111" t="n"/>
      <c r="GZ36" s="111" t="n"/>
      <c r="HA36" s="111" t="n"/>
      <c r="HB36" s="111" t="n"/>
      <c r="HC36" s="111" t="n"/>
      <c r="HD36" s="111" t="n"/>
      <c r="HE36" s="111" t="n"/>
      <c r="HF36" s="111" t="n"/>
      <c r="HG36" s="111" t="n"/>
      <c r="HH36" s="111" t="n"/>
      <c r="HI36" s="111" t="n"/>
      <c r="HJ36" s="111" t="n"/>
      <c r="HK36" s="111" t="n"/>
      <c r="HL36" s="111" t="n"/>
      <c r="HM36" s="111" t="n"/>
      <c r="HN36" s="111" t="n"/>
      <c r="HO36" s="111" t="n"/>
      <c r="HP36" s="111" t="n"/>
      <c r="HQ36" s="111" t="n"/>
      <c r="HR36" s="111" t="n"/>
      <c r="HS36" s="111" t="n"/>
      <c r="HT36" s="111" t="n"/>
      <c r="HU36" s="111" t="n"/>
      <c r="HV36" s="111" t="n"/>
      <c r="HW36" s="111" t="n"/>
      <c r="HX36" s="111" t="n"/>
      <c r="HY36" s="111" t="n"/>
      <c r="HZ36" s="111" t="n"/>
      <c r="IA36" s="111" t="n"/>
      <c r="IB36" s="111" t="n"/>
      <c r="IC36" s="111" t="n"/>
      <c r="ID36" s="111" t="n"/>
      <c r="IE36" s="111" t="n"/>
      <c r="IF36" s="111" t="n"/>
      <c r="IG36" s="111" t="n"/>
      <c r="IH36" s="111" t="n"/>
      <c r="II36" s="111" t="n"/>
      <c r="IJ36" s="111" t="n"/>
      <c r="IK36" s="111" t="n"/>
      <c r="IL36" s="111" t="n"/>
      <c r="IM36" s="111" t="n"/>
      <c r="IN36" s="111" t="n"/>
      <c r="IO36" s="111" t="n"/>
      <c r="IP36" s="111" t="n"/>
      <c r="IQ36" s="111" t="n"/>
      <c r="IR36" s="111" t="n"/>
      <c r="IS36" s="111" t="n"/>
      <c r="IT36" s="111" t="n"/>
      <c r="IU36" s="111" t="n"/>
      <c r="IV36" s="111" t="n"/>
      <c r="IW36" s="111" t="n"/>
      <c r="IX36" s="111" t="n"/>
      <c r="IY36" s="111" t="n"/>
      <c r="IZ36" s="111" t="n"/>
      <c r="JA36" s="111" t="n"/>
      <c r="JB36" s="111" t="n"/>
      <c r="JC36" s="111" t="n"/>
      <c r="JD36" s="111" t="n"/>
      <c r="JE36" s="111" t="n"/>
      <c r="JF36" s="111" t="n"/>
      <c r="JG36" s="111" t="n"/>
      <c r="JH36" s="111" t="n"/>
      <c r="JI36" s="111" t="n"/>
      <c r="JJ36" s="111" t="n"/>
      <c r="JK36" s="111" t="n"/>
      <c r="JL36" s="111" t="n"/>
      <c r="JM36" s="111" t="n"/>
      <c r="JN36" s="111" t="n"/>
      <c r="JO36" s="111" t="n"/>
      <c r="JP36" s="111" t="n"/>
      <c r="JQ36" s="111" t="n"/>
      <c r="JR36" s="111" t="n"/>
      <c r="JS36" s="111" t="n"/>
      <c r="JT36" s="111" t="n"/>
      <c r="JU36" s="111" t="n"/>
      <c r="JV36" s="111" t="n"/>
      <c r="JW36" s="111" t="n"/>
      <c r="JX36" s="111" t="n"/>
      <c r="JY36" s="111" t="n"/>
      <c r="JZ36" s="111" t="n"/>
      <c r="KA36" s="111" t="n"/>
      <c r="KB36" s="111" t="n"/>
      <c r="KC36" s="111" t="n"/>
      <c r="KD36" s="111" t="n"/>
      <c r="KE36" s="111" t="n"/>
      <c r="KF36" s="111" t="n"/>
      <c r="KG36" s="111" t="n"/>
      <c r="KH36" s="111" t="n"/>
      <c r="KI36" s="111" t="n"/>
      <c r="KJ36" s="111" t="n"/>
      <c r="KK36" s="111" t="n"/>
      <c r="KL36" s="111" t="n"/>
      <c r="KM36" s="111" t="n"/>
      <c r="KN36" s="111" t="n"/>
      <c r="KO36" s="111" t="n"/>
      <c r="KP36" s="111" t="n"/>
      <c r="KQ36" s="111" t="n"/>
      <c r="KR36" s="111" t="n"/>
      <c r="KS36" s="111" t="n"/>
      <c r="KT36" s="111" t="n"/>
      <c r="KU36" s="111" t="n"/>
      <c r="KV36" s="111" t="n"/>
      <c r="KW36" s="111" t="n"/>
      <c r="KX36" s="111" t="n"/>
      <c r="KY36" s="111" t="n"/>
      <c r="KZ36" s="111" t="n"/>
      <c r="LA36" s="111" t="n"/>
      <c r="LB36" s="111" t="n"/>
      <c r="LC36" s="111" t="n"/>
      <c r="LD36" s="111" t="n"/>
      <c r="LE36" s="111" t="n"/>
      <c r="LF36" s="111" t="n"/>
      <c r="LG36" s="111" t="n"/>
      <c r="LH36" s="111" t="n"/>
      <c r="LI36" s="111" t="n"/>
      <c r="LJ36" s="111" t="n"/>
      <c r="LK36" s="111" t="n"/>
      <c r="LL36" s="111" t="n"/>
      <c r="LM36" s="111" t="n"/>
      <c r="LN36" s="111" t="n"/>
      <c r="LO36" s="111" t="n"/>
      <c r="LP36" s="111" t="n"/>
      <c r="LQ36" s="111" t="n"/>
      <c r="LR36" s="111" t="n"/>
      <c r="LS36" s="111" t="n"/>
      <c r="LT36" s="111" t="n"/>
      <c r="LU36" s="111" t="n"/>
      <c r="LV36" s="111" t="n"/>
      <c r="LW36" s="111" t="n"/>
      <c r="LX36" s="111" t="n"/>
      <c r="LY36" s="111" t="n"/>
      <c r="LZ36" s="111" t="n"/>
      <c r="MA36" s="111" t="n"/>
      <c r="MB36" s="111" t="n"/>
      <c r="MC36" s="111" t="n"/>
      <c r="MD36" s="111" t="n"/>
      <c r="ME36" s="111" t="n"/>
      <c r="MF36" s="111" t="n"/>
      <c r="MG36" s="111" t="n"/>
      <c r="MH36" s="111" t="n"/>
      <c r="MI36" s="111" t="n"/>
      <c r="MJ36" s="111" t="n"/>
      <c r="MK36" s="111" t="n"/>
      <c r="ML36" s="111" t="n"/>
      <c r="MM36" s="111" t="n"/>
      <c r="MN36" s="111" t="n"/>
      <c r="MO36" s="111" t="n"/>
      <c r="MP36" s="111" t="n"/>
      <c r="MQ36" s="111" t="n"/>
      <c r="MR36" s="111" t="n"/>
      <c r="MS36" s="111" t="n"/>
      <c r="MT36" s="111" t="n"/>
      <c r="MU36" s="111" t="n"/>
      <c r="MV36" s="111" t="n"/>
      <c r="MW36" s="111" t="n"/>
      <c r="MX36" s="111" t="n"/>
      <c r="MY36" s="111" t="n"/>
      <c r="MZ36" s="111" t="n"/>
      <c r="NA36" s="111" t="n"/>
      <c r="NB36" s="111" t="n"/>
      <c r="NC36" s="111" t="n"/>
      <c r="ND36" s="111" t="n"/>
      <c r="NE36" s="111" t="n"/>
      <c r="NF36" s="111" t="n"/>
      <c r="NG36" s="111" t="n"/>
      <c r="NH36" s="111" t="n"/>
      <c r="NI36" s="111" t="n"/>
      <c r="NJ36" s="111" t="n"/>
      <c r="NK36" s="111" t="n"/>
      <c r="NL36" s="111" t="n"/>
      <c r="NM36" s="111" t="n"/>
      <c r="NN36" s="111" t="n"/>
      <c r="NO36" s="111" t="n"/>
    </row>
    <row r="37" ht="12.75" customFormat="1" customHeight="1" s="17">
      <c r="A37" s="33">
        <f>IF(ISERROR(VALUE(SUBSTITUTE(OFFSET(A37,-1,0,1,1),".",""))),"0.1",IF(ISERROR(FIND("`",SUBSTITUTE(OFFSET(A37,-1,0,1,1),".","`",1))),OFFSET(A37,-1,0,1,1)&amp;".1",LEFT(OFFSET(A37,-1,0,1,1),FIND("`",SUBSTITUTE(OFFSET(A37,-1,0,1,1),".","`",1)))&amp;IF(ISERROR(FIND("`",SUBSTITUTE(OFFSET(A37,-1,0,1,1),".","`",2))),VALUE(RIGHT(OFFSET(A37,-1,0,1,1),LEN(OFFSET(A37,-1,0,1,1))-FIND("`",SUBSTITUTE(OFFSET(A37,-1,0,1,1),".","`",1))))+1,VALUE(MID(OFFSET(A37,-1,0,1,1),FIND("`",SUBSTITUTE(OFFSET(A37,-1,0,1,1),".","`",1))+1,(FIND("`",SUBSTITUTE(OFFSET(A37,-1,0,1,1),".","`",2))-FIND("`",SUBSTITUTE(OFFSET(A37,-1,0,1,1),".","`",1))-1)))+1)))</f>
        <v/>
      </c>
      <c r="B37" s="32" t="inlineStr">
        <is>
          <t>[Insert Rows above this one, then Hide or Delete this row]</t>
        </is>
      </c>
      <c r="C37" s="32" t="n"/>
      <c r="D37" s="37" t="n"/>
      <c r="E37" s="37" t="n"/>
      <c r="F37" s="37" t="n"/>
      <c r="G37" s="32" t="n"/>
      <c r="H37" s="32" t="n"/>
      <c r="I37" s="21" t="n"/>
      <c r="J37" s="22" t="n"/>
      <c r="K37" s="15" t="n"/>
      <c r="L37" s="15" t="n"/>
      <c r="M37" s="14" t="n"/>
      <c r="N37" s="14" t="n"/>
      <c r="P37" s="111" t="n"/>
      <c r="Q37" s="111"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GW37" s="111" t="n"/>
      <c r="GX37" s="111" t="n"/>
      <c r="GY37" s="111" t="n"/>
      <c r="GZ37" s="111" t="n"/>
      <c r="HA37" s="111" t="n"/>
      <c r="HB37" s="111" t="n"/>
      <c r="HC37" s="111" t="n"/>
      <c r="HD37" s="111" t="n"/>
      <c r="HE37" s="111" t="n"/>
      <c r="HF37" s="111" t="n"/>
      <c r="HG37" s="111" t="n"/>
      <c r="HH37" s="111" t="n"/>
      <c r="HI37" s="111" t="n"/>
      <c r="HJ37" s="111" t="n"/>
      <c r="HK37" s="111" t="n"/>
      <c r="HL37" s="111" t="n"/>
      <c r="HM37" s="111" t="n"/>
      <c r="HN37" s="111" t="n"/>
      <c r="HO37" s="111" t="n"/>
      <c r="HP37" s="111" t="n"/>
      <c r="HQ37" s="111" t="n"/>
      <c r="HR37" s="111" t="n"/>
      <c r="HS37" s="111" t="n"/>
      <c r="HT37" s="111" t="n"/>
      <c r="HU37" s="111" t="n"/>
      <c r="HV37" s="111" t="n"/>
      <c r="HW37" s="111" t="n"/>
      <c r="HX37" s="111" t="n"/>
      <c r="HY37" s="111" t="n"/>
      <c r="HZ37" s="111" t="n"/>
      <c r="IA37" s="111" t="n"/>
      <c r="IB37" s="111" t="n"/>
      <c r="IC37" s="111" t="n"/>
      <c r="ID37" s="111" t="n"/>
      <c r="IE37" s="111" t="n"/>
      <c r="IF37" s="111" t="n"/>
      <c r="IG37" s="111" t="n"/>
      <c r="IH37" s="111" t="n"/>
      <c r="II37" s="111" t="n"/>
      <c r="IJ37" s="111" t="n"/>
      <c r="IK37" s="111" t="n"/>
      <c r="IL37" s="111" t="n"/>
      <c r="IM37" s="111" t="n"/>
      <c r="IN37" s="111" t="n"/>
      <c r="IO37" s="111" t="n"/>
      <c r="IP37" s="111" t="n"/>
      <c r="IQ37" s="111" t="n"/>
      <c r="IR37" s="111" t="n"/>
      <c r="IS37" s="111" t="n"/>
      <c r="IT37" s="111" t="n"/>
      <c r="IU37" s="111" t="n"/>
      <c r="IV37" s="111" t="n"/>
      <c r="IW37" s="111" t="n"/>
      <c r="IX37" s="111" t="n"/>
      <c r="IY37" s="111" t="n"/>
      <c r="IZ37" s="111" t="n"/>
      <c r="JA37" s="111" t="n"/>
      <c r="JB37" s="111" t="n"/>
      <c r="JC37" s="111" t="n"/>
      <c r="JD37" s="111" t="n"/>
      <c r="JE37" s="111" t="n"/>
      <c r="JF37" s="111" t="n"/>
      <c r="JG37" s="111" t="n"/>
      <c r="JH37" s="111" t="n"/>
      <c r="JI37" s="111" t="n"/>
      <c r="JJ37" s="111" t="n"/>
      <c r="JK37" s="111" t="n"/>
      <c r="JL37" s="111" t="n"/>
      <c r="JM37" s="111" t="n"/>
      <c r="JN37" s="111" t="n"/>
      <c r="JO37" s="111" t="n"/>
      <c r="JP37" s="111" t="n"/>
      <c r="JQ37" s="111" t="n"/>
      <c r="JR37" s="111" t="n"/>
      <c r="JS37" s="111" t="n"/>
      <c r="JT37" s="111" t="n"/>
      <c r="JU37" s="111" t="n"/>
      <c r="JV37" s="111" t="n"/>
      <c r="JW37" s="111" t="n"/>
      <c r="JX37" s="111" t="n"/>
      <c r="JY37" s="111" t="n"/>
      <c r="JZ37" s="111" t="n"/>
      <c r="KA37" s="111" t="n"/>
      <c r="KB37" s="111" t="n"/>
      <c r="KC37" s="111" t="n"/>
      <c r="KD37" s="111" t="n"/>
      <c r="KE37" s="111" t="n"/>
      <c r="KF37" s="111" t="n"/>
      <c r="KG37" s="111" t="n"/>
      <c r="KH37" s="111" t="n"/>
      <c r="KI37" s="111" t="n"/>
      <c r="KJ37" s="111" t="n"/>
      <c r="KK37" s="111" t="n"/>
      <c r="KL37" s="111" t="n"/>
      <c r="KM37" s="111" t="n"/>
      <c r="KN37" s="111" t="n"/>
      <c r="KO37" s="111" t="n"/>
      <c r="KP37" s="111" t="n"/>
      <c r="KQ37" s="111" t="n"/>
      <c r="KR37" s="111" t="n"/>
      <c r="KS37" s="111" t="n"/>
      <c r="KT37" s="111" t="n"/>
      <c r="KU37" s="111" t="n"/>
      <c r="KV37" s="111" t="n"/>
      <c r="KW37" s="111" t="n"/>
      <c r="KX37" s="111" t="n"/>
      <c r="KY37" s="111" t="n"/>
      <c r="KZ37" s="111" t="n"/>
      <c r="LA37" s="111" t="n"/>
      <c r="LB37" s="111" t="n"/>
      <c r="LC37" s="111" t="n"/>
      <c r="LD37" s="111" t="n"/>
      <c r="LE37" s="111" t="n"/>
      <c r="LF37" s="111" t="n"/>
      <c r="LG37" s="111" t="n"/>
      <c r="LH37" s="111" t="n"/>
      <c r="LI37" s="111" t="n"/>
      <c r="LJ37" s="111" t="n"/>
      <c r="LK37" s="111" t="n"/>
      <c r="LL37" s="111" t="n"/>
      <c r="LM37" s="111" t="n"/>
      <c r="LN37" s="111" t="n"/>
      <c r="LO37" s="111" t="n"/>
      <c r="LP37" s="111" t="n"/>
      <c r="LQ37" s="111" t="n"/>
      <c r="LR37" s="111" t="n"/>
      <c r="LS37" s="111" t="n"/>
      <c r="LT37" s="111" t="n"/>
      <c r="LU37" s="111" t="n"/>
      <c r="LV37" s="111" t="n"/>
      <c r="LW37" s="111" t="n"/>
      <c r="LX37" s="111" t="n"/>
      <c r="LY37" s="111" t="n"/>
      <c r="LZ37" s="111" t="n"/>
      <c r="MA37" s="111" t="n"/>
      <c r="MB37" s="111" t="n"/>
      <c r="MC37" s="111" t="n"/>
      <c r="MD37" s="111" t="n"/>
      <c r="ME37" s="111" t="n"/>
      <c r="MF37" s="111" t="n"/>
      <c r="MG37" s="111" t="n"/>
      <c r="MH37" s="111" t="n"/>
      <c r="MI37" s="111" t="n"/>
      <c r="MJ37" s="111" t="n"/>
      <c r="MK37" s="111" t="n"/>
      <c r="ML37" s="111" t="n"/>
      <c r="MM37" s="111" t="n"/>
      <c r="MN37" s="111" t="n"/>
      <c r="MO37" s="111" t="n"/>
      <c r="MP37" s="111" t="n"/>
      <c r="MQ37" s="111" t="n"/>
      <c r="MR37" s="111" t="n"/>
      <c r="MS37" s="111" t="n"/>
      <c r="MT37" s="111" t="n"/>
      <c r="MU37" s="111" t="n"/>
      <c r="MV37" s="111" t="n"/>
      <c r="MW37" s="111" t="n"/>
      <c r="MX37" s="111" t="n"/>
      <c r="MY37" s="111" t="n"/>
      <c r="MZ37" s="111" t="n"/>
      <c r="NA37" s="111" t="n"/>
      <c r="NB37" s="111" t="n"/>
      <c r="NC37" s="111" t="n"/>
      <c r="ND37" s="111" t="n"/>
      <c r="NE37" s="111" t="n"/>
      <c r="NF37" s="111" t="n"/>
      <c r="NG37" s="111" t="n"/>
      <c r="NH37" s="111" t="n"/>
      <c r="NI37" s="111" t="n"/>
      <c r="NJ37" s="111" t="n"/>
      <c r="NK37" s="111" t="n"/>
      <c r="NL37" s="111" t="n"/>
      <c r="NM37" s="111" t="n"/>
      <c r="NN37" s="111" t="n"/>
      <c r="NO37" s="111" t="n"/>
    </row>
    <row r="38" customFormat="1" s="76">
      <c r="A38" s="70">
        <f>IF(ISERROR(VALUE(SUBSTITUTE(OFFSET(A38,-1,0,1,1),".",""))),"1",IF(ISERROR(FIND("`",SUBSTITUTE(OFFSET(A38,-1,0,1,1),".","`",1))),TEXT(VALUE(OFFSET(A38,-1,0,1,1))+1,"#"),TEXT(VALUE(LEFT(OFFSET(A38,-1,0,1,1),FIND("`",SUBSTITUTE(OFFSET(A38,-1,0,1,1),".","`",1))-1))+1,"#")))</f>
        <v/>
      </c>
      <c r="B38" s="71" t="inlineStr">
        <is>
          <t>[ Color-Coding by Lead Name ]</t>
        </is>
      </c>
      <c r="C38" s="72" t="inlineStr">
        <is>
          <t>[ name ]</t>
        </is>
      </c>
      <c r="D38" s="73" t="n"/>
      <c r="E38" s="73" t="n"/>
      <c r="F38" s="73" t="n"/>
      <c r="G38" s="273">
        <f>MIN(G39:G49)</f>
        <v/>
      </c>
      <c r="H38" s="276">
        <f>MAX(H39:H49)</f>
        <v/>
      </c>
      <c r="I38" s="74">
        <f>NETWORKDAYS(G38,H38,holidays)</f>
        <v/>
      </c>
      <c r="J38" s="83">
        <f>SUMPRODUCT(I39:I49,J39:J49)/SUM(I39:I49)</f>
        <v/>
      </c>
      <c r="K38" s="75">
        <f>IF(OR(G38=0,H38=0),0,H38-G38+1)</f>
        <v/>
      </c>
      <c r="L38" s="75">
        <f>MIN(K38,WORKDAY(G38,ROUNDDOWN(J38*I38,0),holidays)-G38)</f>
        <v/>
      </c>
      <c r="M38" s="74">
        <f>K38-L38</f>
        <v/>
      </c>
      <c r="N38" s="105">
        <f>IFERROR( INDEX( lead_color, MATCH(C38, lead, 0) ), "")</f>
        <v/>
      </c>
      <c r="O38" s="17" t="n"/>
      <c r="P38" s="111" t="n"/>
      <c r="Q38" s="111"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1" t="n"/>
      <c r="CF38" s="111" t="n"/>
      <c r="CG38" s="111" t="n"/>
      <c r="CH38" s="111" t="n"/>
      <c r="CI38" s="111" t="n"/>
      <c r="CJ38" s="111" t="n"/>
      <c r="CK38" s="111" t="n"/>
      <c r="CL38" s="111" t="n"/>
      <c r="CM38" s="111" t="n"/>
      <c r="CN38" s="111" t="n"/>
      <c r="CO38" s="111" t="n"/>
      <c r="CP38" s="111" t="n"/>
      <c r="CQ38" s="111" t="n"/>
      <c r="CR38" s="111" t="n"/>
      <c r="CS38" s="111" t="n"/>
      <c r="CT38" s="111" t="n"/>
      <c r="CU38" s="111" t="n"/>
      <c r="CV38" s="111" t="n"/>
      <c r="CW38" s="111" t="n"/>
      <c r="CX38" s="111" t="n"/>
      <c r="CY38" s="111" t="n"/>
      <c r="CZ38" s="111" t="n"/>
      <c r="DA38" s="111" t="n"/>
      <c r="DB38" s="111" t="n"/>
      <c r="DC38" s="111" t="n"/>
      <c r="DD38" s="111" t="n"/>
      <c r="DE38" s="111" t="n"/>
      <c r="DF38" s="111" t="n"/>
      <c r="DG38" s="111" t="n"/>
      <c r="DH38" s="111" t="n"/>
      <c r="DI38" s="111" t="n"/>
      <c r="DJ38" s="111" t="n"/>
      <c r="DK38" s="111" t="n"/>
      <c r="DL38" s="111" t="n"/>
      <c r="DM38" s="111" t="n"/>
      <c r="DN38" s="111" t="n"/>
      <c r="DO38" s="111" t="n"/>
      <c r="DP38" s="111" t="n"/>
      <c r="DQ38" s="111" t="n"/>
      <c r="DR38" s="111" t="n"/>
      <c r="DS38" s="111" t="n"/>
      <c r="DT38" s="111" t="n"/>
      <c r="DU38" s="111" t="n"/>
      <c r="DV38" s="111" t="n"/>
      <c r="DW38" s="111" t="n"/>
      <c r="DX38" s="111" t="n"/>
      <c r="DY38" s="111" t="n"/>
      <c r="DZ38" s="111" t="n"/>
      <c r="EA38" s="111" t="n"/>
      <c r="EB38" s="111" t="n"/>
      <c r="EC38" s="111" t="n"/>
      <c r="ED38" s="111" t="n"/>
      <c r="EE38" s="111" t="n"/>
      <c r="EF38" s="111" t="n"/>
      <c r="EG38" s="111" t="n"/>
      <c r="EH38" s="111" t="n"/>
      <c r="EI38" s="111" t="n"/>
      <c r="EJ38" s="111" t="n"/>
      <c r="EK38" s="111" t="n"/>
      <c r="EL38" s="111" t="n"/>
      <c r="EM38" s="111" t="n"/>
      <c r="EN38" s="111" t="n"/>
      <c r="EO38" s="111" t="n"/>
      <c r="EP38" s="111" t="n"/>
      <c r="EQ38" s="111" t="n"/>
      <c r="ER38" s="111" t="n"/>
      <c r="ES38" s="111" t="n"/>
      <c r="ET38" s="111" t="n"/>
      <c r="EU38" s="111" t="n"/>
      <c r="EV38" s="111" t="n"/>
      <c r="EW38" s="111" t="n"/>
      <c r="EX38" s="111" t="n"/>
      <c r="EY38" s="111" t="n"/>
      <c r="EZ38" s="111" t="n"/>
      <c r="FA38" s="111" t="n"/>
      <c r="FB38" s="111" t="n"/>
      <c r="FC38" s="111" t="n"/>
      <c r="FD38" s="111" t="n"/>
      <c r="FE38" s="111" t="n"/>
      <c r="FF38" s="111" t="n"/>
      <c r="FG38" s="111" t="n"/>
      <c r="FH38" s="111" t="n"/>
      <c r="FI38" s="111" t="n"/>
      <c r="FJ38" s="111" t="n"/>
      <c r="FK38" s="111" t="n"/>
      <c r="FL38" s="111" t="n"/>
      <c r="FM38" s="111" t="n"/>
      <c r="FN38" s="111" t="n"/>
      <c r="FO38" s="111" t="n"/>
      <c r="FP38" s="111" t="n"/>
      <c r="FQ38" s="111" t="n"/>
      <c r="FR38" s="111" t="n"/>
      <c r="FS38" s="111" t="n"/>
      <c r="FT38" s="111" t="n"/>
      <c r="FU38" s="111" t="n"/>
      <c r="FV38" s="111" t="n"/>
      <c r="FW38" s="111" t="n"/>
      <c r="FX38" s="111" t="n"/>
      <c r="FY38" s="111" t="n"/>
      <c r="FZ38" s="111" t="n"/>
      <c r="GA38" s="111" t="n"/>
      <c r="GB38" s="111" t="n"/>
      <c r="GC38" s="111" t="n"/>
      <c r="GD38" s="111" t="n"/>
      <c r="GE38" s="111" t="n"/>
      <c r="GF38" s="111" t="n"/>
      <c r="GG38" s="111" t="n"/>
      <c r="GH38" s="111" t="n"/>
      <c r="GI38" s="111" t="n"/>
      <c r="GJ38" s="111" t="n"/>
      <c r="GK38" s="111" t="n"/>
      <c r="GL38" s="111" t="n"/>
      <c r="GM38" s="111" t="n"/>
      <c r="GN38" s="111" t="n"/>
      <c r="GO38" s="111" t="n"/>
      <c r="GP38" s="111" t="n"/>
      <c r="GQ38" s="111" t="n"/>
      <c r="GR38" s="111" t="n"/>
      <c r="GS38" s="111" t="n"/>
      <c r="GT38" s="111" t="n"/>
      <c r="GU38" s="111" t="n"/>
      <c r="GV38" s="111" t="n"/>
      <c r="GW38" s="111" t="n"/>
      <c r="GX38" s="111" t="n"/>
      <c r="GY38" s="111" t="n"/>
      <c r="GZ38" s="111" t="n"/>
      <c r="HA38" s="111" t="n"/>
      <c r="HB38" s="111" t="n"/>
      <c r="HC38" s="111" t="n"/>
      <c r="HD38" s="111" t="n"/>
      <c r="HE38" s="111" t="n"/>
      <c r="HF38" s="111" t="n"/>
      <c r="HG38" s="111" t="n"/>
      <c r="HH38" s="111" t="n"/>
      <c r="HI38" s="111" t="n"/>
      <c r="HJ38" s="111" t="n"/>
      <c r="HK38" s="111" t="n"/>
      <c r="HL38" s="111" t="n"/>
      <c r="HM38" s="111" t="n"/>
      <c r="HN38" s="111" t="n"/>
      <c r="HO38" s="111" t="n"/>
      <c r="HP38" s="111" t="n"/>
      <c r="HQ38" s="111" t="n"/>
      <c r="HR38" s="111" t="n"/>
      <c r="HS38" s="111" t="n"/>
      <c r="HT38" s="111" t="n"/>
      <c r="HU38" s="111" t="n"/>
      <c r="HV38" s="111" t="n"/>
      <c r="HW38" s="111" t="n"/>
      <c r="HX38" s="111" t="n"/>
      <c r="HY38" s="111" t="n"/>
      <c r="HZ38" s="111" t="n"/>
      <c r="IA38" s="111" t="n"/>
      <c r="IB38" s="111" t="n"/>
      <c r="IC38" s="111" t="n"/>
      <c r="ID38" s="111" t="n"/>
      <c r="IE38" s="111" t="n"/>
      <c r="IF38" s="111" t="n"/>
      <c r="IG38" s="111" t="n"/>
      <c r="IH38" s="111" t="n"/>
      <c r="II38" s="111" t="n"/>
      <c r="IJ38" s="111" t="n"/>
      <c r="IK38" s="111" t="n"/>
      <c r="IL38" s="111" t="n"/>
      <c r="IM38" s="111" t="n"/>
      <c r="IN38" s="111" t="n"/>
      <c r="IO38" s="111" t="n"/>
      <c r="IP38" s="111" t="n"/>
      <c r="IQ38" s="111" t="n"/>
      <c r="IR38" s="111" t="n"/>
      <c r="IS38" s="111" t="n"/>
      <c r="IT38" s="111" t="n"/>
      <c r="IU38" s="111" t="n"/>
      <c r="IV38" s="111" t="n"/>
      <c r="IW38" s="111" t="n"/>
      <c r="IX38" s="111" t="n"/>
      <c r="IY38" s="111" t="n"/>
      <c r="IZ38" s="111" t="n"/>
      <c r="JA38" s="111" t="n"/>
      <c r="JB38" s="111" t="n"/>
      <c r="JC38" s="111" t="n"/>
      <c r="JD38" s="111" t="n"/>
      <c r="JE38" s="111" t="n"/>
      <c r="JF38" s="111" t="n"/>
      <c r="JG38" s="111" t="n"/>
      <c r="JH38" s="111" t="n"/>
      <c r="JI38" s="111" t="n"/>
      <c r="JJ38" s="111" t="n"/>
      <c r="JK38" s="111" t="n"/>
      <c r="JL38" s="111" t="n"/>
      <c r="JM38" s="111" t="n"/>
      <c r="JN38" s="111" t="n"/>
      <c r="JO38" s="111" t="n"/>
      <c r="JP38" s="111" t="n"/>
      <c r="JQ38" s="111" t="n"/>
      <c r="JR38" s="111" t="n"/>
      <c r="JS38" s="111" t="n"/>
      <c r="JT38" s="111" t="n"/>
      <c r="JU38" s="111" t="n"/>
      <c r="JV38" s="111" t="n"/>
      <c r="JW38" s="111" t="n"/>
      <c r="JX38" s="111" t="n"/>
      <c r="JY38" s="111" t="n"/>
      <c r="JZ38" s="111" t="n"/>
      <c r="KA38" s="111" t="n"/>
      <c r="KB38" s="111" t="n"/>
      <c r="KC38" s="111" t="n"/>
      <c r="KD38" s="111" t="n"/>
      <c r="KE38" s="111" t="n"/>
      <c r="KF38" s="111" t="n"/>
      <c r="KG38" s="111" t="n"/>
      <c r="KH38" s="111" t="n"/>
      <c r="KI38" s="111" t="n"/>
      <c r="KJ38" s="111" t="n"/>
      <c r="KK38" s="111" t="n"/>
      <c r="KL38" s="111" t="n"/>
      <c r="KM38" s="111" t="n"/>
      <c r="KN38" s="111" t="n"/>
      <c r="KO38" s="111" t="n"/>
      <c r="KP38" s="111" t="n"/>
      <c r="KQ38" s="111" t="n"/>
      <c r="KR38" s="111" t="n"/>
      <c r="KS38" s="111" t="n"/>
      <c r="KT38" s="111" t="n"/>
      <c r="KU38" s="111" t="n"/>
      <c r="KV38" s="111" t="n"/>
      <c r="KW38" s="111" t="n"/>
      <c r="KX38" s="111" t="n"/>
      <c r="KY38" s="111" t="n"/>
      <c r="KZ38" s="111" t="n"/>
      <c r="LA38" s="111" t="n"/>
      <c r="LB38" s="111" t="n"/>
      <c r="LC38" s="111" t="n"/>
      <c r="LD38" s="111" t="n"/>
      <c r="LE38" s="111" t="n"/>
      <c r="LF38" s="111" t="n"/>
      <c r="LG38" s="111" t="n"/>
      <c r="LH38" s="111" t="n"/>
      <c r="LI38" s="111" t="n"/>
      <c r="LJ38" s="111" t="n"/>
      <c r="LK38" s="111" t="n"/>
      <c r="LL38" s="111" t="n"/>
      <c r="LM38" s="111" t="n"/>
      <c r="LN38" s="111" t="n"/>
      <c r="LO38" s="111" t="n"/>
      <c r="LP38" s="111" t="n"/>
      <c r="LQ38" s="111" t="n"/>
      <c r="LR38" s="111" t="n"/>
      <c r="LS38" s="111" t="n"/>
      <c r="LT38" s="111" t="n"/>
      <c r="LU38" s="111" t="n"/>
      <c r="LV38" s="111" t="n"/>
      <c r="LW38" s="111" t="n"/>
      <c r="LX38" s="111" t="n"/>
      <c r="LY38" s="111" t="n"/>
      <c r="LZ38" s="111" t="n"/>
      <c r="MA38" s="111" t="n"/>
      <c r="MB38" s="111" t="n"/>
      <c r="MC38" s="111" t="n"/>
      <c r="MD38" s="111" t="n"/>
      <c r="ME38" s="111" t="n"/>
      <c r="MF38" s="111" t="n"/>
      <c r="MG38" s="111" t="n"/>
      <c r="MH38" s="111" t="n"/>
      <c r="MI38" s="111" t="n"/>
      <c r="MJ38" s="111" t="n"/>
      <c r="MK38" s="111" t="n"/>
      <c r="ML38" s="111" t="n"/>
      <c r="MM38" s="111" t="n"/>
      <c r="MN38" s="111" t="n"/>
      <c r="MO38" s="111" t="n"/>
      <c r="MP38" s="111" t="n"/>
      <c r="MQ38" s="111" t="n"/>
      <c r="MR38" s="111" t="n"/>
      <c r="MS38" s="111" t="n"/>
      <c r="MT38" s="111" t="n"/>
      <c r="MU38" s="111" t="n"/>
      <c r="MV38" s="111" t="n"/>
      <c r="MW38" s="111" t="n"/>
      <c r="MX38" s="111" t="n"/>
      <c r="MY38" s="111" t="n"/>
      <c r="MZ38" s="111" t="n"/>
      <c r="NA38" s="111" t="n"/>
      <c r="NB38" s="111" t="n"/>
      <c r="NC38" s="111" t="n"/>
      <c r="ND38" s="111" t="n"/>
      <c r="NE38" s="111" t="n"/>
      <c r="NF38" s="111" t="n"/>
      <c r="NG38" s="111" t="n"/>
      <c r="NH38" s="111" t="n"/>
      <c r="NI38" s="111" t="n"/>
      <c r="NJ38" s="111" t="n"/>
      <c r="NK38" s="111" t="n"/>
      <c r="NL38" s="111" t="n"/>
      <c r="NM38" s="111" t="n"/>
      <c r="NN38" s="111" t="n"/>
      <c r="NO38" s="111" t="n"/>
    </row>
    <row r="39" customFormat="1" s="17">
      <c r="A39" s="33">
        <f>IF(ISERROR(VALUE(SUBSTITUTE(OFFSET(A39,-1,0,1,1),".",""))),"0.1",IF(ISERROR(FIND("`",SUBSTITUTE(OFFSET(A39,-1,0,1,1),".","`",1))),OFFSET(A39,-1,0,1,1)&amp;".1",LEFT(OFFSET(A39,-1,0,1,1),FIND("`",SUBSTITUTE(OFFSET(A39,-1,0,1,1),".","`",1)))&amp;IF(ISERROR(FIND("`",SUBSTITUTE(OFFSET(A39,-1,0,1,1),".","`",2))),VALUE(RIGHT(OFFSET(A39,-1,0,1,1),LEN(OFFSET(A39,-1,0,1,1))-FIND("`",SUBSTITUTE(OFFSET(A39,-1,0,1,1),".","`",1))))+1,VALUE(MID(OFFSET(A39,-1,0,1,1),FIND("`",SUBSTITUTE(OFFSET(A39,-1,0,1,1),".","`",1))+1,(FIND("`",SUBSTITUTE(OFFSET(A39,-1,0,1,1),".","`",2))-FIND("`",SUBSTITUTE(OFFSET(A39,-1,0,1,1),".","`",1))-1)))+1)))</f>
        <v/>
      </c>
      <c r="B39" s="10" t="inlineStr">
        <is>
          <t>[ Level 2 Task ]</t>
        </is>
      </c>
      <c r="C39" s="11" t="inlineStr">
        <is>
          <t>Sarah</t>
        </is>
      </c>
      <c r="D39" s="37" t="n"/>
      <c r="E39" s="37" t="n"/>
      <c r="F39" s="37" t="n"/>
      <c r="G39" s="274" t="n">
        <v>41338</v>
      </c>
      <c r="H39" s="275">
        <f>IF(I39=0,G39,WORKDAY(IF(WEEKDAY(G39,1)=7,G39+2,IF(WEEKDAY(G39,1)=1,G39+1,G39)),I39-1,holidays))</f>
        <v/>
      </c>
      <c r="I39" s="79" t="n">
        <v>21</v>
      </c>
      <c r="J39" s="80" t="n"/>
      <c r="K39" s="15">
        <f>IF(OR(G39=0,H39=0),0,H39-G39+1)</f>
        <v/>
      </c>
      <c r="L39" s="15">
        <f>MIN(K39,WORKDAY(G39,ROUNDDOWN(J39*I39,0),holidays)-G39)</f>
        <v/>
      </c>
      <c r="M39" s="14">
        <f>K39-L39</f>
        <v/>
      </c>
      <c r="N39" s="105">
        <f>IFERROR( INDEX( lead_color, MATCH(C39, lead, 0) ), "")</f>
        <v/>
      </c>
      <c r="O39" s="17" t="n"/>
      <c r="P39" s="111" t="n"/>
      <c r="Q39" s="111" t="n"/>
      <c r="R39" s="111" t="n"/>
      <c r="S39" s="111" t="n"/>
      <c r="T39" s="111" t="n"/>
      <c r="U39" s="111" t="n"/>
      <c r="V39" s="111" t="n"/>
      <c r="W39" s="111" t="n"/>
      <c r="X39" s="111" t="n"/>
      <c r="Y39" s="111" t="n"/>
      <c r="Z39" s="111" t="n"/>
      <c r="AA39" s="111" t="n"/>
      <c r="AB39" s="111" t="n"/>
      <c r="AC39" s="111" t="n"/>
      <c r="AD39" s="111" t="n"/>
      <c r="AE39" s="111" t="n"/>
      <c r="AF39" s="111" t="n"/>
      <c r="AG39" s="111" t="n"/>
      <c r="AH39" s="111" t="n"/>
      <c r="AI39" s="111" t="n"/>
      <c r="AJ39" s="111" t="n"/>
      <c r="AK39" s="111" t="n"/>
      <c r="AL39" s="111" t="n"/>
      <c r="AM39" s="111" t="n"/>
      <c r="AN39" s="111" t="n"/>
      <c r="AO39" s="111" t="n"/>
      <c r="AP39" s="111" t="n"/>
      <c r="AQ39" s="111" t="n"/>
      <c r="AR39" s="111" t="n"/>
      <c r="AS39" s="111" t="n"/>
      <c r="AT39" s="111" t="n"/>
      <c r="AU39" s="111" t="n"/>
      <c r="AV39" s="111" t="n"/>
      <c r="AW39" s="111" t="n"/>
      <c r="AX39" s="111" t="n"/>
      <c r="AY39" s="111" t="n"/>
      <c r="AZ39" s="111"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1" t="n"/>
      <c r="CF39" s="111" t="n"/>
      <c r="CG39" s="111" t="n"/>
      <c r="CH39" s="111" t="n"/>
      <c r="CI39" s="111" t="n"/>
      <c r="CJ39" s="111" t="n"/>
      <c r="CK39" s="111" t="n"/>
      <c r="CL39" s="111" t="n"/>
      <c r="CM39" s="111" t="n"/>
      <c r="CN39" s="111" t="n"/>
      <c r="CO39" s="111" t="n"/>
      <c r="CP39" s="111" t="n"/>
      <c r="CQ39" s="111" t="n"/>
      <c r="CR39" s="111" t="n"/>
      <c r="CS39" s="111" t="n"/>
      <c r="CT39" s="111" t="n"/>
      <c r="CU39" s="111" t="n"/>
      <c r="CV39" s="111" t="n"/>
      <c r="CW39" s="111" t="n"/>
      <c r="CX39" s="111" t="n"/>
      <c r="CY39" s="111" t="n"/>
      <c r="CZ39" s="111" t="n"/>
      <c r="DA39" s="111" t="n"/>
      <c r="DB39" s="111" t="n"/>
      <c r="DC39" s="111" t="n"/>
      <c r="DD39" s="111" t="n"/>
      <c r="DE39" s="111" t="n"/>
      <c r="DF39" s="111" t="n"/>
      <c r="DG39" s="111" t="n"/>
      <c r="DH39" s="111" t="n"/>
      <c r="DI39" s="111" t="n"/>
      <c r="DJ39" s="111" t="n"/>
      <c r="DK39" s="111" t="n"/>
      <c r="DL39" s="111" t="n"/>
      <c r="DM39" s="111" t="n"/>
      <c r="DN39" s="111" t="n"/>
      <c r="DO39" s="111" t="n"/>
      <c r="DP39" s="111" t="n"/>
      <c r="DQ39" s="111" t="n"/>
      <c r="DR39" s="111" t="n"/>
      <c r="DS39" s="111" t="n"/>
      <c r="DT39" s="111" t="n"/>
      <c r="DU39" s="111" t="n"/>
      <c r="DV39" s="111" t="n"/>
      <c r="DW39" s="111" t="n"/>
      <c r="DX39" s="111" t="n"/>
      <c r="DY39" s="111" t="n"/>
      <c r="DZ39" s="111" t="n"/>
      <c r="EA39" s="111" t="n"/>
      <c r="EB39" s="111" t="n"/>
      <c r="EC39" s="111" t="n"/>
      <c r="ED39" s="111" t="n"/>
      <c r="EE39" s="111" t="n"/>
      <c r="EF39" s="111" t="n"/>
      <c r="EG39" s="111" t="n"/>
      <c r="EH39" s="111" t="n"/>
      <c r="EI39" s="111" t="n"/>
      <c r="EJ39" s="111" t="n"/>
      <c r="EK39" s="111" t="n"/>
      <c r="EL39" s="111" t="n"/>
      <c r="EM39" s="111" t="n"/>
      <c r="EN39" s="111" t="n"/>
      <c r="EO39" s="111" t="n"/>
      <c r="EP39" s="111" t="n"/>
      <c r="EQ39" s="111" t="n"/>
      <c r="ER39" s="111" t="n"/>
      <c r="ES39" s="111" t="n"/>
      <c r="ET39" s="111" t="n"/>
      <c r="EU39" s="111" t="n"/>
      <c r="EV39" s="111" t="n"/>
      <c r="EW39" s="111" t="n"/>
      <c r="EX39" s="111" t="n"/>
      <c r="EY39" s="111" t="n"/>
      <c r="EZ39" s="111" t="n"/>
      <c r="FA39" s="111" t="n"/>
      <c r="FB39" s="111" t="n"/>
      <c r="FC39" s="111" t="n"/>
      <c r="FD39" s="111" t="n"/>
      <c r="FE39" s="111" t="n"/>
      <c r="FF39" s="111" t="n"/>
      <c r="FG39" s="111" t="n"/>
      <c r="FH39" s="111" t="n"/>
      <c r="FI39" s="111" t="n"/>
      <c r="FJ39" s="111" t="n"/>
      <c r="FK39" s="111" t="n"/>
      <c r="FL39" s="111" t="n"/>
      <c r="FM39" s="111" t="n"/>
      <c r="FN39" s="111" t="n"/>
      <c r="FO39" s="111" t="n"/>
      <c r="FP39" s="111" t="n"/>
      <c r="FQ39" s="111" t="n"/>
      <c r="FR39" s="111" t="n"/>
      <c r="FS39" s="111" t="n"/>
      <c r="FT39" s="111" t="n"/>
      <c r="FU39" s="111" t="n"/>
      <c r="FV39" s="111" t="n"/>
      <c r="FW39" s="111" t="n"/>
      <c r="FX39" s="111" t="n"/>
      <c r="FY39" s="111" t="n"/>
      <c r="FZ39" s="111" t="n"/>
      <c r="GA39" s="111" t="n"/>
      <c r="GB39" s="111" t="n"/>
      <c r="GC39" s="111" t="n"/>
      <c r="GD39" s="111" t="n"/>
      <c r="GE39" s="111" t="n"/>
      <c r="GF39" s="111" t="n"/>
      <c r="GG39" s="111" t="n"/>
      <c r="GH39" s="111" t="n"/>
      <c r="GI39" s="111" t="n"/>
      <c r="GJ39" s="111" t="n"/>
      <c r="GK39" s="111" t="n"/>
      <c r="GL39" s="111" t="n"/>
      <c r="GM39" s="111" t="n"/>
      <c r="GN39" s="111" t="n"/>
      <c r="GO39" s="111" t="n"/>
      <c r="GP39" s="111" t="n"/>
      <c r="GQ39" s="111" t="n"/>
      <c r="GR39" s="111" t="n"/>
      <c r="GS39" s="111" t="n"/>
      <c r="GT39" s="111" t="n"/>
      <c r="GU39" s="111" t="n"/>
      <c r="GV39" s="111" t="n"/>
      <c r="GW39" s="111" t="n"/>
      <c r="GX39" s="111" t="n"/>
      <c r="GY39" s="111" t="n"/>
      <c r="GZ39" s="111" t="n"/>
      <c r="HA39" s="111" t="n"/>
      <c r="HB39" s="111" t="n"/>
      <c r="HC39" s="111" t="n"/>
      <c r="HD39" s="111" t="n"/>
      <c r="HE39" s="111" t="n"/>
      <c r="HF39" s="111" t="n"/>
      <c r="HG39" s="111" t="n"/>
      <c r="HH39" s="111" t="n"/>
      <c r="HI39" s="111" t="n"/>
      <c r="HJ39" s="111" t="n"/>
      <c r="HK39" s="111" t="n"/>
      <c r="HL39" s="111" t="n"/>
      <c r="HM39" s="111" t="n"/>
      <c r="HN39" s="111" t="n"/>
      <c r="HO39" s="111" t="n"/>
      <c r="HP39" s="111" t="n"/>
      <c r="HQ39" s="111" t="n"/>
      <c r="HR39" s="111" t="n"/>
      <c r="HS39" s="111" t="n"/>
      <c r="HT39" s="111" t="n"/>
      <c r="HU39" s="111" t="n"/>
      <c r="HV39" s="111" t="n"/>
      <c r="HW39" s="111" t="n"/>
      <c r="HX39" s="111" t="n"/>
      <c r="HY39" s="111" t="n"/>
      <c r="HZ39" s="111" t="n"/>
      <c r="IA39" s="111" t="n"/>
      <c r="IB39" s="111" t="n"/>
      <c r="IC39" s="111" t="n"/>
      <c r="ID39" s="111" t="n"/>
      <c r="IE39" s="111" t="n"/>
      <c r="IF39" s="111" t="n"/>
      <c r="IG39" s="111" t="n"/>
      <c r="IH39" s="111" t="n"/>
      <c r="II39" s="111" t="n"/>
      <c r="IJ39" s="111" t="n"/>
      <c r="IK39" s="111" t="n"/>
      <c r="IL39" s="111" t="n"/>
      <c r="IM39" s="111" t="n"/>
      <c r="IN39" s="111" t="n"/>
      <c r="IO39" s="111" t="n"/>
      <c r="IP39" s="111" t="n"/>
      <c r="IQ39" s="111" t="n"/>
      <c r="IR39" s="111" t="n"/>
      <c r="IS39" s="111" t="n"/>
      <c r="IT39" s="111" t="n"/>
      <c r="IU39" s="111" t="n"/>
      <c r="IV39" s="111" t="n"/>
      <c r="IW39" s="111" t="n"/>
      <c r="IX39" s="111" t="n"/>
      <c r="IY39" s="111" t="n"/>
      <c r="IZ39" s="111" t="n"/>
      <c r="JA39" s="111" t="n"/>
      <c r="JB39" s="111" t="n"/>
      <c r="JC39" s="111" t="n"/>
      <c r="JD39" s="111" t="n"/>
      <c r="JE39" s="111" t="n"/>
      <c r="JF39" s="111" t="n"/>
      <c r="JG39" s="111" t="n"/>
      <c r="JH39" s="111" t="n"/>
      <c r="JI39" s="111" t="n"/>
      <c r="JJ39" s="111" t="n"/>
      <c r="JK39" s="111" t="n"/>
      <c r="JL39" s="111" t="n"/>
      <c r="JM39" s="111" t="n"/>
      <c r="JN39" s="111" t="n"/>
      <c r="JO39" s="111" t="n"/>
      <c r="JP39" s="111" t="n"/>
      <c r="JQ39" s="111" t="n"/>
      <c r="JR39" s="111" t="n"/>
      <c r="JS39" s="111" t="n"/>
      <c r="JT39" s="111" t="n"/>
      <c r="JU39" s="111" t="n"/>
      <c r="JV39" s="111" t="n"/>
      <c r="JW39" s="111" t="n"/>
      <c r="JX39" s="111" t="n"/>
      <c r="JY39" s="111" t="n"/>
      <c r="JZ39" s="111" t="n"/>
      <c r="KA39" s="111" t="n"/>
      <c r="KB39" s="111" t="n"/>
      <c r="KC39" s="111" t="n"/>
      <c r="KD39" s="111" t="n"/>
      <c r="KE39" s="111" t="n"/>
      <c r="KF39" s="111" t="n"/>
      <c r="KG39" s="111" t="n"/>
      <c r="KH39" s="111" t="n"/>
      <c r="KI39" s="111" t="n"/>
      <c r="KJ39" s="111" t="n"/>
      <c r="KK39" s="111" t="n"/>
      <c r="KL39" s="111" t="n"/>
      <c r="KM39" s="111" t="n"/>
      <c r="KN39" s="111" t="n"/>
      <c r="KO39" s="111" t="n"/>
      <c r="KP39" s="111" t="n"/>
      <c r="KQ39" s="111" t="n"/>
      <c r="KR39" s="111" t="n"/>
      <c r="KS39" s="111" t="n"/>
      <c r="KT39" s="111" t="n"/>
      <c r="KU39" s="111" t="n"/>
      <c r="KV39" s="111" t="n"/>
      <c r="KW39" s="111" t="n"/>
      <c r="KX39" s="111" t="n"/>
      <c r="KY39" s="111" t="n"/>
      <c r="KZ39" s="111" t="n"/>
      <c r="LA39" s="111" t="n"/>
      <c r="LB39" s="111" t="n"/>
      <c r="LC39" s="111" t="n"/>
      <c r="LD39" s="111" t="n"/>
      <c r="LE39" s="111" t="n"/>
      <c r="LF39" s="111" t="n"/>
      <c r="LG39" s="111" t="n"/>
      <c r="LH39" s="111" t="n"/>
      <c r="LI39" s="111" t="n"/>
      <c r="LJ39" s="111" t="n"/>
      <c r="LK39" s="111" t="n"/>
      <c r="LL39" s="111" t="n"/>
      <c r="LM39" s="111" t="n"/>
      <c r="LN39" s="111" t="n"/>
      <c r="LO39" s="111" t="n"/>
      <c r="LP39" s="111" t="n"/>
      <c r="LQ39" s="111" t="n"/>
      <c r="LR39" s="111" t="n"/>
      <c r="LS39" s="111" t="n"/>
      <c r="LT39" s="111" t="n"/>
      <c r="LU39" s="111" t="n"/>
      <c r="LV39" s="111" t="n"/>
      <c r="LW39" s="111" t="n"/>
      <c r="LX39" s="111" t="n"/>
      <c r="LY39" s="111" t="n"/>
      <c r="LZ39" s="111" t="n"/>
      <c r="MA39" s="111" t="n"/>
      <c r="MB39" s="111" t="n"/>
      <c r="MC39" s="111" t="n"/>
      <c r="MD39" s="111" t="n"/>
      <c r="ME39" s="111" t="n"/>
      <c r="MF39" s="111" t="n"/>
      <c r="MG39" s="111" t="n"/>
      <c r="MH39" s="111" t="n"/>
      <c r="MI39" s="111" t="n"/>
      <c r="MJ39" s="111" t="n"/>
      <c r="MK39" s="111" t="n"/>
      <c r="ML39" s="111" t="n"/>
      <c r="MM39" s="111" t="n"/>
      <c r="MN39" s="111" t="n"/>
      <c r="MO39" s="111" t="n"/>
      <c r="MP39" s="111" t="n"/>
      <c r="MQ39" s="111" t="n"/>
      <c r="MR39" s="111" t="n"/>
      <c r="MS39" s="111" t="n"/>
      <c r="MT39" s="111" t="n"/>
      <c r="MU39" s="111" t="n"/>
      <c r="MV39" s="111" t="n"/>
      <c r="MW39" s="111" t="n"/>
      <c r="MX39" s="111" t="n"/>
      <c r="MY39" s="111" t="n"/>
      <c r="MZ39" s="111" t="n"/>
      <c r="NA39" s="111" t="n"/>
      <c r="NB39" s="111" t="n"/>
      <c r="NC39" s="111" t="n"/>
      <c r="ND39" s="111" t="n"/>
      <c r="NE39" s="111" t="n"/>
      <c r="NF39" s="111" t="n"/>
      <c r="NG39" s="111" t="n"/>
      <c r="NH39" s="111" t="n"/>
      <c r="NI39" s="111" t="n"/>
      <c r="NJ39" s="111" t="n"/>
      <c r="NK39" s="111" t="n"/>
      <c r="NL39" s="111" t="n"/>
      <c r="NM39" s="111" t="n"/>
      <c r="NN39" s="111" t="n"/>
      <c r="NO39" s="111" t="n"/>
    </row>
    <row r="40" customFormat="1" s="17">
      <c r="A40" s="33">
        <f>IF(ISERROR(VALUE(SUBSTITUTE(OFFSET(A40,-1,0,1,1),".",""))),"0.1",IF(ISERROR(FIND("`",SUBSTITUTE(OFFSET(A40,-1,0,1,1),".","`",1))),OFFSET(A40,-1,0,1,1)&amp;".1",LEFT(OFFSET(A40,-1,0,1,1),FIND("`",SUBSTITUTE(OFFSET(A40,-1,0,1,1),".","`",1)))&amp;IF(ISERROR(FIND("`",SUBSTITUTE(OFFSET(A40,-1,0,1,1),".","`",2))),VALUE(RIGHT(OFFSET(A40,-1,0,1,1),LEN(OFFSET(A40,-1,0,1,1))-FIND("`",SUBSTITUTE(OFFSET(A40,-1,0,1,1),".","`",1))))+1,VALUE(MID(OFFSET(A40,-1,0,1,1),FIND("`",SUBSTITUTE(OFFSET(A40,-1,0,1,1),".","`",1))+1,(FIND("`",SUBSTITUTE(OFFSET(A40,-1,0,1,1),".","`",2))-FIND("`",SUBSTITUTE(OFFSET(A40,-1,0,1,1),".","`",1))-1)))+1)))</f>
        <v/>
      </c>
      <c r="B40" s="10" t="inlineStr">
        <is>
          <t>[ Level 2 Task ]</t>
        </is>
      </c>
      <c r="C40" s="11" t="inlineStr">
        <is>
          <t>Bill</t>
        </is>
      </c>
      <c r="D40" s="37" t="n"/>
      <c r="E40" s="37" t="n"/>
      <c r="F40" s="37" t="n"/>
      <c r="G40" s="274">
        <f>WORKDAY(G39,1,holidays)</f>
        <v/>
      </c>
      <c r="H40" s="275">
        <f>IF(I40=0,G40,WORKDAY(IF(WEEKDAY(G40,1)=7,G40+2,IF(WEEKDAY(G40,1)=1,G40+1,G40)),I40-1,holidays))</f>
        <v/>
      </c>
      <c r="I40" s="79" t="n">
        <v>21</v>
      </c>
      <c r="J40" s="80" t="n"/>
      <c r="K40" s="15">
        <f>IF(OR(G40=0,H40=0),0,H40-G40+1)</f>
        <v/>
      </c>
      <c r="L40" s="15">
        <f>MIN(K40,WORKDAY(G40,ROUNDDOWN(J40*I40,0),holidays)-G40)</f>
        <v/>
      </c>
      <c r="M40" s="14">
        <f>K40-L40</f>
        <v/>
      </c>
      <c r="N40" s="105">
        <f>IFERROR( INDEX( lead_color, MATCH(C40, lead, 0) ), "")</f>
        <v/>
      </c>
      <c r="O40" s="17" t="n"/>
      <c r="P40" s="111" t="n"/>
      <c r="Q40" s="111" t="n"/>
      <c r="R40" s="111" t="n"/>
      <c r="S40" s="111" t="n"/>
      <c r="T40" s="111" t="n"/>
      <c r="U40" s="111" t="n"/>
      <c r="V40" s="111" t="n"/>
      <c r="W40" s="111" t="n"/>
      <c r="X40" s="111" t="n"/>
      <c r="Y40" s="111" t="n"/>
      <c r="Z40" s="111" t="n"/>
      <c r="AA40" s="111" t="n"/>
      <c r="AB40" s="111" t="n"/>
      <c r="AC40" s="111" t="n"/>
      <c r="AD40" s="111" t="n"/>
      <c r="AE40" s="111" t="n"/>
      <c r="AF40" s="111" t="n"/>
      <c r="AG40" s="111" t="n"/>
      <c r="AH40" s="111" t="n"/>
      <c r="AI40" s="111" t="n"/>
      <c r="AJ40" s="111" t="n"/>
      <c r="AK40" s="111" t="n"/>
      <c r="AL40" s="111" t="n"/>
      <c r="AM40" s="111" t="n"/>
      <c r="AN40" s="111" t="n"/>
      <c r="AO40" s="111" t="n"/>
      <c r="AP40" s="111" t="n"/>
      <c r="AQ40" s="111" t="n"/>
      <c r="AR40" s="111" t="n"/>
      <c r="AS40" s="111" t="n"/>
      <c r="AT40" s="111" t="n"/>
      <c r="AU40" s="111" t="n"/>
      <c r="AV40" s="111" t="n"/>
      <c r="AW40" s="111" t="n"/>
      <c r="AX40" s="111" t="n"/>
      <c r="AY40" s="111" t="n"/>
      <c r="AZ40" s="111"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1" t="n"/>
      <c r="CF40" s="111" t="n"/>
      <c r="CG40" s="111" t="n"/>
      <c r="CH40" s="111" t="n"/>
      <c r="CI40" s="111" t="n"/>
      <c r="CJ40" s="111" t="n"/>
      <c r="CK40" s="111" t="n"/>
      <c r="CL40" s="111" t="n"/>
      <c r="CM40" s="111" t="n"/>
      <c r="CN40" s="111" t="n"/>
      <c r="CO40" s="111" t="n"/>
      <c r="CP40" s="111" t="n"/>
      <c r="CQ40" s="111" t="n"/>
      <c r="CR40" s="111" t="n"/>
      <c r="CS40" s="111" t="n"/>
      <c r="CT40" s="111" t="n"/>
      <c r="CU40" s="111" t="n"/>
      <c r="CV40" s="111" t="n"/>
      <c r="CW40" s="111" t="n"/>
      <c r="CX40" s="111" t="n"/>
      <c r="CY40" s="111" t="n"/>
      <c r="CZ40" s="111" t="n"/>
      <c r="DA40" s="111" t="n"/>
      <c r="DB40" s="111" t="n"/>
      <c r="DC40" s="111" t="n"/>
      <c r="DD40" s="111" t="n"/>
      <c r="DE40" s="111" t="n"/>
      <c r="DF40" s="111" t="n"/>
      <c r="DG40" s="111" t="n"/>
      <c r="DH40" s="111" t="n"/>
      <c r="DI40" s="111" t="n"/>
      <c r="DJ40" s="111" t="n"/>
      <c r="DK40" s="111" t="n"/>
      <c r="DL40" s="111" t="n"/>
      <c r="DM40" s="111" t="n"/>
      <c r="DN40" s="111" t="n"/>
      <c r="DO40" s="111" t="n"/>
      <c r="DP40" s="111" t="n"/>
      <c r="DQ40" s="111" t="n"/>
      <c r="DR40" s="111" t="n"/>
      <c r="DS40" s="111" t="n"/>
      <c r="DT40" s="111" t="n"/>
      <c r="DU40" s="111" t="n"/>
      <c r="DV40" s="111" t="n"/>
      <c r="DW40" s="111" t="n"/>
      <c r="DX40" s="111" t="n"/>
      <c r="DY40" s="111" t="n"/>
      <c r="DZ40" s="111" t="n"/>
      <c r="EA40" s="111" t="n"/>
      <c r="EB40" s="111" t="n"/>
      <c r="EC40" s="111" t="n"/>
      <c r="ED40" s="111" t="n"/>
      <c r="EE40" s="111" t="n"/>
      <c r="EF40" s="111" t="n"/>
      <c r="EG40" s="111" t="n"/>
      <c r="EH40" s="111" t="n"/>
      <c r="EI40" s="111" t="n"/>
      <c r="EJ40" s="111" t="n"/>
      <c r="EK40" s="111" t="n"/>
      <c r="EL40" s="111" t="n"/>
      <c r="EM40" s="111" t="n"/>
      <c r="EN40" s="111" t="n"/>
      <c r="EO40" s="111" t="n"/>
      <c r="EP40" s="111" t="n"/>
      <c r="EQ40" s="111" t="n"/>
      <c r="ER40" s="111" t="n"/>
      <c r="ES40" s="111" t="n"/>
      <c r="ET40" s="111" t="n"/>
      <c r="EU40" s="111" t="n"/>
      <c r="EV40" s="111" t="n"/>
      <c r="EW40" s="111" t="n"/>
      <c r="EX40" s="111" t="n"/>
      <c r="EY40" s="111" t="n"/>
      <c r="EZ40" s="111" t="n"/>
      <c r="FA40" s="111" t="n"/>
      <c r="FB40" s="111" t="n"/>
      <c r="FC40" s="111" t="n"/>
      <c r="FD40" s="111" t="n"/>
      <c r="FE40" s="111" t="n"/>
      <c r="FF40" s="111" t="n"/>
      <c r="FG40" s="111" t="n"/>
      <c r="FH40" s="111" t="n"/>
      <c r="FI40" s="111" t="n"/>
      <c r="FJ40" s="111" t="n"/>
      <c r="FK40" s="111" t="n"/>
      <c r="FL40" s="111" t="n"/>
      <c r="FM40" s="111" t="n"/>
      <c r="FN40" s="111" t="n"/>
      <c r="FO40" s="111" t="n"/>
      <c r="FP40" s="111" t="n"/>
      <c r="FQ40" s="111" t="n"/>
      <c r="FR40" s="111" t="n"/>
      <c r="FS40" s="111" t="n"/>
      <c r="FT40" s="111" t="n"/>
      <c r="FU40" s="111" t="n"/>
      <c r="FV40" s="111" t="n"/>
      <c r="FW40" s="111" t="n"/>
      <c r="FX40" s="111" t="n"/>
      <c r="FY40" s="111" t="n"/>
      <c r="FZ40" s="111" t="n"/>
      <c r="GA40" s="111" t="n"/>
      <c r="GB40" s="111" t="n"/>
      <c r="GC40" s="111" t="n"/>
      <c r="GD40" s="111" t="n"/>
      <c r="GE40" s="111" t="n"/>
      <c r="GF40" s="111" t="n"/>
      <c r="GG40" s="111" t="n"/>
      <c r="GH40" s="111" t="n"/>
      <c r="GI40" s="111" t="n"/>
      <c r="GJ40" s="111" t="n"/>
      <c r="GK40" s="111" t="n"/>
      <c r="GL40" s="111" t="n"/>
      <c r="GM40" s="111" t="n"/>
      <c r="GN40" s="111" t="n"/>
      <c r="GO40" s="111" t="n"/>
      <c r="GP40" s="111" t="n"/>
      <c r="GQ40" s="111" t="n"/>
      <c r="GR40" s="111" t="n"/>
      <c r="GS40" s="111" t="n"/>
      <c r="GT40" s="111" t="n"/>
      <c r="GU40" s="111" t="n"/>
      <c r="GV40" s="111" t="n"/>
      <c r="GW40" s="111" t="n"/>
      <c r="GX40" s="111" t="n"/>
      <c r="GY40" s="111" t="n"/>
      <c r="GZ40" s="111" t="n"/>
      <c r="HA40" s="111" t="n"/>
      <c r="HB40" s="111" t="n"/>
      <c r="HC40" s="111" t="n"/>
      <c r="HD40" s="111" t="n"/>
      <c r="HE40" s="111" t="n"/>
      <c r="HF40" s="111" t="n"/>
      <c r="HG40" s="111" t="n"/>
      <c r="HH40" s="111" t="n"/>
      <c r="HI40" s="111" t="n"/>
      <c r="HJ40" s="111" t="n"/>
      <c r="HK40" s="111" t="n"/>
      <c r="HL40" s="111" t="n"/>
      <c r="HM40" s="111" t="n"/>
      <c r="HN40" s="111" t="n"/>
      <c r="HO40" s="111" t="n"/>
      <c r="HP40" s="111" t="n"/>
      <c r="HQ40" s="111" t="n"/>
      <c r="HR40" s="111" t="n"/>
      <c r="HS40" s="111" t="n"/>
      <c r="HT40" s="111" t="n"/>
      <c r="HU40" s="111" t="n"/>
      <c r="HV40" s="111" t="n"/>
      <c r="HW40" s="111" t="n"/>
      <c r="HX40" s="111" t="n"/>
      <c r="HY40" s="111" t="n"/>
      <c r="HZ40" s="111" t="n"/>
      <c r="IA40" s="111" t="n"/>
      <c r="IB40" s="111" t="n"/>
      <c r="IC40" s="111" t="n"/>
      <c r="ID40" s="111" t="n"/>
      <c r="IE40" s="111" t="n"/>
      <c r="IF40" s="111" t="n"/>
      <c r="IG40" s="111" t="n"/>
      <c r="IH40" s="111" t="n"/>
      <c r="II40" s="111" t="n"/>
      <c r="IJ40" s="111" t="n"/>
      <c r="IK40" s="111" t="n"/>
      <c r="IL40" s="111" t="n"/>
      <c r="IM40" s="111" t="n"/>
      <c r="IN40" s="111" t="n"/>
      <c r="IO40" s="111" t="n"/>
      <c r="IP40" s="111" t="n"/>
      <c r="IQ40" s="111" t="n"/>
      <c r="IR40" s="111" t="n"/>
      <c r="IS40" s="111" t="n"/>
      <c r="IT40" s="111" t="n"/>
      <c r="IU40" s="111" t="n"/>
      <c r="IV40" s="111" t="n"/>
      <c r="IW40" s="111" t="n"/>
      <c r="IX40" s="111" t="n"/>
      <c r="IY40" s="111" t="n"/>
      <c r="IZ40" s="111" t="n"/>
      <c r="JA40" s="111" t="n"/>
      <c r="JB40" s="111" t="n"/>
      <c r="JC40" s="111" t="n"/>
      <c r="JD40" s="111" t="n"/>
      <c r="JE40" s="111" t="n"/>
      <c r="JF40" s="111" t="n"/>
      <c r="JG40" s="111" t="n"/>
      <c r="JH40" s="111" t="n"/>
      <c r="JI40" s="111" t="n"/>
      <c r="JJ40" s="111" t="n"/>
      <c r="JK40" s="111" t="n"/>
      <c r="JL40" s="111" t="n"/>
      <c r="JM40" s="111" t="n"/>
      <c r="JN40" s="111" t="n"/>
      <c r="JO40" s="111" t="n"/>
      <c r="JP40" s="111" t="n"/>
      <c r="JQ40" s="111" t="n"/>
      <c r="JR40" s="111" t="n"/>
      <c r="JS40" s="111" t="n"/>
      <c r="JT40" s="111" t="n"/>
      <c r="JU40" s="111" t="n"/>
      <c r="JV40" s="111" t="n"/>
      <c r="JW40" s="111" t="n"/>
      <c r="JX40" s="111" t="n"/>
      <c r="JY40" s="111" t="n"/>
      <c r="JZ40" s="111" t="n"/>
      <c r="KA40" s="111" t="n"/>
      <c r="KB40" s="111" t="n"/>
      <c r="KC40" s="111" t="n"/>
      <c r="KD40" s="111" t="n"/>
      <c r="KE40" s="111" t="n"/>
      <c r="KF40" s="111" t="n"/>
      <c r="KG40" s="111" t="n"/>
      <c r="KH40" s="111" t="n"/>
      <c r="KI40" s="111" t="n"/>
      <c r="KJ40" s="111" t="n"/>
      <c r="KK40" s="111" t="n"/>
      <c r="KL40" s="111" t="n"/>
      <c r="KM40" s="111" t="n"/>
      <c r="KN40" s="111" t="n"/>
      <c r="KO40" s="111" t="n"/>
      <c r="KP40" s="111" t="n"/>
      <c r="KQ40" s="111" t="n"/>
      <c r="KR40" s="111" t="n"/>
      <c r="KS40" s="111" t="n"/>
      <c r="KT40" s="111" t="n"/>
      <c r="KU40" s="111" t="n"/>
      <c r="KV40" s="111" t="n"/>
      <c r="KW40" s="111" t="n"/>
      <c r="KX40" s="111" t="n"/>
      <c r="KY40" s="111" t="n"/>
      <c r="KZ40" s="111" t="n"/>
      <c r="LA40" s="111" t="n"/>
      <c r="LB40" s="111" t="n"/>
      <c r="LC40" s="111" t="n"/>
      <c r="LD40" s="111" t="n"/>
      <c r="LE40" s="111" t="n"/>
      <c r="LF40" s="111" t="n"/>
      <c r="LG40" s="111" t="n"/>
      <c r="LH40" s="111" t="n"/>
      <c r="LI40" s="111" t="n"/>
      <c r="LJ40" s="111" t="n"/>
      <c r="LK40" s="111" t="n"/>
      <c r="LL40" s="111" t="n"/>
      <c r="LM40" s="111" t="n"/>
      <c r="LN40" s="111" t="n"/>
      <c r="LO40" s="111" t="n"/>
      <c r="LP40" s="111" t="n"/>
      <c r="LQ40" s="111" t="n"/>
      <c r="LR40" s="111" t="n"/>
      <c r="LS40" s="111" t="n"/>
      <c r="LT40" s="111" t="n"/>
      <c r="LU40" s="111" t="n"/>
      <c r="LV40" s="111" t="n"/>
      <c r="LW40" s="111" t="n"/>
      <c r="LX40" s="111" t="n"/>
      <c r="LY40" s="111" t="n"/>
      <c r="LZ40" s="111" t="n"/>
      <c r="MA40" s="111" t="n"/>
      <c r="MB40" s="111" t="n"/>
      <c r="MC40" s="111" t="n"/>
      <c r="MD40" s="111" t="n"/>
      <c r="ME40" s="111" t="n"/>
      <c r="MF40" s="111" t="n"/>
      <c r="MG40" s="111" t="n"/>
      <c r="MH40" s="111" t="n"/>
      <c r="MI40" s="111" t="n"/>
      <c r="MJ40" s="111" t="n"/>
      <c r="MK40" s="111" t="n"/>
      <c r="ML40" s="111" t="n"/>
      <c r="MM40" s="111" t="n"/>
      <c r="MN40" s="111" t="n"/>
      <c r="MO40" s="111" t="n"/>
      <c r="MP40" s="111" t="n"/>
      <c r="MQ40" s="111" t="n"/>
      <c r="MR40" s="111" t="n"/>
      <c r="MS40" s="111" t="n"/>
      <c r="MT40" s="111" t="n"/>
      <c r="MU40" s="111" t="n"/>
      <c r="MV40" s="111" t="n"/>
      <c r="MW40" s="111" t="n"/>
      <c r="MX40" s="111" t="n"/>
      <c r="MY40" s="111" t="n"/>
      <c r="MZ40" s="111" t="n"/>
      <c r="NA40" s="111" t="n"/>
      <c r="NB40" s="111" t="n"/>
      <c r="NC40" s="111" t="n"/>
      <c r="ND40" s="111" t="n"/>
      <c r="NE40" s="111" t="n"/>
      <c r="NF40" s="111" t="n"/>
      <c r="NG40" s="111" t="n"/>
      <c r="NH40" s="111" t="n"/>
      <c r="NI40" s="111" t="n"/>
      <c r="NJ40" s="111" t="n"/>
      <c r="NK40" s="111" t="n"/>
      <c r="NL40" s="111" t="n"/>
      <c r="NM40" s="111" t="n"/>
      <c r="NN40" s="111" t="n"/>
      <c r="NO40" s="111" t="n"/>
    </row>
    <row r="41" customFormat="1" s="17">
      <c r="A41" s="33">
        <f>IF(ISERROR(VALUE(SUBSTITUTE(OFFSET(A41,-1,0,1,1),".",""))),"0.1",IF(ISERROR(FIND("`",SUBSTITUTE(OFFSET(A41,-1,0,1,1),".","`",1))),OFFSET(A41,-1,0,1,1)&amp;".1",LEFT(OFFSET(A41,-1,0,1,1),FIND("`",SUBSTITUTE(OFFSET(A41,-1,0,1,1),".","`",1)))&amp;IF(ISERROR(FIND("`",SUBSTITUTE(OFFSET(A41,-1,0,1,1),".","`",2))),VALUE(RIGHT(OFFSET(A41,-1,0,1,1),LEN(OFFSET(A41,-1,0,1,1))-FIND("`",SUBSTITUTE(OFFSET(A41,-1,0,1,1),".","`",1))))+1,VALUE(MID(OFFSET(A41,-1,0,1,1),FIND("`",SUBSTITUTE(OFFSET(A41,-1,0,1,1),".","`",1))+1,(FIND("`",SUBSTITUTE(OFFSET(A41,-1,0,1,1),".","`",2))-FIND("`",SUBSTITUTE(OFFSET(A41,-1,0,1,1),".","`",1))-1)))+1)))</f>
        <v/>
      </c>
      <c r="B41" s="10" t="inlineStr">
        <is>
          <t>[ Level 2 Task ]</t>
        </is>
      </c>
      <c r="C41" s="11" t="inlineStr">
        <is>
          <t>Bob</t>
        </is>
      </c>
      <c r="D41" s="37" t="n"/>
      <c r="E41" s="37" t="n"/>
      <c r="F41" s="37" t="n"/>
      <c r="G41" s="274">
        <f>WORKDAY(G40,1,holidays)</f>
        <v/>
      </c>
      <c r="H41" s="275">
        <f>IF(I41=0,G41,WORKDAY(IF(WEEKDAY(G41,1)=7,G41+2,IF(WEEKDAY(G41,1)=1,G41+1,G41)),I41-1,holidays))</f>
        <v/>
      </c>
      <c r="I41" s="79" t="n">
        <v>21</v>
      </c>
      <c r="J41" s="80" t="n"/>
      <c r="K41" s="15">
        <f>IF(OR(G41=0,H41=0),0,H41-G41+1)</f>
        <v/>
      </c>
      <c r="L41" s="15">
        <f>MIN(K41,WORKDAY(G41,ROUNDDOWN(J41*I41,0),holidays)-G41)</f>
        <v/>
      </c>
      <c r="M41" s="14">
        <f>K41-L41</f>
        <v/>
      </c>
      <c r="N41" s="105">
        <f>IFERROR( INDEX( lead_color, MATCH(C41, lead, 0) ), "")</f>
        <v/>
      </c>
      <c r="O41" s="17" t="n"/>
      <c r="P41" s="111" t="n"/>
      <c r="Q41" s="111" t="n"/>
      <c r="R41" s="111" t="n"/>
      <c r="S41" s="111" t="n"/>
      <c r="T41" s="111" t="n"/>
      <c r="U41" s="111" t="n"/>
      <c r="V41" s="111" t="n"/>
      <c r="W41" s="111" t="n"/>
      <c r="X41" s="111" t="n"/>
      <c r="Y41" s="111" t="n"/>
      <c r="Z41" s="111" t="n"/>
      <c r="AA41" s="111" t="n"/>
      <c r="AB41" s="111" t="n"/>
      <c r="AC41" s="111" t="n"/>
      <c r="AD41" s="111" t="n"/>
      <c r="AE41" s="111" t="n"/>
      <c r="AF41" s="111" t="n"/>
      <c r="AG41" s="111" t="n"/>
      <c r="AH41" s="111" t="n"/>
      <c r="AI41" s="111" t="n"/>
      <c r="AJ41" s="111" t="n"/>
      <c r="AK41" s="111" t="n"/>
      <c r="AL41" s="111" t="n"/>
      <c r="AM41" s="111" t="n"/>
      <c r="AN41" s="111" t="n"/>
      <c r="AO41" s="111" t="n"/>
      <c r="AP41" s="111" t="n"/>
      <c r="AQ41" s="111" t="n"/>
      <c r="AR41" s="111" t="n"/>
      <c r="AS41" s="111" t="n"/>
      <c r="AT41" s="111" t="n"/>
      <c r="AU41" s="111" t="n"/>
      <c r="AV41" s="111" t="n"/>
      <c r="AW41" s="111" t="n"/>
      <c r="AX41" s="111" t="n"/>
      <c r="AY41" s="111" t="n"/>
      <c r="AZ41" s="111"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1" t="n"/>
      <c r="CF41" s="111" t="n"/>
      <c r="CG41" s="111" t="n"/>
      <c r="CH41" s="111" t="n"/>
      <c r="CI41" s="111" t="n"/>
      <c r="CJ41" s="111" t="n"/>
      <c r="CK41" s="111" t="n"/>
      <c r="CL41" s="111" t="n"/>
      <c r="CM41" s="111" t="n"/>
      <c r="CN41" s="111" t="n"/>
      <c r="CO41" s="111" t="n"/>
      <c r="CP41" s="111" t="n"/>
      <c r="CQ41" s="111" t="n"/>
      <c r="CR41" s="111" t="n"/>
      <c r="CS41" s="111" t="n"/>
      <c r="CT41" s="111" t="n"/>
      <c r="CU41" s="111" t="n"/>
      <c r="CV41" s="111" t="n"/>
      <c r="CW41" s="111" t="n"/>
      <c r="CX41" s="111" t="n"/>
      <c r="CY41" s="111" t="n"/>
      <c r="CZ41" s="111" t="n"/>
      <c r="DA41" s="111" t="n"/>
      <c r="DB41" s="111" t="n"/>
      <c r="DC41" s="111" t="n"/>
      <c r="DD41" s="111" t="n"/>
      <c r="DE41" s="111" t="n"/>
      <c r="DF41" s="111" t="n"/>
      <c r="DG41" s="111" t="n"/>
      <c r="DH41" s="111" t="n"/>
      <c r="DI41" s="111" t="n"/>
      <c r="DJ41" s="111" t="n"/>
      <c r="DK41" s="111" t="n"/>
      <c r="DL41" s="111" t="n"/>
      <c r="DM41" s="111" t="n"/>
      <c r="DN41" s="111" t="n"/>
      <c r="DO41" s="111" t="n"/>
      <c r="DP41" s="111" t="n"/>
      <c r="DQ41" s="111" t="n"/>
      <c r="DR41" s="111" t="n"/>
      <c r="DS41" s="111" t="n"/>
      <c r="DT41" s="111" t="n"/>
      <c r="DU41" s="111" t="n"/>
      <c r="DV41" s="111" t="n"/>
      <c r="DW41" s="111" t="n"/>
      <c r="DX41" s="111" t="n"/>
      <c r="DY41" s="111" t="n"/>
      <c r="DZ41" s="111" t="n"/>
      <c r="EA41" s="111" t="n"/>
      <c r="EB41" s="111" t="n"/>
      <c r="EC41" s="111" t="n"/>
      <c r="ED41" s="111" t="n"/>
      <c r="EE41" s="111" t="n"/>
      <c r="EF41" s="111" t="n"/>
      <c r="EG41" s="111" t="n"/>
      <c r="EH41" s="111" t="n"/>
      <c r="EI41" s="111" t="n"/>
      <c r="EJ41" s="111" t="n"/>
      <c r="EK41" s="111" t="n"/>
      <c r="EL41" s="111" t="n"/>
      <c r="EM41" s="111" t="n"/>
      <c r="EN41" s="111" t="n"/>
      <c r="EO41" s="111" t="n"/>
      <c r="EP41" s="111" t="n"/>
      <c r="EQ41" s="111" t="n"/>
      <c r="ER41" s="111" t="n"/>
      <c r="ES41" s="111" t="n"/>
      <c r="ET41" s="111" t="n"/>
      <c r="EU41" s="111" t="n"/>
      <c r="EV41" s="111" t="n"/>
      <c r="EW41" s="111" t="n"/>
      <c r="EX41" s="111" t="n"/>
      <c r="EY41" s="111" t="n"/>
      <c r="EZ41" s="111" t="n"/>
      <c r="FA41" s="111" t="n"/>
      <c r="FB41" s="111" t="n"/>
      <c r="FC41" s="111" t="n"/>
      <c r="FD41" s="111" t="n"/>
      <c r="FE41" s="111" t="n"/>
      <c r="FF41" s="111" t="n"/>
      <c r="FG41" s="111" t="n"/>
      <c r="FH41" s="111" t="n"/>
      <c r="FI41" s="111" t="n"/>
      <c r="FJ41" s="111" t="n"/>
      <c r="FK41" s="111" t="n"/>
      <c r="FL41" s="111" t="n"/>
      <c r="FM41" s="111" t="n"/>
      <c r="FN41" s="111" t="n"/>
      <c r="FO41" s="111" t="n"/>
      <c r="FP41" s="111" t="n"/>
      <c r="FQ41" s="111" t="n"/>
      <c r="FR41" s="111" t="n"/>
      <c r="FS41" s="111" t="n"/>
      <c r="FT41" s="111" t="n"/>
      <c r="FU41" s="111" t="n"/>
      <c r="FV41" s="111" t="n"/>
      <c r="FW41" s="111" t="n"/>
      <c r="FX41" s="111" t="n"/>
      <c r="FY41" s="111" t="n"/>
      <c r="FZ41" s="111" t="n"/>
      <c r="GA41" s="111" t="n"/>
      <c r="GB41" s="111" t="n"/>
      <c r="GC41" s="111" t="n"/>
      <c r="GD41" s="111" t="n"/>
      <c r="GE41" s="111" t="n"/>
      <c r="GF41" s="111" t="n"/>
      <c r="GG41" s="111" t="n"/>
      <c r="GH41" s="111" t="n"/>
      <c r="GI41" s="111" t="n"/>
      <c r="GJ41" s="111" t="n"/>
      <c r="GK41" s="111" t="n"/>
      <c r="GL41" s="111" t="n"/>
      <c r="GM41" s="111" t="n"/>
      <c r="GN41" s="111" t="n"/>
      <c r="GO41" s="111" t="n"/>
      <c r="GP41" s="111" t="n"/>
      <c r="GQ41" s="111" t="n"/>
      <c r="GR41" s="111" t="n"/>
      <c r="GS41" s="111" t="n"/>
      <c r="GT41" s="111" t="n"/>
      <c r="GU41" s="111" t="n"/>
      <c r="GV41" s="111" t="n"/>
      <c r="GW41" s="111" t="n"/>
      <c r="GX41" s="111" t="n"/>
      <c r="GY41" s="111" t="n"/>
      <c r="GZ41" s="111" t="n"/>
      <c r="HA41" s="111" t="n"/>
      <c r="HB41" s="111" t="n"/>
      <c r="HC41" s="111" t="n"/>
      <c r="HD41" s="111" t="n"/>
      <c r="HE41" s="111" t="n"/>
      <c r="HF41" s="111" t="n"/>
      <c r="HG41" s="111" t="n"/>
      <c r="HH41" s="111" t="n"/>
      <c r="HI41" s="111" t="n"/>
      <c r="HJ41" s="111" t="n"/>
      <c r="HK41" s="111" t="n"/>
      <c r="HL41" s="111" t="n"/>
      <c r="HM41" s="111" t="n"/>
      <c r="HN41" s="111" t="n"/>
      <c r="HO41" s="111" t="n"/>
      <c r="HP41" s="111" t="n"/>
      <c r="HQ41" s="111" t="n"/>
      <c r="HR41" s="111" t="n"/>
      <c r="HS41" s="111" t="n"/>
      <c r="HT41" s="111" t="n"/>
      <c r="HU41" s="111" t="n"/>
      <c r="HV41" s="111" t="n"/>
      <c r="HW41" s="111" t="n"/>
      <c r="HX41" s="111" t="n"/>
      <c r="HY41" s="111" t="n"/>
      <c r="HZ41" s="111" t="n"/>
      <c r="IA41" s="111" t="n"/>
      <c r="IB41" s="111" t="n"/>
      <c r="IC41" s="111" t="n"/>
      <c r="ID41" s="111" t="n"/>
      <c r="IE41" s="111" t="n"/>
      <c r="IF41" s="111" t="n"/>
      <c r="IG41" s="111" t="n"/>
      <c r="IH41" s="111" t="n"/>
      <c r="II41" s="111" t="n"/>
      <c r="IJ41" s="111" t="n"/>
      <c r="IK41" s="111" t="n"/>
      <c r="IL41" s="111" t="n"/>
      <c r="IM41" s="111" t="n"/>
      <c r="IN41" s="111" t="n"/>
      <c r="IO41" s="111" t="n"/>
      <c r="IP41" s="111" t="n"/>
      <c r="IQ41" s="111" t="n"/>
      <c r="IR41" s="111" t="n"/>
      <c r="IS41" s="111" t="n"/>
      <c r="IT41" s="111" t="n"/>
      <c r="IU41" s="111" t="n"/>
      <c r="IV41" s="111" t="n"/>
      <c r="IW41" s="111" t="n"/>
      <c r="IX41" s="111" t="n"/>
      <c r="IY41" s="111" t="n"/>
      <c r="IZ41" s="111" t="n"/>
      <c r="JA41" s="111" t="n"/>
      <c r="JB41" s="111" t="n"/>
      <c r="JC41" s="111" t="n"/>
      <c r="JD41" s="111" t="n"/>
      <c r="JE41" s="111" t="n"/>
      <c r="JF41" s="111" t="n"/>
      <c r="JG41" s="111" t="n"/>
      <c r="JH41" s="111" t="n"/>
      <c r="JI41" s="111" t="n"/>
      <c r="JJ41" s="111" t="n"/>
      <c r="JK41" s="111" t="n"/>
      <c r="JL41" s="111" t="n"/>
      <c r="JM41" s="111" t="n"/>
      <c r="JN41" s="111" t="n"/>
      <c r="JO41" s="111" t="n"/>
      <c r="JP41" s="111" t="n"/>
      <c r="JQ41" s="111" t="n"/>
      <c r="JR41" s="111" t="n"/>
      <c r="JS41" s="111" t="n"/>
      <c r="JT41" s="111" t="n"/>
      <c r="JU41" s="111" t="n"/>
      <c r="JV41" s="111" t="n"/>
      <c r="JW41" s="111" t="n"/>
      <c r="JX41" s="111" t="n"/>
      <c r="JY41" s="111" t="n"/>
      <c r="JZ41" s="111" t="n"/>
      <c r="KA41" s="111" t="n"/>
      <c r="KB41" s="111" t="n"/>
      <c r="KC41" s="111" t="n"/>
      <c r="KD41" s="111" t="n"/>
      <c r="KE41" s="111" t="n"/>
      <c r="KF41" s="111" t="n"/>
      <c r="KG41" s="111" t="n"/>
      <c r="KH41" s="111" t="n"/>
      <c r="KI41" s="111" t="n"/>
      <c r="KJ41" s="111" t="n"/>
      <c r="KK41" s="111" t="n"/>
      <c r="KL41" s="111" t="n"/>
      <c r="KM41" s="111" t="n"/>
      <c r="KN41" s="111" t="n"/>
      <c r="KO41" s="111" t="n"/>
      <c r="KP41" s="111" t="n"/>
      <c r="KQ41" s="111" t="n"/>
      <c r="KR41" s="111" t="n"/>
      <c r="KS41" s="111" t="n"/>
      <c r="KT41" s="111" t="n"/>
      <c r="KU41" s="111" t="n"/>
      <c r="KV41" s="111" t="n"/>
      <c r="KW41" s="111" t="n"/>
      <c r="KX41" s="111" t="n"/>
      <c r="KY41" s="111" t="n"/>
      <c r="KZ41" s="111" t="n"/>
      <c r="LA41" s="111" t="n"/>
      <c r="LB41" s="111" t="n"/>
      <c r="LC41" s="111" t="n"/>
      <c r="LD41" s="111" t="n"/>
      <c r="LE41" s="111" t="n"/>
      <c r="LF41" s="111" t="n"/>
      <c r="LG41" s="111" t="n"/>
      <c r="LH41" s="111" t="n"/>
      <c r="LI41" s="111" t="n"/>
      <c r="LJ41" s="111" t="n"/>
      <c r="LK41" s="111" t="n"/>
      <c r="LL41" s="111" t="n"/>
      <c r="LM41" s="111" t="n"/>
      <c r="LN41" s="111" t="n"/>
      <c r="LO41" s="111" t="n"/>
      <c r="LP41" s="111" t="n"/>
      <c r="LQ41" s="111" t="n"/>
      <c r="LR41" s="111" t="n"/>
      <c r="LS41" s="111" t="n"/>
      <c r="LT41" s="111" t="n"/>
      <c r="LU41" s="111" t="n"/>
      <c r="LV41" s="111" t="n"/>
      <c r="LW41" s="111" t="n"/>
      <c r="LX41" s="111" t="n"/>
      <c r="LY41" s="111" t="n"/>
      <c r="LZ41" s="111" t="n"/>
      <c r="MA41" s="111" t="n"/>
      <c r="MB41" s="111" t="n"/>
      <c r="MC41" s="111" t="n"/>
      <c r="MD41" s="111" t="n"/>
      <c r="ME41" s="111" t="n"/>
      <c r="MF41" s="111" t="n"/>
      <c r="MG41" s="111" t="n"/>
      <c r="MH41" s="111" t="n"/>
      <c r="MI41" s="111" t="n"/>
      <c r="MJ41" s="111" t="n"/>
      <c r="MK41" s="111" t="n"/>
      <c r="ML41" s="111" t="n"/>
      <c r="MM41" s="111" t="n"/>
      <c r="MN41" s="111" t="n"/>
      <c r="MO41" s="111" t="n"/>
      <c r="MP41" s="111" t="n"/>
      <c r="MQ41" s="111" t="n"/>
      <c r="MR41" s="111" t="n"/>
      <c r="MS41" s="111" t="n"/>
      <c r="MT41" s="111" t="n"/>
      <c r="MU41" s="111" t="n"/>
      <c r="MV41" s="111" t="n"/>
      <c r="MW41" s="111" t="n"/>
      <c r="MX41" s="111" t="n"/>
      <c r="MY41" s="111" t="n"/>
      <c r="MZ41" s="111" t="n"/>
      <c r="NA41" s="111" t="n"/>
      <c r="NB41" s="111" t="n"/>
      <c r="NC41" s="111" t="n"/>
      <c r="ND41" s="111" t="n"/>
      <c r="NE41" s="111" t="n"/>
      <c r="NF41" s="111" t="n"/>
      <c r="NG41" s="111" t="n"/>
      <c r="NH41" s="111" t="n"/>
      <c r="NI41" s="111" t="n"/>
      <c r="NJ41" s="111" t="n"/>
      <c r="NK41" s="111" t="n"/>
      <c r="NL41" s="111" t="n"/>
      <c r="NM41" s="111" t="n"/>
      <c r="NN41" s="111" t="n"/>
      <c r="NO41" s="111" t="n"/>
    </row>
    <row r="42" customFormat="1" s="17">
      <c r="A42" s="33">
        <f>IF(ISERROR(VALUE(SUBSTITUTE(OFFSET(A42,-1,0,1,1),".",""))),"0.1",IF(ISERROR(FIND("`",SUBSTITUTE(OFFSET(A42,-1,0,1,1),".","`",1))),OFFSET(A42,-1,0,1,1)&amp;".1",LEFT(OFFSET(A42,-1,0,1,1),FIND("`",SUBSTITUTE(OFFSET(A42,-1,0,1,1),".","`",1)))&amp;IF(ISERROR(FIND("`",SUBSTITUTE(OFFSET(A42,-1,0,1,1),".","`",2))),VALUE(RIGHT(OFFSET(A42,-1,0,1,1),LEN(OFFSET(A42,-1,0,1,1))-FIND("`",SUBSTITUTE(OFFSET(A42,-1,0,1,1),".","`",1))))+1,VALUE(MID(OFFSET(A42,-1,0,1,1),FIND("`",SUBSTITUTE(OFFSET(A42,-1,0,1,1),".","`",1))+1,(FIND("`",SUBSTITUTE(OFFSET(A42,-1,0,1,1),".","`",2))-FIND("`",SUBSTITUTE(OFFSET(A42,-1,0,1,1),".","`",1))-1)))+1)))</f>
        <v/>
      </c>
      <c r="B42" s="10" t="inlineStr">
        <is>
          <t>[ Level 2 Task ]</t>
        </is>
      </c>
      <c r="C42" s="11" t="inlineStr">
        <is>
          <t>Jim</t>
        </is>
      </c>
      <c r="D42" s="37" t="n"/>
      <c r="E42" s="37" t="n"/>
      <c r="F42" s="37" t="n"/>
      <c r="G42" s="274">
        <f>WORKDAY(G41,1,holidays)</f>
        <v/>
      </c>
      <c r="H42" s="275">
        <f>IF(I42=0,G42,WORKDAY(IF(WEEKDAY(G42,1)=7,G42+2,IF(WEEKDAY(G42,1)=1,G42+1,G42)),I42-1,holidays))</f>
        <v/>
      </c>
      <c r="I42" s="79" t="n">
        <v>21</v>
      </c>
      <c r="J42" s="80" t="n"/>
      <c r="K42" s="15">
        <f>IF(OR(G42=0,H42=0),0,H42-G42+1)</f>
        <v/>
      </c>
      <c r="L42" s="15">
        <f>MIN(K42,WORKDAY(G42,ROUNDDOWN(J42*I42,0),holidays)-G42)</f>
        <v/>
      </c>
      <c r="M42" s="14">
        <f>K42-L42</f>
        <v/>
      </c>
      <c r="N42" s="105">
        <f>IFERROR( INDEX( lead_color, MATCH(C42, lead, 0) ), "")</f>
        <v/>
      </c>
      <c r="O42" s="17" t="n"/>
      <c r="P42" s="111" t="n"/>
      <c r="Q42" s="111" t="n"/>
      <c r="R42" s="111" t="n"/>
      <c r="S42" s="111" t="n"/>
      <c r="T42" s="111" t="n"/>
      <c r="U42" s="111" t="n"/>
      <c r="V42" s="111" t="n"/>
      <c r="W42" s="111" t="n"/>
      <c r="X42" s="111" t="n"/>
      <c r="Y42" s="111" t="n"/>
      <c r="Z42" s="111" t="n"/>
      <c r="AA42" s="111" t="n"/>
      <c r="AB42" s="111" t="n"/>
      <c r="AC42" s="111" t="n"/>
      <c r="AD42" s="111" t="n"/>
      <c r="AE42" s="111" t="n"/>
      <c r="AF42" s="111" t="n"/>
      <c r="AG42" s="111" t="n"/>
      <c r="AH42" s="111" t="n"/>
      <c r="AI42" s="111" t="n"/>
      <c r="AJ42" s="111" t="n"/>
      <c r="AK42" s="111" t="n"/>
      <c r="AL42" s="111" t="n"/>
      <c r="AM42" s="111" t="n"/>
      <c r="AN42" s="111" t="n"/>
      <c r="AO42" s="111" t="n"/>
      <c r="AP42" s="111" t="n"/>
      <c r="AQ42" s="111" t="n"/>
      <c r="AR42" s="111" t="n"/>
      <c r="AS42" s="111" t="n"/>
      <c r="AT42" s="111" t="n"/>
      <c r="AU42" s="111" t="n"/>
      <c r="AV42" s="111" t="n"/>
      <c r="AW42" s="111" t="n"/>
      <c r="AX42" s="111" t="n"/>
      <c r="AY42" s="111" t="n"/>
      <c r="AZ42" s="111"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1" t="n"/>
      <c r="CF42" s="111" t="n"/>
      <c r="CG42" s="111" t="n"/>
      <c r="CH42" s="111" t="n"/>
      <c r="CI42" s="111" t="n"/>
      <c r="CJ42" s="111" t="n"/>
      <c r="CK42" s="111" t="n"/>
      <c r="CL42" s="111" t="n"/>
      <c r="CM42" s="111" t="n"/>
      <c r="CN42" s="111" t="n"/>
      <c r="CO42" s="111" t="n"/>
      <c r="CP42" s="111" t="n"/>
      <c r="CQ42" s="111" t="n"/>
      <c r="CR42" s="111" t="n"/>
      <c r="CS42" s="111" t="n"/>
      <c r="CT42" s="111" t="n"/>
      <c r="CU42" s="111" t="n"/>
      <c r="CV42" s="111" t="n"/>
      <c r="CW42" s="111" t="n"/>
      <c r="CX42" s="111" t="n"/>
      <c r="CY42" s="111" t="n"/>
      <c r="CZ42" s="111" t="n"/>
      <c r="DA42" s="111" t="n"/>
      <c r="DB42" s="111" t="n"/>
      <c r="DC42" s="111" t="n"/>
      <c r="DD42" s="111" t="n"/>
      <c r="DE42" s="111" t="n"/>
      <c r="DF42" s="111" t="n"/>
      <c r="DG42" s="111" t="n"/>
      <c r="DH42" s="111" t="n"/>
      <c r="DI42" s="111" t="n"/>
      <c r="DJ42" s="111" t="n"/>
      <c r="DK42" s="111" t="n"/>
      <c r="DL42" s="111" t="n"/>
      <c r="DM42" s="111" t="n"/>
      <c r="DN42" s="111" t="n"/>
      <c r="DO42" s="111" t="n"/>
      <c r="DP42" s="111" t="n"/>
      <c r="DQ42" s="111" t="n"/>
      <c r="DR42" s="111" t="n"/>
      <c r="DS42" s="111" t="n"/>
      <c r="DT42" s="111" t="n"/>
      <c r="DU42" s="111" t="n"/>
      <c r="DV42" s="111" t="n"/>
      <c r="DW42" s="111" t="n"/>
      <c r="DX42" s="111" t="n"/>
      <c r="DY42" s="111" t="n"/>
      <c r="DZ42" s="111" t="n"/>
      <c r="EA42" s="111" t="n"/>
      <c r="EB42" s="111" t="n"/>
      <c r="EC42" s="111" t="n"/>
      <c r="ED42" s="111" t="n"/>
      <c r="EE42" s="111" t="n"/>
      <c r="EF42" s="111" t="n"/>
      <c r="EG42" s="111" t="n"/>
      <c r="EH42" s="111" t="n"/>
      <c r="EI42" s="111" t="n"/>
      <c r="EJ42" s="111" t="n"/>
      <c r="EK42" s="111" t="n"/>
      <c r="EL42" s="111" t="n"/>
      <c r="EM42" s="111" t="n"/>
      <c r="EN42" s="111" t="n"/>
      <c r="EO42" s="111" t="n"/>
      <c r="EP42" s="111" t="n"/>
      <c r="EQ42" s="111" t="n"/>
      <c r="ER42" s="111" t="n"/>
      <c r="ES42" s="111" t="n"/>
      <c r="ET42" s="111" t="n"/>
      <c r="EU42" s="111" t="n"/>
      <c r="EV42" s="111" t="n"/>
      <c r="EW42" s="111" t="n"/>
      <c r="EX42" s="111" t="n"/>
      <c r="EY42" s="111" t="n"/>
      <c r="EZ42" s="111" t="n"/>
      <c r="FA42" s="111" t="n"/>
      <c r="FB42" s="111" t="n"/>
      <c r="FC42" s="111" t="n"/>
      <c r="FD42" s="111" t="n"/>
      <c r="FE42" s="111" t="n"/>
      <c r="FF42" s="111" t="n"/>
      <c r="FG42" s="111" t="n"/>
      <c r="FH42" s="111" t="n"/>
      <c r="FI42" s="111" t="n"/>
      <c r="FJ42" s="111" t="n"/>
      <c r="FK42" s="111" t="n"/>
      <c r="FL42" s="111" t="n"/>
      <c r="FM42" s="111" t="n"/>
      <c r="FN42" s="111" t="n"/>
      <c r="FO42" s="111" t="n"/>
      <c r="FP42" s="111" t="n"/>
      <c r="FQ42" s="111" t="n"/>
      <c r="FR42" s="111" t="n"/>
      <c r="FS42" s="111" t="n"/>
      <c r="FT42" s="111" t="n"/>
      <c r="FU42" s="111" t="n"/>
      <c r="FV42" s="111" t="n"/>
      <c r="FW42" s="111" t="n"/>
      <c r="FX42" s="111" t="n"/>
      <c r="FY42" s="111" t="n"/>
      <c r="FZ42" s="111" t="n"/>
      <c r="GA42" s="111" t="n"/>
      <c r="GB42" s="111" t="n"/>
      <c r="GC42" s="111" t="n"/>
      <c r="GD42" s="111" t="n"/>
      <c r="GE42" s="111" t="n"/>
      <c r="GF42" s="111" t="n"/>
      <c r="GG42" s="111" t="n"/>
      <c r="GH42" s="111" t="n"/>
      <c r="GI42" s="111" t="n"/>
      <c r="GJ42" s="111" t="n"/>
      <c r="GK42" s="111" t="n"/>
      <c r="GL42" s="111" t="n"/>
      <c r="GM42" s="111" t="n"/>
      <c r="GN42" s="111" t="n"/>
      <c r="GO42" s="111" t="n"/>
      <c r="GP42" s="111" t="n"/>
      <c r="GQ42" s="111" t="n"/>
      <c r="GR42" s="111" t="n"/>
      <c r="GS42" s="111" t="n"/>
      <c r="GT42" s="111" t="n"/>
      <c r="GU42" s="111" t="n"/>
      <c r="GV42" s="111" t="n"/>
      <c r="GW42" s="111" t="n"/>
      <c r="GX42" s="111" t="n"/>
      <c r="GY42" s="111" t="n"/>
      <c r="GZ42" s="111" t="n"/>
      <c r="HA42" s="111" t="n"/>
      <c r="HB42" s="111" t="n"/>
      <c r="HC42" s="111" t="n"/>
      <c r="HD42" s="111" t="n"/>
      <c r="HE42" s="111" t="n"/>
      <c r="HF42" s="111" t="n"/>
      <c r="HG42" s="111" t="n"/>
      <c r="HH42" s="111" t="n"/>
      <c r="HI42" s="111" t="n"/>
      <c r="HJ42" s="111" t="n"/>
      <c r="HK42" s="111" t="n"/>
      <c r="HL42" s="111" t="n"/>
      <c r="HM42" s="111" t="n"/>
      <c r="HN42" s="111" t="n"/>
      <c r="HO42" s="111" t="n"/>
      <c r="HP42" s="111" t="n"/>
      <c r="HQ42" s="111" t="n"/>
      <c r="HR42" s="111" t="n"/>
      <c r="HS42" s="111" t="n"/>
      <c r="HT42" s="111" t="n"/>
      <c r="HU42" s="111" t="n"/>
      <c r="HV42" s="111" t="n"/>
      <c r="HW42" s="111" t="n"/>
      <c r="HX42" s="111" t="n"/>
      <c r="HY42" s="111" t="n"/>
      <c r="HZ42" s="111" t="n"/>
      <c r="IA42" s="111" t="n"/>
      <c r="IB42" s="111" t="n"/>
      <c r="IC42" s="111" t="n"/>
      <c r="ID42" s="111" t="n"/>
      <c r="IE42" s="111" t="n"/>
      <c r="IF42" s="111" t="n"/>
      <c r="IG42" s="111" t="n"/>
      <c r="IH42" s="111" t="n"/>
      <c r="II42" s="111" t="n"/>
      <c r="IJ42" s="111" t="n"/>
      <c r="IK42" s="111" t="n"/>
      <c r="IL42" s="111" t="n"/>
      <c r="IM42" s="111" t="n"/>
      <c r="IN42" s="111" t="n"/>
      <c r="IO42" s="111" t="n"/>
      <c r="IP42" s="111" t="n"/>
      <c r="IQ42" s="111" t="n"/>
      <c r="IR42" s="111" t="n"/>
      <c r="IS42" s="111" t="n"/>
      <c r="IT42" s="111" t="n"/>
      <c r="IU42" s="111" t="n"/>
      <c r="IV42" s="111" t="n"/>
      <c r="IW42" s="111" t="n"/>
      <c r="IX42" s="111" t="n"/>
      <c r="IY42" s="111" t="n"/>
      <c r="IZ42" s="111" t="n"/>
      <c r="JA42" s="111" t="n"/>
      <c r="JB42" s="111" t="n"/>
      <c r="JC42" s="111" t="n"/>
      <c r="JD42" s="111" t="n"/>
      <c r="JE42" s="111" t="n"/>
      <c r="JF42" s="111" t="n"/>
      <c r="JG42" s="111" t="n"/>
      <c r="JH42" s="111" t="n"/>
      <c r="JI42" s="111" t="n"/>
      <c r="JJ42" s="111" t="n"/>
      <c r="JK42" s="111" t="n"/>
      <c r="JL42" s="111" t="n"/>
      <c r="JM42" s="111" t="n"/>
      <c r="JN42" s="111" t="n"/>
      <c r="JO42" s="111" t="n"/>
      <c r="JP42" s="111" t="n"/>
      <c r="JQ42" s="111" t="n"/>
      <c r="JR42" s="111" t="n"/>
      <c r="JS42" s="111" t="n"/>
      <c r="JT42" s="111" t="n"/>
      <c r="JU42" s="111" t="n"/>
      <c r="JV42" s="111" t="n"/>
      <c r="JW42" s="111" t="n"/>
      <c r="JX42" s="111" t="n"/>
      <c r="JY42" s="111" t="n"/>
      <c r="JZ42" s="111" t="n"/>
      <c r="KA42" s="111" t="n"/>
      <c r="KB42" s="111" t="n"/>
      <c r="KC42" s="111" t="n"/>
      <c r="KD42" s="111" t="n"/>
      <c r="KE42" s="111" t="n"/>
      <c r="KF42" s="111" t="n"/>
      <c r="KG42" s="111" t="n"/>
      <c r="KH42" s="111" t="n"/>
      <c r="KI42" s="111" t="n"/>
      <c r="KJ42" s="111" t="n"/>
      <c r="KK42" s="111" t="n"/>
      <c r="KL42" s="111" t="n"/>
      <c r="KM42" s="111" t="n"/>
      <c r="KN42" s="111" t="n"/>
      <c r="KO42" s="111" t="n"/>
      <c r="KP42" s="111" t="n"/>
      <c r="KQ42" s="111" t="n"/>
      <c r="KR42" s="111" t="n"/>
      <c r="KS42" s="111" t="n"/>
      <c r="KT42" s="111" t="n"/>
      <c r="KU42" s="111" t="n"/>
      <c r="KV42" s="111" t="n"/>
      <c r="KW42" s="111" t="n"/>
      <c r="KX42" s="111" t="n"/>
      <c r="KY42" s="111" t="n"/>
      <c r="KZ42" s="111" t="n"/>
      <c r="LA42" s="111" t="n"/>
      <c r="LB42" s="111" t="n"/>
      <c r="LC42" s="111" t="n"/>
      <c r="LD42" s="111" t="n"/>
      <c r="LE42" s="111" t="n"/>
      <c r="LF42" s="111" t="n"/>
      <c r="LG42" s="111" t="n"/>
      <c r="LH42" s="111" t="n"/>
      <c r="LI42" s="111" t="n"/>
      <c r="LJ42" s="111" t="n"/>
      <c r="LK42" s="111" t="n"/>
      <c r="LL42" s="111" t="n"/>
      <c r="LM42" s="111" t="n"/>
      <c r="LN42" s="111" t="n"/>
      <c r="LO42" s="111" t="n"/>
      <c r="LP42" s="111" t="n"/>
      <c r="LQ42" s="111" t="n"/>
      <c r="LR42" s="111" t="n"/>
      <c r="LS42" s="111" t="n"/>
      <c r="LT42" s="111" t="n"/>
      <c r="LU42" s="111" t="n"/>
      <c r="LV42" s="111" t="n"/>
      <c r="LW42" s="111" t="n"/>
      <c r="LX42" s="111" t="n"/>
      <c r="LY42" s="111" t="n"/>
      <c r="LZ42" s="111" t="n"/>
      <c r="MA42" s="111" t="n"/>
      <c r="MB42" s="111" t="n"/>
      <c r="MC42" s="111" t="n"/>
      <c r="MD42" s="111" t="n"/>
      <c r="ME42" s="111" t="n"/>
      <c r="MF42" s="111" t="n"/>
      <c r="MG42" s="111" t="n"/>
      <c r="MH42" s="111" t="n"/>
      <c r="MI42" s="111" t="n"/>
      <c r="MJ42" s="111" t="n"/>
      <c r="MK42" s="111" t="n"/>
      <c r="ML42" s="111" t="n"/>
      <c r="MM42" s="111" t="n"/>
      <c r="MN42" s="111" t="n"/>
      <c r="MO42" s="111" t="n"/>
      <c r="MP42" s="111" t="n"/>
      <c r="MQ42" s="111" t="n"/>
      <c r="MR42" s="111" t="n"/>
      <c r="MS42" s="111" t="n"/>
      <c r="MT42" s="111" t="n"/>
      <c r="MU42" s="111" t="n"/>
      <c r="MV42" s="111" t="n"/>
      <c r="MW42" s="111" t="n"/>
      <c r="MX42" s="111" t="n"/>
      <c r="MY42" s="111" t="n"/>
      <c r="MZ42" s="111" t="n"/>
      <c r="NA42" s="111" t="n"/>
      <c r="NB42" s="111" t="n"/>
      <c r="NC42" s="111" t="n"/>
      <c r="ND42" s="111" t="n"/>
      <c r="NE42" s="111" t="n"/>
      <c r="NF42" s="111" t="n"/>
      <c r="NG42" s="111" t="n"/>
      <c r="NH42" s="111" t="n"/>
      <c r="NI42" s="111" t="n"/>
      <c r="NJ42" s="111" t="n"/>
      <c r="NK42" s="111" t="n"/>
      <c r="NL42" s="111" t="n"/>
      <c r="NM42" s="111" t="n"/>
      <c r="NN42" s="111" t="n"/>
      <c r="NO42" s="111" t="n"/>
    </row>
    <row r="43" customFormat="1" s="17">
      <c r="A43" s="33">
        <f>IF(ISERROR(VALUE(SUBSTITUTE(OFFSET(A43,-1,0,1,1),".",""))),"0.1",IF(ISERROR(FIND("`",SUBSTITUTE(OFFSET(A43,-1,0,1,1),".","`",1))),OFFSET(A43,-1,0,1,1)&amp;".1",LEFT(OFFSET(A43,-1,0,1,1),FIND("`",SUBSTITUTE(OFFSET(A43,-1,0,1,1),".","`",1)))&amp;IF(ISERROR(FIND("`",SUBSTITUTE(OFFSET(A43,-1,0,1,1),".","`",2))),VALUE(RIGHT(OFFSET(A43,-1,0,1,1),LEN(OFFSET(A43,-1,0,1,1))-FIND("`",SUBSTITUTE(OFFSET(A43,-1,0,1,1),".","`",1))))+1,VALUE(MID(OFFSET(A43,-1,0,1,1),FIND("`",SUBSTITUTE(OFFSET(A43,-1,0,1,1),".","`",1))+1,(FIND("`",SUBSTITUTE(OFFSET(A43,-1,0,1,1),".","`",2))-FIND("`",SUBSTITUTE(OFFSET(A43,-1,0,1,1),".","`",1))-1)))+1)))</f>
        <v/>
      </c>
      <c r="B43" s="10" t="inlineStr">
        <is>
          <t>[ Level 2 Task ]</t>
        </is>
      </c>
      <c r="C43" s="11" t="inlineStr">
        <is>
          <t>Sarah</t>
        </is>
      </c>
      <c r="D43" s="37" t="n"/>
      <c r="E43" s="37" t="n"/>
      <c r="F43" s="37" t="n"/>
      <c r="G43" s="274">
        <f>WORKDAY(G42,1,holidays)</f>
        <v/>
      </c>
      <c r="H43" s="275">
        <f>IF(I43=0,G43,WORKDAY(IF(WEEKDAY(G43,1)=7,G43+2,IF(WEEKDAY(G43,1)=1,G43+1,G43)),I43-1,holidays))</f>
        <v/>
      </c>
      <c r="I43" s="79" t="n">
        <v>21</v>
      </c>
      <c r="J43" s="80" t="n"/>
      <c r="K43" s="15">
        <f>IF(OR(G43=0,H43=0),0,H43-G43+1)</f>
        <v/>
      </c>
      <c r="L43" s="15">
        <f>MIN(K43,WORKDAY(G43,ROUNDDOWN(J43*I43,0),holidays)-G43)</f>
        <v/>
      </c>
      <c r="M43" s="14">
        <f>K43-L43</f>
        <v/>
      </c>
      <c r="N43" s="105">
        <f>IFERROR( INDEX( lead_color, MATCH(C43, lead, 0) ), "")</f>
        <v/>
      </c>
      <c r="O43" s="17" t="n"/>
      <c r="P43" s="111" t="n"/>
      <c r="Q43" s="111" t="n"/>
      <c r="R43" s="111" t="n"/>
      <c r="S43" s="111" t="n"/>
      <c r="T43" s="111" t="n"/>
      <c r="U43" s="111" t="n"/>
      <c r="V43" s="111" t="n"/>
      <c r="W43" s="111" t="n"/>
      <c r="X43" s="111" t="n"/>
      <c r="Y43" s="111" t="n"/>
      <c r="Z43" s="111" t="n"/>
      <c r="AA43" s="111" t="n"/>
      <c r="AB43" s="111" t="n"/>
      <c r="AC43" s="111" t="n"/>
      <c r="AD43" s="111" t="n"/>
      <c r="AE43" s="111" t="n"/>
      <c r="AF43" s="111" t="n"/>
      <c r="AG43" s="111" t="n"/>
      <c r="AH43" s="111" t="n"/>
      <c r="AI43" s="111" t="n"/>
      <c r="AJ43" s="111" t="n"/>
      <c r="AK43" s="111" t="n"/>
      <c r="AL43" s="111" t="n"/>
      <c r="AM43" s="111" t="n"/>
      <c r="AN43" s="111" t="n"/>
      <c r="AO43" s="111" t="n"/>
      <c r="AP43" s="111" t="n"/>
      <c r="AQ43" s="111" t="n"/>
      <c r="AR43" s="111" t="n"/>
      <c r="AS43" s="111" t="n"/>
      <c r="AT43" s="111" t="n"/>
      <c r="AU43" s="111" t="n"/>
      <c r="AV43" s="111" t="n"/>
      <c r="AW43" s="111" t="n"/>
      <c r="AX43" s="111" t="n"/>
      <c r="AY43" s="111" t="n"/>
      <c r="AZ43" s="111"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1" t="n"/>
      <c r="CF43" s="111" t="n"/>
      <c r="CG43" s="111" t="n"/>
      <c r="CH43" s="111" t="n"/>
      <c r="CI43" s="111" t="n"/>
      <c r="CJ43" s="111" t="n"/>
      <c r="CK43" s="111" t="n"/>
      <c r="CL43" s="111" t="n"/>
      <c r="CM43" s="111" t="n"/>
      <c r="CN43" s="111" t="n"/>
      <c r="CO43" s="111" t="n"/>
      <c r="CP43" s="111" t="n"/>
      <c r="CQ43" s="111" t="n"/>
      <c r="CR43" s="111" t="n"/>
      <c r="CS43" s="111" t="n"/>
      <c r="CT43" s="111" t="n"/>
      <c r="CU43" s="111" t="n"/>
      <c r="CV43" s="111" t="n"/>
      <c r="CW43" s="111" t="n"/>
      <c r="CX43" s="111" t="n"/>
      <c r="CY43" s="111" t="n"/>
      <c r="CZ43" s="111" t="n"/>
      <c r="DA43" s="111" t="n"/>
      <c r="DB43" s="111" t="n"/>
      <c r="DC43" s="111" t="n"/>
      <c r="DD43" s="111" t="n"/>
      <c r="DE43" s="111" t="n"/>
      <c r="DF43" s="111" t="n"/>
      <c r="DG43" s="111" t="n"/>
      <c r="DH43" s="111" t="n"/>
      <c r="DI43" s="111" t="n"/>
      <c r="DJ43" s="111" t="n"/>
      <c r="DK43" s="111" t="n"/>
      <c r="DL43" s="111" t="n"/>
      <c r="DM43" s="111" t="n"/>
      <c r="DN43" s="111" t="n"/>
      <c r="DO43" s="111" t="n"/>
      <c r="DP43" s="111" t="n"/>
      <c r="DQ43" s="111" t="n"/>
      <c r="DR43" s="111" t="n"/>
      <c r="DS43" s="111" t="n"/>
      <c r="DT43" s="111" t="n"/>
      <c r="DU43" s="111" t="n"/>
      <c r="DV43" s="111" t="n"/>
      <c r="DW43" s="111" t="n"/>
      <c r="DX43" s="111" t="n"/>
      <c r="DY43" s="111" t="n"/>
      <c r="DZ43" s="111" t="n"/>
      <c r="EA43" s="111" t="n"/>
      <c r="EB43" s="111" t="n"/>
      <c r="EC43" s="111" t="n"/>
      <c r="ED43" s="111" t="n"/>
      <c r="EE43" s="111" t="n"/>
      <c r="EF43" s="111" t="n"/>
      <c r="EG43" s="111" t="n"/>
      <c r="EH43" s="111" t="n"/>
      <c r="EI43" s="111" t="n"/>
      <c r="EJ43" s="111" t="n"/>
      <c r="EK43" s="111" t="n"/>
      <c r="EL43" s="111" t="n"/>
      <c r="EM43" s="111" t="n"/>
      <c r="EN43" s="111" t="n"/>
      <c r="EO43" s="111" t="n"/>
      <c r="EP43" s="111" t="n"/>
      <c r="EQ43" s="111" t="n"/>
      <c r="ER43" s="111" t="n"/>
      <c r="ES43" s="111" t="n"/>
      <c r="ET43" s="111" t="n"/>
      <c r="EU43" s="111" t="n"/>
      <c r="EV43" s="111" t="n"/>
      <c r="EW43" s="111" t="n"/>
      <c r="EX43" s="111" t="n"/>
      <c r="EY43" s="111" t="n"/>
      <c r="EZ43" s="111" t="n"/>
      <c r="FA43" s="111" t="n"/>
      <c r="FB43" s="111" t="n"/>
      <c r="FC43" s="111" t="n"/>
      <c r="FD43" s="111" t="n"/>
      <c r="FE43" s="111" t="n"/>
      <c r="FF43" s="111" t="n"/>
      <c r="FG43" s="111" t="n"/>
      <c r="FH43" s="111" t="n"/>
      <c r="FI43" s="111" t="n"/>
      <c r="FJ43" s="111" t="n"/>
      <c r="FK43" s="111" t="n"/>
      <c r="FL43" s="111" t="n"/>
      <c r="FM43" s="111" t="n"/>
      <c r="FN43" s="111" t="n"/>
      <c r="FO43" s="111" t="n"/>
      <c r="FP43" s="111" t="n"/>
      <c r="FQ43" s="111" t="n"/>
      <c r="FR43" s="111" t="n"/>
      <c r="FS43" s="111" t="n"/>
      <c r="FT43" s="111" t="n"/>
      <c r="FU43" s="111" t="n"/>
      <c r="FV43" s="111" t="n"/>
      <c r="FW43" s="111" t="n"/>
      <c r="FX43" s="111" t="n"/>
      <c r="FY43" s="111" t="n"/>
      <c r="FZ43" s="111" t="n"/>
      <c r="GA43" s="111" t="n"/>
      <c r="GB43" s="111" t="n"/>
      <c r="GC43" s="111" t="n"/>
      <c r="GD43" s="111" t="n"/>
      <c r="GE43" s="111" t="n"/>
      <c r="GF43" s="111" t="n"/>
      <c r="GG43" s="111" t="n"/>
      <c r="GH43" s="111" t="n"/>
      <c r="GI43" s="111" t="n"/>
      <c r="GJ43" s="111" t="n"/>
      <c r="GK43" s="111" t="n"/>
      <c r="GL43" s="111" t="n"/>
      <c r="GM43" s="111" t="n"/>
      <c r="GN43" s="111" t="n"/>
      <c r="GO43" s="111" t="n"/>
      <c r="GP43" s="111" t="n"/>
      <c r="GQ43" s="111" t="n"/>
      <c r="GR43" s="111" t="n"/>
      <c r="GS43" s="111" t="n"/>
      <c r="GT43" s="111" t="n"/>
      <c r="GU43" s="111" t="n"/>
      <c r="GV43" s="111" t="n"/>
      <c r="GW43" s="111" t="n"/>
      <c r="GX43" s="111" t="n"/>
      <c r="GY43" s="111" t="n"/>
      <c r="GZ43" s="111" t="n"/>
      <c r="HA43" s="111" t="n"/>
      <c r="HB43" s="111" t="n"/>
      <c r="HC43" s="111" t="n"/>
      <c r="HD43" s="111" t="n"/>
      <c r="HE43" s="111" t="n"/>
      <c r="HF43" s="111" t="n"/>
      <c r="HG43" s="111" t="n"/>
      <c r="HH43" s="111" t="n"/>
      <c r="HI43" s="111" t="n"/>
      <c r="HJ43" s="111" t="n"/>
      <c r="HK43" s="111" t="n"/>
      <c r="HL43" s="111" t="n"/>
      <c r="HM43" s="111" t="n"/>
      <c r="HN43" s="111" t="n"/>
      <c r="HO43" s="111" t="n"/>
      <c r="HP43" s="111" t="n"/>
      <c r="HQ43" s="111" t="n"/>
      <c r="HR43" s="111" t="n"/>
      <c r="HS43" s="111" t="n"/>
      <c r="HT43" s="111" t="n"/>
      <c r="HU43" s="111" t="n"/>
      <c r="HV43" s="111" t="n"/>
      <c r="HW43" s="111" t="n"/>
      <c r="HX43" s="111" t="n"/>
      <c r="HY43" s="111" t="n"/>
      <c r="HZ43" s="111" t="n"/>
      <c r="IA43" s="111" t="n"/>
      <c r="IB43" s="111" t="n"/>
      <c r="IC43" s="111" t="n"/>
      <c r="ID43" s="111" t="n"/>
      <c r="IE43" s="111" t="n"/>
      <c r="IF43" s="111" t="n"/>
      <c r="IG43" s="111" t="n"/>
      <c r="IH43" s="111" t="n"/>
      <c r="II43" s="111" t="n"/>
      <c r="IJ43" s="111" t="n"/>
      <c r="IK43" s="111" t="n"/>
      <c r="IL43" s="111" t="n"/>
      <c r="IM43" s="111" t="n"/>
      <c r="IN43" s="111" t="n"/>
      <c r="IO43" s="111" t="n"/>
      <c r="IP43" s="111" t="n"/>
      <c r="IQ43" s="111" t="n"/>
      <c r="IR43" s="111" t="n"/>
      <c r="IS43" s="111" t="n"/>
      <c r="IT43" s="111" t="n"/>
      <c r="IU43" s="111" t="n"/>
      <c r="IV43" s="111" t="n"/>
      <c r="IW43" s="111" t="n"/>
      <c r="IX43" s="111" t="n"/>
      <c r="IY43" s="111" t="n"/>
      <c r="IZ43" s="111" t="n"/>
      <c r="JA43" s="111" t="n"/>
      <c r="JB43" s="111" t="n"/>
      <c r="JC43" s="111" t="n"/>
      <c r="JD43" s="111" t="n"/>
      <c r="JE43" s="111" t="n"/>
      <c r="JF43" s="111" t="n"/>
      <c r="JG43" s="111" t="n"/>
      <c r="JH43" s="111" t="n"/>
      <c r="JI43" s="111" t="n"/>
      <c r="JJ43" s="111" t="n"/>
      <c r="JK43" s="111" t="n"/>
      <c r="JL43" s="111" t="n"/>
      <c r="JM43" s="111" t="n"/>
      <c r="JN43" s="111" t="n"/>
      <c r="JO43" s="111" t="n"/>
      <c r="JP43" s="111" t="n"/>
      <c r="JQ43" s="111" t="n"/>
      <c r="JR43" s="111" t="n"/>
      <c r="JS43" s="111" t="n"/>
      <c r="JT43" s="111" t="n"/>
      <c r="JU43" s="111" t="n"/>
      <c r="JV43" s="111" t="n"/>
      <c r="JW43" s="111" t="n"/>
      <c r="JX43" s="111" t="n"/>
      <c r="JY43" s="111" t="n"/>
      <c r="JZ43" s="111" t="n"/>
      <c r="KA43" s="111" t="n"/>
      <c r="KB43" s="111" t="n"/>
      <c r="KC43" s="111" t="n"/>
      <c r="KD43" s="111" t="n"/>
      <c r="KE43" s="111" t="n"/>
      <c r="KF43" s="111" t="n"/>
      <c r="KG43" s="111" t="n"/>
      <c r="KH43" s="111" t="n"/>
      <c r="KI43" s="111" t="n"/>
      <c r="KJ43" s="111" t="n"/>
      <c r="KK43" s="111" t="n"/>
      <c r="KL43" s="111" t="n"/>
      <c r="KM43" s="111" t="n"/>
      <c r="KN43" s="111" t="n"/>
      <c r="KO43" s="111" t="n"/>
      <c r="KP43" s="111" t="n"/>
      <c r="KQ43" s="111" t="n"/>
      <c r="KR43" s="111" t="n"/>
      <c r="KS43" s="111" t="n"/>
      <c r="KT43" s="111" t="n"/>
      <c r="KU43" s="111" t="n"/>
      <c r="KV43" s="111" t="n"/>
      <c r="KW43" s="111" t="n"/>
      <c r="KX43" s="111" t="n"/>
      <c r="KY43" s="111" t="n"/>
      <c r="KZ43" s="111" t="n"/>
      <c r="LA43" s="111" t="n"/>
      <c r="LB43" s="111" t="n"/>
      <c r="LC43" s="111" t="n"/>
      <c r="LD43" s="111" t="n"/>
      <c r="LE43" s="111" t="n"/>
      <c r="LF43" s="111" t="n"/>
      <c r="LG43" s="111" t="n"/>
      <c r="LH43" s="111" t="n"/>
      <c r="LI43" s="111" t="n"/>
      <c r="LJ43" s="111" t="n"/>
      <c r="LK43" s="111" t="n"/>
      <c r="LL43" s="111" t="n"/>
      <c r="LM43" s="111" t="n"/>
      <c r="LN43" s="111" t="n"/>
      <c r="LO43" s="111" t="n"/>
      <c r="LP43" s="111" t="n"/>
      <c r="LQ43" s="111" t="n"/>
      <c r="LR43" s="111" t="n"/>
      <c r="LS43" s="111" t="n"/>
      <c r="LT43" s="111" t="n"/>
      <c r="LU43" s="111" t="n"/>
      <c r="LV43" s="111" t="n"/>
      <c r="LW43" s="111" t="n"/>
      <c r="LX43" s="111" t="n"/>
      <c r="LY43" s="111" t="n"/>
      <c r="LZ43" s="111" t="n"/>
      <c r="MA43" s="111" t="n"/>
      <c r="MB43" s="111" t="n"/>
      <c r="MC43" s="111" t="n"/>
      <c r="MD43" s="111" t="n"/>
      <c r="ME43" s="111" t="n"/>
      <c r="MF43" s="111" t="n"/>
      <c r="MG43" s="111" t="n"/>
      <c r="MH43" s="111" t="n"/>
      <c r="MI43" s="111" t="n"/>
      <c r="MJ43" s="111" t="n"/>
      <c r="MK43" s="111" t="n"/>
      <c r="ML43" s="111" t="n"/>
      <c r="MM43" s="111" t="n"/>
      <c r="MN43" s="111" t="n"/>
      <c r="MO43" s="111" t="n"/>
      <c r="MP43" s="111" t="n"/>
      <c r="MQ43" s="111" t="n"/>
      <c r="MR43" s="111" t="n"/>
      <c r="MS43" s="111" t="n"/>
      <c r="MT43" s="111" t="n"/>
      <c r="MU43" s="111" t="n"/>
      <c r="MV43" s="111" t="n"/>
      <c r="MW43" s="111" t="n"/>
      <c r="MX43" s="111" t="n"/>
      <c r="MY43" s="111" t="n"/>
      <c r="MZ43" s="111" t="n"/>
      <c r="NA43" s="111" t="n"/>
      <c r="NB43" s="111" t="n"/>
      <c r="NC43" s="111" t="n"/>
      <c r="ND43" s="111" t="n"/>
      <c r="NE43" s="111" t="n"/>
      <c r="NF43" s="111" t="n"/>
      <c r="NG43" s="111" t="n"/>
      <c r="NH43" s="111" t="n"/>
      <c r="NI43" s="111" t="n"/>
      <c r="NJ43" s="111" t="n"/>
      <c r="NK43" s="111" t="n"/>
      <c r="NL43" s="111" t="n"/>
      <c r="NM43" s="111" t="n"/>
      <c r="NN43" s="111" t="n"/>
      <c r="NO43" s="111" t="n"/>
    </row>
    <row r="44" customFormat="1" s="17">
      <c r="A44" s="33">
        <f>IF(ISERROR(VALUE(SUBSTITUTE(OFFSET(A44,-1,0,1,1),".",""))),"0.1",IF(ISERROR(FIND("`",SUBSTITUTE(OFFSET(A44,-1,0,1,1),".","`",1))),OFFSET(A44,-1,0,1,1)&amp;".1",LEFT(OFFSET(A44,-1,0,1,1),FIND("`",SUBSTITUTE(OFFSET(A44,-1,0,1,1),".","`",1)))&amp;IF(ISERROR(FIND("`",SUBSTITUTE(OFFSET(A44,-1,0,1,1),".","`",2))),VALUE(RIGHT(OFFSET(A44,-1,0,1,1),LEN(OFFSET(A44,-1,0,1,1))-FIND("`",SUBSTITUTE(OFFSET(A44,-1,0,1,1),".","`",1))))+1,VALUE(MID(OFFSET(A44,-1,0,1,1),FIND("`",SUBSTITUTE(OFFSET(A44,-1,0,1,1),".","`",1))+1,(FIND("`",SUBSTITUTE(OFFSET(A44,-1,0,1,1),".","`",2))-FIND("`",SUBSTITUTE(OFFSET(A44,-1,0,1,1),".","`",1))-1)))+1)))</f>
        <v/>
      </c>
      <c r="B44" s="10" t="inlineStr">
        <is>
          <t>[ Level 2 Task ]</t>
        </is>
      </c>
      <c r="C44" s="11" t="inlineStr">
        <is>
          <t>Bill</t>
        </is>
      </c>
      <c r="D44" s="37" t="n"/>
      <c r="E44" s="37" t="n"/>
      <c r="F44" s="37" t="n"/>
      <c r="G44" s="274">
        <f>WORKDAY(G43,1,holidays)</f>
        <v/>
      </c>
      <c r="H44" s="275">
        <f>IF(I44=0,G44,WORKDAY(IF(WEEKDAY(G44,1)=7,G44+2,IF(WEEKDAY(G44,1)=1,G44+1,G44)),I44-1,holidays))</f>
        <v/>
      </c>
      <c r="I44" s="79" t="n">
        <v>21</v>
      </c>
      <c r="J44" s="80" t="n"/>
      <c r="K44" s="15">
        <f>IF(OR(G44=0,H44=0),0,H44-G44+1)</f>
        <v/>
      </c>
      <c r="L44" s="15">
        <f>MIN(K44,WORKDAY(G44,ROUNDDOWN(J44*I44,0),holidays)-G44)</f>
        <v/>
      </c>
      <c r="M44" s="14">
        <f>K44-L44</f>
        <v/>
      </c>
      <c r="N44" s="105">
        <f>IFERROR( INDEX( lead_color, MATCH(C44, lead, 0) ), "")</f>
        <v/>
      </c>
      <c r="O44" s="17" t="n"/>
      <c r="P44" s="111" t="n"/>
      <c r="Q44" s="111"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1" t="n"/>
      <c r="CF44" s="111" t="n"/>
      <c r="CG44" s="111" t="n"/>
      <c r="CH44" s="111" t="n"/>
      <c r="CI44" s="111" t="n"/>
      <c r="CJ44" s="111" t="n"/>
      <c r="CK44" s="111" t="n"/>
      <c r="CL44" s="111" t="n"/>
      <c r="CM44" s="111" t="n"/>
      <c r="CN44" s="111" t="n"/>
      <c r="CO44" s="111" t="n"/>
      <c r="CP44" s="111" t="n"/>
      <c r="CQ44" s="111" t="n"/>
      <c r="CR44" s="111" t="n"/>
      <c r="CS44" s="111" t="n"/>
      <c r="CT44" s="111" t="n"/>
      <c r="CU44" s="111" t="n"/>
      <c r="CV44" s="111" t="n"/>
      <c r="CW44" s="111" t="n"/>
      <c r="CX44" s="111" t="n"/>
      <c r="CY44" s="111" t="n"/>
      <c r="CZ44" s="111" t="n"/>
      <c r="DA44" s="111" t="n"/>
      <c r="DB44" s="111" t="n"/>
      <c r="DC44" s="111" t="n"/>
      <c r="DD44" s="111" t="n"/>
      <c r="DE44" s="111" t="n"/>
      <c r="DF44" s="111" t="n"/>
      <c r="DG44" s="111" t="n"/>
      <c r="DH44" s="111" t="n"/>
      <c r="DI44" s="111" t="n"/>
      <c r="DJ44" s="111" t="n"/>
      <c r="DK44" s="111" t="n"/>
      <c r="DL44" s="111" t="n"/>
      <c r="DM44" s="111" t="n"/>
      <c r="DN44" s="111" t="n"/>
      <c r="DO44" s="111" t="n"/>
      <c r="DP44" s="111" t="n"/>
      <c r="DQ44" s="111" t="n"/>
      <c r="DR44" s="111" t="n"/>
      <c r="DS44" s="111" t="n"/>
      <c r="DT44" s="111" t="n"/>
      <c r="DU44" s="111" t="n"/>
      <c r="DV44" s="111" t="n"/>
      <c r="DW44" s="111" t="n"/>
      <c r="DX44" s="111" t="n"/>
      <c r="DY44" s="111" t="n"/>
      <c r="DZ44" s="111" t="n"/>
      <c r="EA44" s="111" t="n"/>
      <c r="EB44" s="111" t="n"/>
      <c r="EC44" s="111" t="n"/>
      <c r="ED44" s="111" t="n"/>
      <c r="EE44" s="111" t="n"/>
      <c r="EF44" s="111" t="n"/>
      <c r="EG44" s="111" t="n"/>
      <c r="EH44" s="111" t="n"/>
      <c r="EI44" s="111" t="n"/>
      <c r="EJ44" s="111" t="n"/>
      <c r="EK44" s="111" t="n"/>
      <c r="EL44" s="111" t="n"/>
      <c r="EM44" s="111" t="n"/>
      <c r="EN44" s="111" t="n"/>
      <c r="EO44" s="111" t="n"/>
      <c r="EP44" s="111" t="n"/>
      <c r="EQ44" s="111" t="n"/>
      <c r="ER44" s="111" t="n"/>
      <c r="ES44" s="111" t="n"/>
      <c r="ET44" s="111" t="n"/>
      <c r="EU44" s="111" t="n"/>
      <c r="EV44" s="111" t="n"/>
      <c r="EW44" s="111" t="n"/>
      <c r="EX44" s="111" t="n"/>
      <c r="EY44" s="111" t="n"/>
      <c r="EZ44" s="111" t="n"/>
      <c r="FA44" s="111" t="n"/>
      <c r="FB44" s="111" t="n"/>
      <c r="FC44" s="111" t="n"/>
      <c r="FD44" s="111" t="n"/>
      <c r="FE44" s="111" t="n"/>
      <c r="FF44" s="111" t="n"/>
      <c r="FG44" s="111" t="n"/>
      <c r="FH44" s="111" t="n"/>
      <c r="FI44" s="111" t="n"/>
      <c r="FJ44" s="111" t="n"/>
      <c r="FK44" s="111" t="n"/>
      <c r="FL44" s="111" t="n"/>
      <c r="FM44" s="111" t="n"/>
      <c r="FN44" s="111" t="n"/>
      <c r="FO44" s="111" t="n"/>
      <c r="FP44" s="111" t="n"/>
      <c r="FQ44" s="111" t="n"/>
      <c r="FR44" s="111" t="n"/>
      <c r="FS44" s="111" t="n"/>
      <c r="FT44" s="111" t="n"/>
      <c r="FU44" s="111" t="n"/>
      <c r="FV44" s="111" t="n"/>
      <c r="FW44" s="111" t="n"/>
      <c r="FX44" s="111" t="n"/>
      <c r="FY44" s="111" t="n"/>
      <c r="FZ44" s="111" t="n"/>
      <c r="GA44" s="111" t="n"/>
      <c r="GB44" s="111" t="n"/>
      <c r="GC44" s="111" t="n"/>
      <c r="GD44" s="111" t="n"/>
      <c r="GE44" s="111" t="n"/>
      <c r="GF44" s="111" t="n"/>
      <c r="GG44" s="111" t="n"/>
      <c r="GH44" s="111" t="n"/>
      <c r="GI44" s="111" t="n"/>
      <c r="GJ44" s="111" t="n"/>
      <c r="GK44" s="111" t="n"/>
      <c r="GL44" s="111" t="n"/>
      <c r="GM44" s="111" t="n"/>
      <c r="GN44" s="111" t="n"/>
      <c r="GO44" s="111" t="n"/>
      <c r="GP44" s="111" t="n"/>
      <c r="GQ44" s="111" t="n"/>
      <c r="GR44" s="111" t="n"/>
      <c r="GS44" s="111" t="n"/>
      <c r="GT44" s="111" t="n"/>
      <c r="GU44" s="111" t="n"/>
      <c r="GV44" s="111" t="n"/>
      <c r="GW44" s="111" t="n"/>
      <c r="GX44" s="111" t="n"/>
      <c r="GY44" s="111" t="n"/>
      <c r="GZ44" s="111" t="n"/>
      <c r="HA44" s="111" t="n"/>
      <c r="HB44" s="111" t="n"/>
      <c r="HC44" s="111" t="n"/>
      <c r="HD44" s="111" t="n"/>
      <c r="HE44" s="111" t="n"/>
      <c r="HF44" s="111" t="n"/>
      <c r="HG44" s="111" t="n"/>
      <c r="HH44" s="111" t="n"/>
      <c r="HI44" s="111" t="n"/>
      <c r="HJ44" s="111" t="n"/>
      <c r="HK44" s="111" t="n"/>
      <c r="HL44" s="111" t="n"/>
      <c r="HM44" s="111" t="n"/>
      <c r="HN44" s="111" t="n"/>
      <c r="HO44" s="111" t="n"/>
      <c r="HP44" s="111" t="n"/>
      <c r="HQ44" s="111" t="n"/>
      <c r="HR44" s="111" t="n"/>
      <c r="HS44" s="111" t="n"/>
      <c r="HT44" s="111" t="n"/>
      <c r="HU44" s="111" t="n"/>
      <c r="HV44" s="111" t="n"/>
      <c r="HW44" s="111" t="n"/>
      <c r="HX44" s="111" t="n"/>
      <c r="HY44" s="111" t="n"/>
      <c r="HZ44" s="111" t="n"/>
      <c r="IA44" s="111" t="n"/>
      <c r="IB44" s="111" t="n"/>
      <c r="IC44" s="111" t="n"/>
      <c r="ID44" s="111" t="n"/>
      <c r="IE44" s="111" t="n"/>
      <c r="IF44" s="111" t="n"/>
      <c r="IG44" s="111" t="n"/>
      <c r="IH44" s="111" t="n"/>
      <c r="II44" s="111" t="n"/>
      <c r="IJ44" s="111" t="n"/>
      <c r="IK44" s="111" t="n"/>
      <c r="IL44" s="111" t="n"/>
      <c r="IM44" s="111" t="n"/>
      <c r="IN44" s="111" t="n"/>
      <c r="IO44" s="111" t="n"/>
      <c r="IP44" s="111" t="n"/>
      <c r="IQ44" s="111" t="n"/>
      <c r="IR44" s="111" t="n"/>
      <c r="IS44" s="111" t="n"/>
      <c r="IT44" s="111" t="n"/>
      <c r="IU44" s="111" t="n"/>
      <c r="IV44" s="111" t="n"/>
      <c r="IW44" s="111" t="n"/>
      <c r="IX44" s="111" t="n"/>
      <c r="IY44" s="111" t="n"/>
      <c r="IZ44" s="111" t="n"/>
      <c r="JA44" s="111" t="n"/>
      <c r="JB44" s="111" t="n"/>
      <c r="JC44" s="111" t="n"/>
      <c r="JD44" s="111" t="n"/>
      <c r="JE44" s="111" t="n"/>
      <c r="JF44" s="111" t="n"/>
      <c r="JG44" s="111" t="n"/>
      <c r="JH44" s="111" t="n"/>
      <c r="JI44" s="111" t="n"/>
      <c r="JJ44" s="111" t="n"/>
      <c r="JK44" s="111" t="n"/>
      <c r="JL44" s="111" t="n"/>
      <c r="JM44" s="111" t="n"/>
      <c r="JN44" s="111" t="n"/>
      <c r="JO44" s="111" t="n"/>
      <c r="JP44" s="111" t="n"/>
      <c r="JQ44" s="111" t="n"/>
      <c r="JR44" s="111" t="n"/>
      <c r="JS44" s="111" t="n"/>
      <c r="JT44" s="111" t="n"/>
      <c r="JU44" s="111" t="n"/>
      <c r="JV44" s="111" t="n"/>
      <c r="JW44" s="111" t="n"/>
      <c r="JX44" s="111" t="n"/>
      <c r="JY44" s="111" t="n"/>
      <c r="JZ44" s="111" t="n"/>
      <c r="KA44" s="111" t="n"/>
      <c r="KB44" s="111" t="n"/>
      <c r="KC44" s="111" t="n"/>
      <c r="KD44" s="111" t="n"/>
      <c r="KE44" s="111" t="n"/>
      <c r="KF44" s="111" t="n"/>
      <c r="KG44" s="111" t="n"/>
      <c r="KH44" s="111" t="n"/>
      <c r="KI44" s="111" t="n"/>
      <c r="KJ44" s="111" t="n"/>
      <c r="KK44" s="111" t="n"/>
      <c r="KL44" s="111" t="n"/>
      <c r="KM44" s="111" t="n"/>
      <c r="KN44" s="111" t="n"/>
      <c r="KO44" s="111" t="n"/>
      <c r="KP44" s="111" t="n"/>
      <c r="KQ44" s="111" t="n"/>
      <c r="KR44" s="111" t="n"/>
      <c r="KS44" s="111" t="n"/>
      <c r="KT44" s="111" t="n"/>
      <c r="KU44" s="111" t="n"/>
      <c r="KV44" s="111" t="n"/>
      <c r="KW44" s="111" t="n"/>
      <c r="KX44" s="111" t="n"/>
      <c r="KY44" s="111" t="n"/>
      <c r="KZ44" s="111" t="n"/>
      <c r="LA44" s="111" t="n"/>
      <c r="LB44" s="111" t="n"/>
      <c r="LC44" s="111" t="n"/>
      <c r="LD44" s="111" t="n"/>
      <c r="LE44" s="111" t="n"/>
      <c r="LF44" s="111" t="n"/>
      <c r="LG44" s="111" t="n"/>
      <c r="LH44" s="111" t="n"/>
      <c r="LI44" s="111" t="n"/>
      <c r="LJ44" s="111" t="n"/>
      <c r="LK44" s="111" t="n"/>
      <c r="LL44" s="111" t="n"/>
      <c r="LM44" s="111" t="n"/>
      <c r="LN44" s="111" t="n"/>
      <c r="LO44" s="111" t="n"/>
      <c r="LP44" s="111" t="n"/>
      <c r="LQ44" s="111" t="n"/>
      <c r="LR44" s="111" t="n"/>
      <c r="LS44" s="111" t="n"/>
      <c r="LT44" s="111" t="n"/>
      <c r="LU44" s="111" t="n"/>
      <c r="LV44" s="111" t="n"/>
      <c r="LW44" s="111" t="n"/>
      <c r="LX44" s="111" t="n"/>
      <c r="LY44" s="111" t="n"/>
      <c r="LZ44" s="111" t="n"/>
      <c r="MA44" s="111" t="n"/>
      <c r="MB44" s="111" t="n"/>
      <c r="MC44" s="111" t="n"/>
      <c r="MD44" s="111" t="n"/>
      <c r="ME44" s="111" t="n"/>
      <c r="MF44" s="111" t="n"/>
      <c r="MG44" s="111" t="n"/>
      <c r="MH44" s="111" t="n"/>
      <c r="MI44" s="111" t="n"/>
      <c r="MJ44" s="111" t="n"/>
      <c r="MK44" s="111" t="n"/>
      <c r="ML44" s="111" t="n"/>
      <c r="MM44" s="111" t="n"/>
      <c r="MN44" s="111" t="n"/>
      <c r="MO44" s="111" t="n"/>
      <c r="MP44" s="111" t="n"/>
      <c r="MQ44" s="111" t="n"/>
      <c r="MR44" s="111" t="n"/>
      <c r="MS44" s="111" t="n"/>
      <c r="MT44" s="111" t="n"/>
      <c r="MU44" s="111" t="n"/>
      <c r="MV44" s="111" t="n"/>
      <c r="MW44" s="111" t="n"/>
      <c r="MX44" s="111" t="n"/>
      <c r="MY44" s="111" t="n"/>
      <c r="MZ44" s="111" t="n"/>
      <c r="NA44" s="111" t="n"/>
      <c r="NB44" s="111" t="n"/>
      <c r="NC44" s="111" t="n"/>
      <c r="ND44" s="111" t="n"/>
      <c r="NE44" s="111" t="n"/>
      <c r="NF44" s="111" t="n"/>
      <c r="NG44" s="111" t="n"/>
      <c r="NH44" s="111" t="n"/>
      <c r="NI44" s="111" t="n"/>
      <c r="NJ44" s="111" t="n"/>
      <c r="NK44" s="111" t="n"/>
      <c r="NL44" s="111" t="n"/>
      <c r="NM44" s="111" t="n"/>
      <c r="NN44" s="111" t="n"/>
      <c r="NO44" s="111" t="n"/>
    </row>
    <row r="45" customFormat="1" s="17">
      <c r="A45" s="33">
        <f>IF(ISERROR(VALUE(SUBSTITUTE(OFFSET(A45,-1,0,1,1),".",""))),"0.1",IF(ISERROR(FIND("`",SUBSTITUTE(OFFSET(A45,-1,0,1,1),".","`",1))),OFFSET(A45,-1,0,1,1)&amp;".1",LEFT(OFFSET(A45,-1,0,1,1),FIND("`",SUBSTITUTE(OFFSET(A45,-1,0,1,1),".","`",1)))&amp;IF(ISERROR(FIND("`",SUBSTITUTE(OFFSET(A45,-1,0,1,1),".","`",2))),VALUE(RIGHT(OFFSET(A45,-1,0,1,1),LEN(OFFSET(A45,-1,0,1,1))-FIND("`",SUBSTITUTE(OFFSET(A45,-1,0,1,1),".","`",1))))+1,VALUE(MID(OFFSET(A45,-1,0,1,1),FIND("`",SUBSTITUTE(OFFSET(A45,-1,0,1,1),".","`",1))+1,(FIND("`",SUBSTITUTE(OFFSET(A45,-1,0,1,1),".","`",2))-FIND("`",SUBSTITUTE(OFFSET(A45,-1,0,1,1),".","`",1))-1)))+1)))</f>
        <v/>
      </c>
      <c r="B45" s="10" t="inlineStr">
        <is>
          <t>[ Level 2 Task ]</t>
        </is>
      </c>
      <c r="C45" s="11" t="inlineStr">
        <is>
          <t>Bob</t>
        </is>
      </c>
      <c r="D45" s="37" t="n"/>
      <c r="E45" s="37" t="n"/>
      <c r="F45" s="37" t="n"/>
      <c r="G45" s="274">
        <f>WORKDAY(G44,1,holidays)</f>
        <v/>
      </c>
      <c r="H45" s="275">
        <f>IF(I45=0,G45,WORKDAY(IF(WEEKDAY(G45,1)=7,G45+2,IF(WEEKDAY(G45,1)=1,G45+1,G45)),I45-1,holidays))</f>
        <v/>
      </c>
      <c r="I45" s="79" t="n">
        <v>21</v>
      </c>
      <c r="J45" s="80" t="n"/>
      <c r="K45" s="15">
        <f>IF(OR(G45=0,H45=0),0,H45-G45+1)</f>
        <v/>
      </c>
      <c r="L45" s="15">
        <f>MIN(K45,WORKDAY(G45,ROUNDDOWN(J45*I45,0),holidays)-G45)</f>
        <v/>
      </c>
      <c r="M45" s="14">
        <f>K45-L45</f>
        <v/>
      </c>
      <c r="N45" s="105">
        <f>IFERROR( INDEX( lead_color, MATCH(C45, lead, 0) ), "")</f>
        <v/>
      </c>
      <c r="O45" s="17" t="n"/>
      <c r="P45" s="111" t="n"/>
      <c r="Q45" s="111" t="n"/>
      <c r="R45" s="111" t="n"/>
      <c r="S45" s="111" t="n"/>
      <c r="T45" s="111" t="n"/>
      <c r="U45" s="111" t="n"/>
      <c r="V45" s="111" t="n"/>
      <c r="W45" s="111" t="n"/>
      <c r="X45" s="111" t="n"/>
      <c r="Y45" s="111" t="n"/>
      <c r="Z45" s="111" t="n"/>
      <c r="AA45" s="111" t="n"/>
      <c r="AB45" s="111" t="n"/>
      <c r="AC45" s="111" t="n"/>
      <c r="AD45" s="111" t="n"/>
      <c r="AE45" s="111" t="n"/>
      <c r="AF45" s="111" t="n"/>
      <c r="AG45" s="111" t="n"/>
      <c r="AH45" s="111" t="n"/>
      <c r="AI45" s="111" t="n"/>
      <c r="AJ45" s="111" t="n"/>
      <c r="AK45" s="111" t="n"/>
      <c r="AL45" s="111" t="n"/>
      <c r="AM45" s="111" t="n"/>
      <c r="AN45" s="111" t="n"/>
      <c r="AO45" s="111" t="n"/>
      <c r="AP45" s="111" t="n"/>
      <c r="AQ45" s="111" t="n"/>
      <c r="AR45" s="111" t="n"/>
      <c r="AS45" s="111" t="n"/>
      <c r="AT45" s="111" t="n"/>
      <c r="AU45" s="111" t="n"/>
      <c r="AV45" s="111" t="n"/>
      <c r="AW45" s="111" t="n"/>
      <c r="AX45" s="111" t="n"/>
      <c r="AY45" s="111" t="n"/>
      <c r="AZ45" s="111"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1" t="n"/>
      <c r="CF45" s="111" t="n"/>
      <c r="CG45" s="111" t="n"/>
      <c r="CH45" s="111" t="n"/>
      <c r="CI45" s="111" t="n"/>
      <c r="CJ45" s="111" t="n"/>
      <c r="CK45" s="111" t="n"/>
      <c r="CL45" s="111" t="n"/>
      <c r="CM45" s="111" t="n"/>
      <c r="CN45" s="111" t="n"/>
      <c r="CO45" s="111" t="n"/>
      <c r="CP45" s="111" t="n"/>
      <c r="CQ45" s="111" t="n"/>
      <c r="CR45" s="111" t="n"/>
      <c r="CS45" s="111" t="n"/>
      <c r="CT45" s="111" t="n"/>
      <c r="CU45" s="111" t="n"/>
      <c r="CV45" s="111" t="n"/>
      <c r="CW45" s="111" t="n"/>
      <c r="CX45" s="111" t="n"/>
      <c r="CY45" s="111" t="n"/>
      <c r="CZ45" s="111" t="n"/>
      <c r="DA45" s="111" t="n"/>
      <c r="DB45" s="111" t="n"/>
      <c r="DC45" s="111" t="n"/>
      <c r="DD45" s="111" t="n"/>
      <c r="DE45" s="111" t="n"/>
      <c r="DF45" s="111" t="n"/>
      <c r="DG45" s="111" t="n"/>
      <c r="DH45" s="111" t="n"/>
      <c r="DI45" s="111" t="n"/>
      <c r="DJ45" s="111" t="n"/>
      <c r="DK45" s="111" t="n"/>
      <c r="DL45" s="111" t="n"/>
      <c r="DM45" s="111" t="n"/>
      <c r="DN45" s="111" t="n"/>
      <c r="DO45" s="111" t="n"/>
      <c r="DP45" s="111" t="n"/>
      <c r="DQ45" s="111" t="n"/>
      <c r="DR45" s="111" t="n"/>
      <c r="DS45" s="111" t="n"/>
      <c r="DT45" s="111" t="n"/>
      <c r="DU45" s="111" t="n"/>
      <c r="DV45" s="111" t="n"/>
      <c r="DW45" s="111" t="n"/>
      <c r="DX45" s="111" t="n"/>
      <c r="DY45" s="111" t="n"/>
      <c r="DZ45" s="111" t="n"/>
      <c r="EA45" s="111" t="n"/>
      <c r="EB45" s="111" t="n"/>
      <c r="EC45" s="111" t="n"/>
      <c r="ED45" s="111" t="n"/>
      <c r="EE45" s="111" t="n"/>
      <c r="EF45" s="111" t="n"/>
      <c r="EG45" s="111" t="n"/>
      <c r="EH45" s="111" t="n"/>
      <c r="EI45" s="111" t="n"/>
      <c r="EJ45" s="111" t="n"/>
      <c r="EK45" s="111" t="n"/>
      <c r="EL45" s="111" t="n"/>
      <c r="EM45" s="111" t="n"/>
      <c r="EN45" s="111" t="n"/>
      <c r="EO45" s="111" t="n"/>
      <c r="EP45" s="111" t="n"/>
      <c r="EQ45" s="111" t="n"/>
      <c r="ER45" s="111" t="n"/>
      <c r="ES45" s="111" t="n"/>
      <c r="ET45" s="111" t="n"/>
      <c r="EU45" s="111" t="n"/>
      <c r="EV45" s="111" t="n"/>
      <c r="EW45" s="111" t="n"/>
      <c r="EX45" s="111" t="n"/>
      <c r="EY45" s="111" t="n"/>
      <c r="EZ45" s="111" t="n"/>
      <c r="FA45" s="111" t="n"/>
      <c r="FB45" s="111" t="n"/>
      <c r="FC45" s="111" t="n"/>
      <c r="FD45" s="111" t="n"/>
      <c r="FE45" s="111" t="n"/>
      <c r="FF45" s="111" t="n"/>
      <c r="FG45" s="111" t="n"/>
      <c r="FH45" s="111" t="n"/>
      <c r="FI45" s="111" t="n"/>
      <c r="FJ45" s="111" t="n"/>
      <c r="FK45" s="111" t="n"/>
      <c r="FL45" s="111" t="n"/>
      <c r="FM45" s="111" t="n"/>
      <c r="FN45" s="111" t="n"/>
      <c r="FO45" s="111" t="n"/>
      <c r="FP45" s="111" t="n"/>
      <c r="FQ45" s="111" t="n"/>
      <c r="FR45" s="111" t="n"/>
      <c r="FS45" s="111" t="n"/>
      <c r="FT45" s="111" t="n"/>
      <c r="FU45" s="111" t="n"/>
      <c r="FV45" s="111" t="n"/>
      <c r="FW45" s="111" t="n"/>
      <c r="FX45" s="111" t="n"/>
      <c r="FY45" s="111" t="n"/>
      <c r="FZ45" s="111" t="n"/>
      <c r="GA45" s="111" t="n"/>
      <c r="GB45" s="111" t="n"/>
      <c r="GC45" s="111" t="n"/>
      <c r="GD45" s="111" t="n"/>
      <c r="GE45" s="111" t="n"/>
      <c r="GF45" s="111" t="n"/>
      <c r="GG45" s="111" t="n"/>
      <c r="GH45" s="111" t="n"/>
      <c r="GI45" s="111" t="n"/>
      <c r="GJ45" s="111" t="n"/>
      <c r="GK45" s="111" t="n"/>
      <c r="GL45" s="111" t="n"/>
      <c r="GM45" s="111" t="n"/>
      <c r="GN45" s="111" t="n"/>
      <c r="GO45" s="111" t="n"/>
      <c r="GP45" s="111" t="n"/>
      <c r="GQ45" s="111" t="n"/>
      <c r="GR45" s="111" t="n"/>
      <c r="GS45" s="111" t="n"/>
      <c r="GT45" s="111" t="n"/>
      <c r="GU45" s="111" t="n"/>
      <c r="GV45" s="111" t="n"/>
      <c r="GW45" s="111" t="n"/>
      <c r="GX45" s="111" t="n"/>
      <c r="GY45" s="111" t="n"/>
      <c r="GZ45" s="111" t="n"/>
      <c r="HA45" s="111" t="n"/>
      <c r="HB45" s="111" t="n"/>
      <c r="HC45" s="111" t="n"/>
      <c r="HD45" s="111" t="n"/>
      <c r="HE45" s="111" t="n"/>
      <c r="HF45" s="111" t="n"/>
      <c r="HG45" s="111" t="n"/>
      <c r="HH45" s="111" t="n"/>
      <c r="HI45" s="111" t="n"/>
      <c r="HJ45" s="111" t="n"/>
      <c r="HK45" s="111" t="n"/>
      <c r="HL45" s="111" t="n"/>
      <c r="HM45" s="111" t="n"/>
      <c r="HN45" s="111" t="n"/>
      <c r="HO45" s="111" t="n"/>
      <c r="HP45" s="111" t="n"/>
      <c r="HQ45" s="111" t="n"/>
      <c r="HR45" s="111" t="n"/>
      <c r="HS45" s="111" t="n"/>
      <c r="HT45" s="111" t="n"/>
      <c r="HU45" s="111" t="n"/>
      <c r="HV45" s="111" t="n"/>
      <c r="HW45" s="111" t="n"/>
      <c r="HX45" s="111" t="n"/>
      <c r="HY45" s="111" t="n"/>
      <c r="HZ45" s="111" t="n"/>
      <c r="IA45" s="111" t="n"/>
      <c r="IB45" s="111" t="n"/>
      <c r="IC45" s="111" t="n"/>
      <c r="ID45" s="111" t="n"/>
      <c r="IE45" s="111" t="n"/>
      <c r="IF45" s="111" t="n"/>
      <c r="IG45" s="111" t="n"/>
      <c r="IH45" s="111" t="n"/>
      <c r="II45" s="111" t="n"/>
      <c r="IJ45" s="111" t="n"/>
      <c r="IK45" s="111" t="n"/>
      <c r="IL45" s="111" t="n"/>
      <c r="IM45" s="111" t="n"/>
      <c r="IN45" s="111" t="n"/>
      <c r="IO45" s="111" t="n"/>
      <c r="IP45" s="111" t="n"/>
      <c r="IQ45" s="111" t="n"/>
      <c r="IR45" s="111" t="n"/>
      <c r="IS45" s="111" t="n"/>
      <c r="IT45" s="111" t="n"/>
      <c r="IU45" s="111" t="n"/>
      <c r="IV45" s="111" t="n"/>
      <c r="IW45" s="111" t="n"/>
      <c r="IX45" s="111" t="n"/>
      <c r="IY45" s="111" t="n"/>
      <c r="IZ45" s="111" t="n"/>
      <c r="JA45" s="111" t="n"/>
      <c r="JB45" s="111" t="n"/>
      <c r="JC45" s="111" t="n"/>
      <c r="JD45" s="111" t="n"/>
      <c r="JE45" s="111" t="n"/>
      <c r="JF45" s="111" t="n"/>
      <c r="JG45" s="111" t="n"/>
      <c r="JH45" s="111" t="n"/>
      <c r="JI45" s="111" t="n"/>
      <c r="JJ45" s="111" t="n"/>
      <c r="JK45" s="111" t="n"/>
      <c r="JL45" s="111" t="n"/>
      <c r="JM45" s="111" t="n"/>
      <c r="JN45" s="111" t="n"/>
      <c r="JO45" s="111" t="n"/>
      <c r="JP45" s="111" t="n"/>
      <c r="JQ45" s="111" t="n"/>
      <c r="JR45" s="111" t="n"/>
      <c r="JS45" s="111" t="n"/>
      <c r="JT45" s="111" t="n"/>
      <c r="JU45" s="111" t="n"/>
      <c r="JV45" s="111" t="n"/>
      <c r="JW45" s="111" t="n"/>
      <c r="JX45" s="111" t="n"/>
      <c r="JY45" s="111" t="n"/>
      <c r="JZ45" s="111" t="n"/>
      <c r="KA45" s="111" t="n"/>
      <c r="KB45" s="111" t="n"/>
      <c r="KC45" s="111" t="n"/>
      <c r="KD45" s="111" t="n"/>
      <c r="KE45" s="111" t="n"/>
      <c r="KF45" s="111" t="n"/>
      <c r="KG45" s="111" t="n"/>
      <c r="KH45" s="111" t="n"/>
      <c r="KI45" s="111" t="n"/>
      <c r="KJ45" s="111" t="n"/>
      <c r="KK45" s="111" t="n"/>
      <c r="KL45" s="111" t="n"/>
      <c r="KM45" s="111" t="n"/>
      <c r="KN45" s="111" t="n"/>
      <c r="KO45" s="111" t="n"/>
      <c r="KP45" s="111" t="n"/>
      <c r="KQ45" s="111" t="n"/>
      <c r="KR45" s="111" t="n"/>
      <c r="KS45" s="111" t="n"/>
      <c r="KT45" s="111" t="n"/>
      <c r="KU45" s="111" t="n"/>
      <c r="KV45" s="111" t="n"/>
      <c r="KW45" s="111" t="n"/>
      <c r="KX45" s="111" t="n"/>
      <c r="KY45" s="111" t="n"/>
      <c r="KZ45" s="111" t="n"/>
      <c r="LA45" s="111" t="n"/>
      <c r="LB45" s="111" t="n"/>
      <c r="LC45" s="111" t="n"/>
      <c r="LD45" s="111" t="n"/>
      <c r="LE45" s="111" t="n"/>
      <c r="LF45" s="111" t="n"/>
      <c r="LG45" s="111" t="n"/>
      <c r="LH45" s="111" t="n"/>
      <c r="LI45" s="111" t="n"/>
      <c r="LJ45" s="111" t="n"/>
      <c r="LK45" s="111" t="n"/>
      <c r="LL45" s="111" t="n"/>
      <c r="LM45" s="111" t="n"/>
      <c r="LN45" s="111" t="n"/>
      <c r="LO45" s="111" t="n"/>
      <c r="LP45" s="111" t="n"/>
      <c r="LQ45" s="111" t="n"/>
      <c r="LR45" s="111" t="n"/>
      <c r="LS45" s="111" t="n"/>
      <c r="LT45" s="111" t="n"/>
      <c r="LU45" s="111" t="n"/>
      <c r="LV45" s="111" t="n"/>
      <c r="LW45" s="111" t="n"/>
      <c r="LX45" s="111" t="n"/>
      <c r="LY45" s="111" t="n"/>
      <c r="LZ45" s="111" t="n"/>
      <c r="MA45" s="111" t="n"/>
      <c r="MB45" s="111" t="n"/>
      <c r="MC45" s="111" t="n"/>
      <c r="MD45" s="111" t="n"/>
      <c r="ME45" s="111" t="n"/>
      <c r="MF45" s="111" t="n"/>
      <c r="MG45" s="111" t="n"/>
      <c r="MH45" s="111" t="n"/>
      <c r="MI45" s="111" t="n"/>
      <c r="MJ45" s="111" t="n"/>
      <c r="MK45" s="111" t="n"/>
      <c r="ML45" s="111" t="n"/>
      <c r="MM45" s="111" t="n"/>
      <c r="MN45" s="111" t="n"/>
      <c r="MO45" s="111" t="n"/>
      <c r="MP45" s="111" t="n"/>
      <c r="MQ45" s="111" t="n"/>
      <c r="MR45" s="111" t="n"/>
      <c r="MS45" s="111" t="n"/>
      <c r="MT45" s="111" t="n"/>
      <c r="MU45" s="111" t="n"/>
      <c r="MV45" s="111" t="n"/>
      <c r="MW45" s="111" t="n"/>
      <c r="MX45" s="111" t="n"/>
      <c r="MY45" s="111" t="n"/>
      <c r="MZ45" s="111" t="n"/>
      <c r="NA45" s="111" t="n"/>
      <c r="NB45" s="111" t="n"/>
      <c r="NC45" s="111" t="n"/>
      <c r="ND45" s="111" t="n"/>
      <c r="NE45" s="111" t="n"/>
      <c r="NF45" s="111" t="n"/>
      <c r="NG45" s="111" t="n"/>
      <c r="NH45" s="111" t="n"/>
      <c r="NI45" s="111" t="n"/>
      <c r="NJ45" s="111" t="n"/>
      <c r="NK45" s="111" t="n"/>
      <c r="NL45" s="111" t="n"/>
      <c r="NM45" s="111" t="n"/>
      <c r="NN45" s="111" t="n"/>
      <c r="NO45" s="111" t="n"/>
    </row>
    <row r="46" customFormat="1" s="17">
      <c r="A46" s="33">
        <f>IF(ISERROR(VALUE(SUBSTITUTE(OFFSET(A46,-1,0,1,1),".",""))),"0.1",IF(ISERROR(FIND("`",SUBSTITUTE(OFFSET(A46,-1,0,1,1),".","`",1))),OFFSET(A46,-1,0,1,1)&amp;".1",LEFT(OFFSET(A46,-1,0,1,1),FIND("`",SUBSTITUTE(OFFSET(A46,-1,0,1,1),".","`",1)))&amp;IF(ISERROR(FIND("`",SUBSTITUTE(OFFSET(A46,-1,0,1,1),".","`",2))),VALUE(RIGHT(OFFSET(A46,-1,0,1,1),LEN(OFFSET(A46,-1,0,1,1))-FIND("`",SUBSTITUTE(OFFSET(A46,-1,0,1,1),".","`",1))))+1,VALUE(MID(OFFSET(A46,-1,0,1,1),FIND("`",SUBSTITUTE(OFFSET(A46,-1,0,1,1),".","`",1))+1,(FIND("`",SUBSTITUTE(OFFSET(A46,-1,0,1,1),".","`",2))-FIND("`",SUBSTITUTE(OFFSET(A46,-1,0,1,1),".","`",1))-1)))+1)))</f>
        <v/>
      </c>
      <c r="B46" s="10" t="inlineStr">
        <is>
          <t>[ Level 2 Task ]</t>
        </is>
      </c>
      <c r="C46" s="11" t="inlineStr">
        <is>
          <t>Jim</t>
        </is>
      </c>
      <c r="D46" s="37" t="n"/>
      <c r="E46" s="37" t="n"/>
      <c r="F46" s="37" t="n"/>
      <c r="G46" s="274">
        <f>WORKDAY(G45,1,holidays)</f>
        <v/>
      </c>
      <c r="H46" s="275">
        <f>IF(I46=0,G46,WORKDAY(IF(WEEKDAY(G46,1)=7,G46+2,IF(WEEKDAY(G46,1)=1,G46+1,G46)),I46-1,holidays))</f>
        <v/>
      </c>
      <c r="I46" s="79" t="n">
        <v>21</v>
      </c>
      <c r="J46" s="80" t="n"/>
      <c r="K46" s="15">
        <f>IF(OR(G46=0,H46=0),0,H46-G46+1)</f>
        <v/>
      </c>
      <c r="L46" s="15">
        <f>MIN(K46,WORKDAY(G46,ROUNDDOWN(J46*I46,0),holidays)-G46)</f>
        <v/>
      </c>
      <c r="M46" s="14">
        <f>K46-L46</f>
        <v/>
      </c>
      <c r="N46" s="105">
        <f>IFERROR( INDEX( lead_color, MATCH(C46, lead, 0) ), "")</f>
        <v/>
      </c>
      <c r="O46" s="17" t="n"/>
      <c r="P46" s="111" t="n"/>
      <c r="Q46" s="111" t="n"/>
      <c r="R46" s="111" t="n"/>
      <c r="S46" s="111" t="n"/>
      <c r="T46" s="111" t="n"/>
      <c r="U46" s="111" t="n"/>
      <c r="V46" s="111" t="n"/>
      <c r="W46" s="111" t="n"/>
      <c r="X46" s="111" t="n"/>
      <c r="Y46" s="111" t="n"/>
      <c r="Z46" s="111" t="n"/>
      <c r="AA46" s="111" t="n"/>
      <c r="AB46" s="111" t="n"/>
      <c r="AC46" s="111" t="n"/>
      <c r="AD46" s="111" t="n"/>
      <c r="AE46" s="111" t="n"/>
      <c r="AF46" s="111" t="n"/>
      <c r="AG46" s="111" t="n"/>
      <c r="AH46" s="111" t="n"/>
      <c r="AI46" s="111" t="n"/>
      <c r="AJ46" s="111" t="n"/>
      <c r="AK46" s="111" t="n"/>
      <c r="AL46" s="111" t="n"/>
      <c r="AM46" s="111" t="n"/>
      <c r="AN46" s="111" t="n"/>
      <c r="AO46" s="111" t="n"/>
      <c r="AP46" s="111" t="n"/>
      <c r="AQ46" s="111" t="n"/>
      <c r="AR46" s="111" t="n"/>
      <c r="AS46" s="111" t="n"/>
      <c r="AT46" s="111" t="n"/>
      <c r="AU46" s="111" t="n"/>
      <c r="AV46" s="111" t="n"/>
      <c r="AW46" s="111" t="n"/>
      <c r="AX46" s="111" t="n"/>
      <c r="AY46" s="111" t="n"/>
      <c r="AZ46" s="111"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1" t="n"/>
      <c r="CF46" s="111" t="n"/>
      <c r="CG46" s="111" t="n"/>
      <c r="CH46" s="111" t="n"/>
      <c r="CI46" s="111" t="n"/>
      <c r="CJ46" s="111" t="n"/>
      <c r="CK46" s="111" t="n"/>
      <c r="CL46" s="111" t="n"/>
      <c r="CM46" s="111" t="n"/>
      <c r="CN46" s="111" t="n"/>
      <c r="CO46" s="111" t="n"/>
      <c r="CP46" s="111" t="n"/>
      <c r="CQ46" s="111" t="n"/>
      <c r="CR46" s="111" t="n"/>
      <c r="CS46" s="111" t="n"/>
      <c r="CT46" s="111" t="n"/>
      <c r="CU46" s="111" t="n"/>
      <c r="CV46" s="111" t="n"/>
      <c r="CW46" s="111" t="n"/>
      <c r="CX46" s="111" t="n"/>
      <c r="CY46" s="111" t="n"/>
      <c r="CZ46" s="111" t="n"/>
      <c r="DA46" s="111" t="n"/>
      <c r="DB46" s="111" t="n"/>
      <c r="DC46" s="111" t="n"/>
      <c r="DD46" s="111" t="n"/>
      <c r="DE46" s="111" t="n"/>
      <c r="DF46" s="111" t="n"/>
      <c r="DG46" s="111" t="n"/>
      <c r="DH46" s="111" t="n"/>
      <c r="DI46" s="111" t="n"/>
      <c r="DJ46" s="111" t="n"/>
      <c r="DK46" s="111" t="n"/>
      <c r="DL46" s="111" t="n"/>
      <c r="DM46" s="111" t="n"/>
      <c r="DN46" s="111" t="n"/>
      <c r="DO46" s="111" t="n"/>
      <c r="DP46" s="111" t="n"/>
      <c r="DQ46" s="111" t="n"/>
      <c r="DR46" s="111" t="n"/>
      <c r="DS46" s="111" t="n"/>
      <c r="DT46" s="111" t="n"/>
      <c r="DU46" s="111" t="n"/>
      <c r="DV46" s="111" t="n"/>
      <c r="DW46" s="111" t="n"/>
      <c r="DX46" s="111" t="n"/>
      <c r="DY46" s="111" t="n"/>
      <c r="DZ46" s="111" t="n"/>
      <c r="EA46" s="111" t="n"/>
      <c r="EB46" s="111" t="n"/>
      <c r="EC46" s="111" t="n"/>
      <c r="ED46" s="111" t="n"/>
      <c r="EE46" s="111" t="n"/>
      <c r="EF46" s="111" t="n"/>
      <c r="EG46" s="111" t="n"/>
      <c r="EH46" s="111" t="n"/>
      <c r="EI46" s="111" t="n"/>
      <c r="EJ46" s="111" t="n"/>
      <c r="EK46" s="111" t="n"/>
      <c r="EL46" s="111" t="n"/>
      <c r="EM46" s="111" t="n"/>
      <c r="EN46" s="111" t="n"/>
      <c r="EO46" s="111" t="n"/>
      <c r="EP46" s="111" t="n"/>
      <c r="EQ46" s="111" t="n"/>
      <c r="ER46" s="111" t="n"/>
      <c r="ES46" s="111" t="n"/>
      <c r="ET46" s="111" t="n"/>
      <c r="EU46" s="111" t="n"/>
      <c r="EV46" s="111" t="n"/>
      <c r="EW46" s="111" t="n"/>
      <c r="EX46" s="111" t="n"/>
      <c r="EY46" s="111" t="n"/>
      <c r="EZ46" s="111" t="n"/>
      <c r="FA46" s="111" t="n"/>
      <c r="FB46" s="111" t="n"/>
      <c r="FC46" s="111" t="n"/>
      <c r="FD46" s="111" t="n"/>
      <c r="FE46" s="111" t="n"/>
      <c r="FF46" s="111" t="n"/>
      <c r="FG46" s="111" t="n"/>
      <c r="FH46" s="111" t="n"/>
      <c r="FI46" s="111" t="n"/>
      <c r="FJ46" s="111" t="n"/>
      <c r="FK46" s="111" t="n"/>
      <c r="FL46" s="111" t="n"/>
      <c r="FM46" s="111" t="n"/>
      <c r="FN46" s="111" t="n"/>
      <c r="FO46" s="111" t="n"/>
      <c r="FP46" s="111" t="n"/>
      <c r="FQ46" s="111" t="n"/>
      <c r="FR46" s="111" t="n"/>
      <c r="FS46" s="111" t="n"/>
      <c r="FT46" s="111" t="n"/>
      <c r="FU46" s="111" t="n"/>
      <c r="FV46" s="111" t="n"/>
      <c r="FW46" s="111" t="n"/>
      <c r="FX46" s="111" t="n"/>
      <c r="FY46" s="111" t="n"/>
      <c r="FZ46" s="111" t="n"/>
      <c r="GA46" s="111" t="n"/>
      <c r="GB46" s="111" t="n"/>
      <c r="GC46" s="111" t="n"/>
      <c r="GD46" s="111" t="n"/>
      <c r="GE46" s="111" t="n"/>
      <c r="GF46" s="111" t="n"/>
      <c r="GG46" s="111" t="n"/>
      <c r="GH46" s="111" t="n"/>
      <c r="GI46" s="111" t="n"/>
      <c r="GJ46" s="111" t="n"/>
      <c r="GK46" s="111" t="n"/>
      <c r="GL46" s="111" t="n"/>
      <c r="GM46" s="111" t="n"/>
      <c r="GN46" s="111" t="n"/>
      <c r="GO46" s="111" t="n"/>
      <c r="GP46" s="111" t="n"/>
      <c r="GQ46" s="111" t="n"/>
      <c r="GR46" s="111" t="n"/>
      <c r="GS46" s="111" t="n"/>
      <c r="GT46" s="111" t="n"/>
      <c r="GU46" s="111" t="n"/>
      <c r="GV46" s="111" t="n"/>
      <c r="GW46" s="111" t="n"/>
      <c r="GX46" s="111" t="n"/>
      <c r="GY46" s="111" t="n"/>
      <c r="GZ46" s="111" t="n"/>
      <c r="HA46" s="111" t="n"/>
      <c r="HB46" s="111" t="n"/>
      <c r="HC46" s="111" t="n"/>
      <c r="HD46" s="111" t="n"/>
      <c r="HE46" s="111" t="n"/>
      <c r="HF46" s="111" t="n"/>
      <c r="HG46" s="111" t="n"/>
      <c r="HH46" s="111" t="n"/>
      <c r="HI46" s="111" t="n"/>
      <c r="HJ46" s="111" t="n"/>
      <c r="HK46" s="111" t="n"/>
      <c r="HL46" s="111" t="n"/>
      <c r="HM46" s="111" t="n"/>
      <c r="HN46" s="111" t="n"/>
      <c r="HO46" s="111" t="n"/>
      <c r="HP46" s="111" t="n"/>
      <c r="HQ46" s="111" t="n"/>
      <c r="HR46" s="111" t="n"/>
      <c r="HS46" s="111" t="n"/>
      <c r="HT46" s="111" t="n"/>
      <c r="HU46" s="111" t="n"/>
      <c r="HV46" s="111" t="n"/>
      <c r="HW46" s="111" t="n"/>
      <c r="HX46" s="111" t="n"/>
      <c r="HY46" s="111" t="n"/>
      <c r="HZ46" s="111" t="n"/>
      <c r="IA46" s="111" t="n"/>
      <c r="IB46" s="111" t="n"/>
      <c r="IC46" s="111" t="n"/>
      <c r="ID46" s="111" t="n"/>
      <c r="IE46" s="111" t="n"/>
      <c r="IF46" s="111" t="n"/>
      <c r="IG46" s="111" t="n"/>
      <c r="IH46" s="111" t="n"/>
      <c r="II46" s="111" t="n"/>
      <c r="IJ46" s="111" t="n"/>
      <c r="IK46" s="111" t="n"/>
      <c r="IL46" s="111" t="n"/>
      <c r="IM46" s="111" t="n"/>
      <c r="IN46" s="111" t="n"/>
      <c r="IO46" s="111" t="n"/>
      <c r="IP46" s="111" t="n"/>
      <c r="IQ46" s="111" t="n"/>
      <c r="IR46" s="111" t="n"/>
      <c r="IS46" s="111" t="n"/>
      <c r="IT46" s="111" t="n"/>
      <c r="IU46" s="111" t="n"/>
      <c r="IV46" s="111" t="n"/>
      <c r="IW46" s="111" t="n"/>
      <c r="IX46" s="111" t="n"/>
      <c r="IY46" s="111" t="n"/>
      <c r="IZ46" s="111" t="n"/>
      <c r="JA46" s="111" t="n"/>
      <c r="JB46" s="111" t="n"/>
      <c r="JC46" s="111" t="n"/>
      <c r="JD46" s="111" t="n"/>
      <c r="JE46" s="111" t="n"/>
      <c r="JF46" s="111" t="n"/>
      <c r="JG46" s="111" t="n"/>
      <c r="JH46" s="111" t="n"/>
      <c r="JI46" s="111" t="n"/>
      <c r="JJ46" s="111" t="n"/>
      <c r="JK46" s="111" t="n"/>
      <c r="JL46" s="111" t="n"/>
      <c r="JM46" s="111" t="n"/>
      <c r="JN46" s="111" t="n"/>
      <c r="JO46" s="111" t="n"/>
      <c r="JP46" s="111" t="n"/>
      <c r="JQ46" s="111" t="n"/>
      <c r="JR46" s="111" t="n"/>
      <c r="JS46" s="111" t="n"/>
      <c r="JT46" s="111" t="n"/>
      <c r="JU46" s="111" t="n"/>
      <c r="JV46" s="111" t="n"/>
      <c r="JW46" s="111" t="n"/>
      <c r="JX46" s="111" t="n"/>
      <c r="JY46" s="111" t="n"/>
      <c r="JZ46" s="111" t="n"/>
      <c r="KA46" s="111" t="n"/>
      <c r="KB46" s="111" t="n"/>
      <c r="KC46" s="111" t="n"/>
      <c r="KD46" s="111" t="n"/>
      <c r="KE46" s="111" t="n"/>
      <c r="KF46" s="111" t="n"/>
      <c r="KG46" s="111" t="n"/>
      <c r="KH46" s="111" t="n"/>
      <c r="KI46" s="111" t="n"/>
      <c r="KJ46" s="111" t="n"/>
      <c r="KK46" s="111" t="n"/>
      <c r="KL46" s="111" t="n"/>
      <c r="KM46" s="111" t="n"/>
      <c r="KN46" s="111" t="n"/>
      <c r="KO46" s="111" t="n"/>
      <c r="KP46" s="111" t="n"/>
      <c r="KQ46" s="111" t="n"/>
      <c r="KR46" s="111" t="n"/>
      <c r="KS46" s="111" t="n"/>
      <c r="KT46" s="111" t="n"/>
      <c r="KU46" s="111" t="n"/>
      <c r="KV46" s="111" t="n"/>
      <c r="KW46" s="111" t="n"/>
      <c r="KX46" s="111" t="n"/>
      <c r="KY46" s="111" t="n"/>
      <c r="KZ46" s="111" t="n"/>
      <c r="LA46" s="111" t="n"/>
      <c r="LB46" s="111" t="n"/>
      <c r="LC46" s="111" t="n"/>
      <c r="LD46" s="111" t="n"/>
      <c r="LE46" s="111" t="n"/>
      <c r="LF46" s="111" t="n"/>
      <c r="LG46" s="111" t="n"/>
      <c r="LH46" s="111" t="n"/>
      <c r="LI46" s="111" t="n"/>
      <c r="LJ46" s="111" t="n"/>
      <c r="LK46" s="111" t="n"/>
      <c r="LL46" s="111" t="n"/>
      <c r="LM46" s="111" t="n"/>
      <c r="LN46" s="111" t="n"/>
      <c r="LO46" s="111" t="n"/>
      <c r="LP46" s="111" t="n"/>
      <c r="LQ46" s="111" t="n"/>
      <c r="LR46" s="111" t="n"/>
      <c r="LS46" s="111" t="n"/>
      <c r="LT46" s="111" t="n"/>
      <c r="LU46" s="111" t="n"/>
      <c r="LV46" s="111" t="n"/>
      <c r="LW46" s="111" t="n"/>
      <c r="LX46" s="111" t="n"/>
      <c r="LY46" s="111" t="n"/>
      <c r="LZ46" s="111" t="n"/>
      <c r="MA46" s="111" t="n"/>
      <c r="MB46" s="111" t="n"/>
      <c r="MC46" s="111" t="n"/>
      <c r="MD46" s="111" t="n"/>
      <c r="ME46" s="111" t="n"/>
      <c r="MF46" s="111" t="n"/>
      <c r="MG46" s="111" t="n"/>
      <c r="MH46" s="111" t="n"/>
      <c r="MI46" s="111" t="n"/>
      <c r="MJ46" s="111" t="n"/>
      <c r="MK46" s="111" t="n"/>
      <c r="ML46" s="111" t="n"/>
      <c r="MM46" s="111" t="n"/>
      <c r="MN46" s="111" t="n"/>
      <c r="MO46" s="111" t="n"/>
      <c r="MP46" s="111" t="n"/>
      <c r="MQ46" s="111" t="n"/>
      <c r="MR46" s="111" t="n"/>
      <c r="MS46" s="111" t="n"/>
      <c r="MT46" s="111" t="n"/>
      <c r="MU46" s="111" t="n"/>
      <c r="MV46" s="111" t="n"/>
      <c r="MW46" s="111" t="n"/>
      <c r="MX46" s="111" t="n"/>
      <c r="MY46" s="111" t="n"/>
      <c r="MZ46" s="111" t="n"/>
      <c r="NA46" s="111" t="n"/>
      <c r="NB46" s="111" t="n"/>
      <c r="NC46" s="111" t="n"/>
      <c r="ND46" s="111" t="n"/>
      <c r="NE46" s="111" t="n"/>
      <c r="NF46" s="111" t="n"/>
      <c r="NG46" s="111" t="n"/>
      <c r="NH46" s="111" t="n"/>
      <c r="NI46" s="111" t="n"/>
      <c r="NJ46" s="111" t="n"/>
      <c r="NK46" s="111" t="n"/>
      <c r="NL46" s="111" t="n"/>
      <c r="NM46" s="111" t="n"/>
      <c r="NN46" s="111" t="n"/>
      <c r="NO46" s="111" t="n"/>
    </row>
    <row r="47" customFormat="1" s="17">
      <c r="A47" s="33">
        <f>IF(ISERROR(VALUE(SUBSTITUTE(OFFSET(A47,-1,0,1,1),".",""))),"0.1",IF(ISERROR(FIND("`",SUBSTITUTE(OFFSET(A47,-1,0,1,1),".","`",1))),OFFSET(A47,-1,0,1,1)&amp;".1",LEFT(OFFSET(A47,-1,0,1,1),FIND("`",SUBSTITUTE(OFFSET(A47,-1,0,1,1),".","`",1)))&amp;IF(ISERROR(FIND("`",SUBSTITUTE(OFFSET(A47,-1,0,1,1),".","`",2))),VALUE(RIGHT(OFFSET(A47,-1,0,1,1),LEN(OFFSET(A47,-1,0,1,1))-FIND("`",SUBSTITUTE(OFFSET(A47,-1,0,1,1),".","`",1))))+1,VALUE(MID(OFFSET(A47,-1,0,1,1),FIND("`",SUBSTITUTE(OFFSET(A47,-1,0,1,1),".","`",1))+1,(FIND("`",SUBSTITUTE(OFFSET(A47,-1,0,1,1),".","`",2))-FIND("`",SUBSTITUTE(OFFSET(A47,-1,0,1,1),".","`",1))-1)))+1)))</f>
        <v/>
      </c>
      <c r="B47" s="10" t="inlineStr">
        <is>
          <t>[ Level 2 Task ]</t>
        </is>
      </c>
      <c r="C47" s="11" t="inlineStr">
        <is>
          <t>Sarah</t>
        </is>
      </c>
      <c r="D47" s="37" t="n"/>
      <c r="E47" s="37" t="n"/>
      <c r="F47" s="37" t="n"/>
      <c r="G47" s="274">
        <f>WORKDAY(G46,1,holidays)</f>
        <v/>
      </c>
      <c r="H47" s="275">
        <f>IF(I47=0,G47,WORKDAY(IF(WEEKDAY(G47,1)=7,G47+2,IF(WEEKDAY(G47,1)=1,G47+1,G47)),I47-1,holidays))</f>
        <v/>
      </c>
      <c r="I47" s="79" t="n">
        <v>21</v>
      </c>
      <c r="J47" s="80" t="n"/>
      <c r="K47" s="15">
        <f>IF(OR(G47=0,H47=0),0,H47-G47+1)</f>
        <v/>
      </c>
      <c r="L47" s="15">
        <f>MIN(K47,WORKDAY(G47,ROUNDDOWN(J47*I47,0),holidays)-G47)</f>
        <v/>
      </c>
      <c r="M47" s="14">
        <f>K47-L47</f>
        <v/>
      </c>
      <c r="N47" s="105">
        <f>IFERROR( INDEX( lead_color, MATCH(C47, lead, 0) ), "")</f>
        <v/>
      </c>
      <c r="O47" s="17" t="n"/>
      <c r="P47" s="111" t="n"/>
      <c r="Q47" s="111" t="n"/>
      <c r="R47" s="111" t="n"/>
      <c r="S47" s="111" t="n"/>
      <c r="T47" s="111" t="n"/>
      <c r="U47" s="111" t="n"/>
      <c r="V47" s="111" t="n"/>
      <c r="W47" s="111" t="n"/>
      <c r="X47" s="111" t="n"/>
      <c r="Y47" s="111" t="n"/>
      <c r="Z47" s="111" t="n"/>
      <c r="AA47" s="111" t="n"/>
      <c r="AB47" s="111" t="n"/>
      <c r="AC47" s="111" t="n"/>
      <c r="AD47" s="111" t="n"/>
      <c r="AE47" s="111" t="n"/>
      <c r="AF47" s="111" t="n"/>
      <c r="AG47" s="111" t="n"/>
      <c r="AH47" s="111" t="n"/>
      <c r="AI47" s="111" t="n"/>
      <c r="AJ47" s="111" t="n"/>
      <c r="AK47" s="111" t="n"/>
      <c r="AL47" s="111" t="n"/>
      <c r="AM47" s="111" t="n"/>
      <c r="AN47" s="111" t="n"/>
      <c r="AO47" s="111" t="n"/>
      <c r="AP47" s="111" t="n"/>
      <c r="AQ47" s="111" t="n"/>
      <c r="AR47" s="111" t="n"/>
      <c r="AS47" s="111" t="n"/>
      <c r="AT47" s="111" t="n"/>
      <c r="AU47" s="111" t="n"/>
      <c r="AV47" s="111" t="n"/>
      <c r="AW47" s="111" t="n"/>
      <c r="AX47" s="111" t="n"/>
      <c r="AY47" s="111" t="n"/>
      <c r="AZ47" s="111"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1" t="n"/>
      <c r="CF47" s="111" t="n"/>
      <c r="CG47" s="111" t="n"/>
      <c r="CH47" s="111" t="n"/>
      <c r="CI47" s="111" t="n"/>
      <c r="CJ47" s="111" t="n"/>
      <c r="CK47" s="111" t="n"/>
      <c r="CL47" s="111" t="n"/>
      <c r="CM47" s="111" t="n"/>
      <c r="CN47" s="111" t="n"/>
      <c r="CO47" s="111" t="n"/>
      <c r="CP47" s="111" t="n"/>
      <c r="CQ47" s="111" t="n"/>
      <c r="CR47" s="111" t="n"/>
      <c r="CS47" s="111" t="n"/>
      <c r="CT47" s="111" t="n"/>
      <c r="CU47" s="111" t="n"/>
      <c r="CV47" s="111" t="n"/>
      <c r="CW47" s="111" t="n"/>
      <c r="CX47" s="111" t="n"/>
      <c r="CY47" s="111" t="n"/>
      <c r="CZ47" s="111" t="n"/>
      <c r="DA47" s="111" t="n"/>
      <c r="DB47" s="111" t="n"/>
      <c r="DC47" s="111" t="n"/>
      <c r="DD47" s="111" t="n"/>
      <c r="DE47" s="111" t="n"/>
      <c r="DF47" s="111" t="n"/>
      <c r="DG47" s="111" t="n"/>
      <c r="DH47" s="111" t="n"/>
      <c r="DI47" s="111" t="n"/>
      <c r="DJ47" s="111" t="n"/>
      <c r="DK47" s="111" t="n"/>
      <c r="DL47" s="111" t="n"/>
      <c r="DM47" s="111" t="n"/>
      <c r="DN47" s="111" t="n"/>
      <c r="DO47" s="111" t="n"/>
      <c r="DP47" s="111" t="n"/>
      <c r="DQ47" s="111" t="n"/>
      <c r="DR47" s="111" t="n"/>
      <c r="DS47" s="111" t="n"/>
      <c r="DT47" s="111" t="n"/>
      <c r="DU47" s="111" t="n"/>
      <c r="DV47" s="111" t="n"/>
      <c r="DW47" s="111" t="n"/>
      <c r="DX47" s="111" t="n"/>
      <c r="DY47" s="111" t="n"/>
      <c r="DZ47" s="111" t="n"/>
      <c r="EA47" s="111" t="n"/>
      <c r="EB47" s="111" t="n"/>
      <c r="EC47" s="111" t="n"/>
      <c r="ED47" s="111" t="n"/>
      <c r="EE47" s="111" t="n"/>
      <c r="EF47" s="111" t="n"/>
      <c r="EG47" s="111" t="n"/>
      <c r="EH47" s="111" t="n"/>
      <c r="EI47" s="111" t="n"/>
      <c r="EJ47" s="111" t="n"/>
      <c r="EK47" s="111" t="n"/>
      <c r="EL47" s="111" t="n"/>
      <c r="EM47" s="111" t="n"/>
      <c r="EN47" s="111" t="n"/>
      <c r="EO47" s="111" t="n"/>
      <c r="EP47" s="111" t="n"/>
      <c r="EQ47" s="111" t="n"/>
      <c r="ER47" s="111" t="n"/>
      <c r="ES47" s="111" t="n"/>
      <c r="ET47" s="111" t="n"/>
      <c r="EU47" s="111" t="n"/>
      <c r="EV47" s="111" t="n"/>
      <c r="EW47" s="111" t="n"/>
      <c r="EX47" s="111" t="n"/>
      <c r="EY47" s="111" t="n"/>
      <c r="EZ47" s="111" t="n"/>
      <c r="FA47" s="111" t="n"/>
      <c r="FB47" s="111" t="n"/>
      <c r="FC47" s="111" t="n"/>
      <c r="FD47" s="111" t="n"/>
      <c r="FE47" s="111" t="n"/>
      <c r="FF47" s="111" t="n"/>
      <c r="FG47" s="111" t="n"/>
      <c r="FH47" s="111" t="n"/>
      <c r="FI47" s="111" t="n"/>
      <c r="FJ47" s="111" t="n"/>
      <c r="FK47" s="111" t="n"/>
      <c r="FL47" s="111" t="n"/>
      <c r="FM47" s="111" t="n"/>
      <c r="FN47" s="111" t="n"/>
      <c r="FO47" s="111" t="n"/>
      <c r="FP47" s="111" t="n"/>
      <c r="FQ47" s="111" t="n"/>
      <c r="FR47" s="111" t="n"/>
      <c r="FS47" s="111" t="n"/>
      <c r="FT47" s="111" t="n"/>
      <c r="FU47" s="111" t="n"/>
      <c r="FV47" s="111" t="n"/>
      <c r="FW47" s="111" t="n"/>
      <c r="FX47" s="111" t="n"/>
      <c r="FY47" s="111" t="n"/>
      <c r="FZ47" s="111" t="n"/>
      <c r="GA47" s="111" t="n"/>
      <c r="GB47" s="111" t="n"/>
      <c r="GC47" s="111" t="n"/>
      <c r="GD47" s="111" t="n"/>
      <c r="GE47" s="111" t="n"/>
      <c r="GF47" s="111" t="n"/>
      <c r="GG47" s="111" t="n"/>
      <c r="GH47" s="111" t="n"/>
      <c r="GI47" s="111" t="n"/>
      <c r="GJ47" s="111" t="n"/>
      <c r="GK47" s="111" t="n"/>
      <c r="GL47" s="111" t="n"/>
      <c r="GM47" s="111" t="n"/>
      <c r="GN47" s="111" t="n"/>
      <c r="GO47" s="111" t="n"/>
      <c r="GP47" s="111" t="n"/>
      <c r="GQ47" s="111" t="n"/>
      <c r="GR47" s="111" t="n"/>
      <c r="GS47" s="111" t="n"/>
      <c r="GT47" s="111" t="n"/>
      <c r="GU47" s="111" t="n"/>
      <c r="GV47" s="111" t="n"/>
      <c r="GW47" s="111" t="n"/>
      <c r="GX47" s="111" t="n"/>
      <c r="GY47" s="111" t="n"/>
      <c r="GZ47" s="111" t="n"/>
      <c r="HA47" s="111" t="n"/>
      <c r="HB47" s="111" t="n"/>
      <c r="HC47" s="111" t="n"/>
      <c r="HD47" s="111" t="n"/>
      <c r="HE47" s="111" t="n"/>
      <c r="HF47" s="111" t="n"/>
      <c r="HG47" s="111" t="n"/>
      <c r="HH47" s="111" t="n"/>
      <c r="HI47" s="111" t="n"/>
      <c r="HJ47" s="111" t="n"/>
      <c r="HK47" s="111" t="n"/>
      <c r="HL47" s="111" t="n"/>
      <c r="HM47" s="111" t="n"/>
      <c r="HN47" s="111" t="n"/>
      <c r="HO47" s="111" t="n"/>
      <c r="HP47" s="111" t="n"/>
      <c r="HQ47" s="111" t="n"/>
      <c r="HR47" s="111" t="n"/>
      <c r="HS47" s="111" t="n"/>
      <c r="HT47" s="111" t="n"/>
      <c r="HU47" s="111" t="n"/>
      <c r="HV47" s="111" t="n"/>
      <c r="HW47" s="111" t="n"/>
      <c r="HX47" s="111" t="n"/>
      <c r="HY47" s="111" t="n"/>
      <c r="HZ47" s="111" t="n"/>
      <c r="IA47" s="111" t="n"/>
      <c r="IB47" s="111" t="n"/>
      <c r="IC47" s="111" t="n"/>
      <c r="ID47" s="111" t="n"/>
      <c r="IE47" s="111" t="n"/>
      <c r="IF47" s="111" t="n"/>
      <c r="IG47" s="111" t="n"/>
      <c r="IH47" s="111" t="n"/>
      <c r="II47" s="111" t="n"/>
      <c r="IJ47" s="111" t="n"/>
      <c r="IK47" s="111" t="n"/>
      <c r="IL47" s="111" t="n"/>
      <c r="IM47" s="111" t="n"/>
      <c r="IN47" s="111" t="n"/>
      <c r="IO47" s="111" t="n"/>
      <c r="IP47" s="111" t="n"/>
      <c r="IQ47" s="111" t="n"/>
      <c r="IR47" s="111" t="n"/>
      <c r="IS47" s="111" t="n"/>
      <c r="IT47" s="111" t="n"/>
      <c r="IU47" s="111" t="n"/>
      <c r="IV47" s="111" t="n"/>
      <c r="IW47" s="111" t="n"/>
      <c r="IX47" s="111" t="n"/>
      <c r="IY47" s="111" t="n"/>
      <c r="IZ47" s="111" t="n"/>
      <c r="JA47" s="111" t="n"/>
      <c r="JB47" s="111" t="n"/>
      <c r="JC47" s="111" t="n"/>
      <c r="JD47" s="111" t="n"/>
      <c r="JE47" s="111" t="n"/>
      <c r="JF47" s="111" t="n"/>
      <c r="JG47" s="111" t="n"/>
      <c r="JH47" s="111" t="n"/>
      <c r="JI47" s="111" t="n"/>
      <c r="JJ47" s="111" t="n"/>
      <c r="JK47" s="111" t="n"/>
      <c r="JL47" s="111" t="n"/>
      <c r="JM47" s="111" t="n"/>
      <c r="JN47" s="111" t="n"/>
      <c r="JO47" s="111" t="n"/>
      <c r="JP47" s="111" t="n"/>
      <c r="JQ47" s="111" t="n"/>
      <c r="JR47" s="111" t="n"/>
      <c r="JS47" s="111" t="n"/>
      <c r="JT47" s="111" t="n"/>
      <c r="JU47" s="111" t="n"/>
      <c r="JV47" s="111" t="n"/>
      <c r="JW47" s="111" t="n"/>
      <c r="JX47" s="111" t="n"/>
      <c r="JY47" s="111" t="n"/>
      <c r="JZ47" s="111" t="n"/>
      <c r="KA47" s="111" t="n"/>
      <c r="KB47" s="111" t="n"/>
      <c r="KC47" s="111" t="n"/>
      <c r="KD47" s="111" t="n"/>
      <c r="KE47" s="111" t="n"/>
      <c r="KF47" s="111" t="n"/>
      <c r="KG47" s="111" t="n"/>
      <c r="KH47" s="111" t="n"/>
      <c r="KI47" s="111" t="n"/>
      <c r="KJ47" s="111" t="n"/>
      <c r="KK47" s="111" t="n"/>
      <c r="KL47" s="111" t="n"/>
      <c r="KM47" s="111" t="n"/>
      <c r="KN47" s="111" t="n"/>
      <c r="KO47" s="111" t="n"/>
      <c r="KP47" s="111" t="n"/>
      <c r="KQ47" s="111" t="n"/>
      <c r="KR47" s="111" t="n"/>
      <c r="KS47" s="111" t="n"/>
      <c r="KT47" s="111" t="n"/>
      <c r="KU47" s="111" t="n"/>
      <c r="KV47" s="111" t="n"/>
      <c r="KW47" s="111" t="n"/>
      <c r="KX47" s="111" t="n"/>
      <c r="KY47" s="111" t="n"/>
      <c r="KZ47" s="111" t="n"/>
      <c r="LA47" s="111" t="n"/>
      <c r="LB47" s="111" t="n"/>
      <c r="LC47" s="111" t="n"/>
      <c r="LD47" s="111" t="n"/>
      <c r="LE47" s="111" t="n"/>
      <c r="LF47" s="111" t="n"/>
      <c r="LG47" s="111" t="n"/>
      <c r="LH47" s="111" t="n"/>
      <c r="LI47" s="111" t="n"/>
      <c r="LJ47" s="111" t="n"/>
      <c r="LK47" s="111" t="n"/>
      <c r="LL47" s="111" t="n"/>
      <c r="LM47" s="111" t="n"/>
      <c r="LN47" s="111" t="n"/>
      <c r="LO47" s="111" t="n"/>
      <c r="LP47" s="111" t="n"/>
      <c r="LQ47" s="111" t="n"/>
      <c r="LR47" s="111" t="n"/>
      <c r="LS47" s="111" t="n"/>
      <c r="LT47" s="111" t="n"/>
      <c r="LU47" s="111" t="n"/>
      <c r="LV47" s="111" t="n"/>
      <c r="LW47" s="111" t="n"/>
      <c r="LX47" s="111" t="n"/>
      <c r="LY47" s="111" t="n"/>
      <c r="LZ47" s="111" t="n"/>
      <c r="MA47" s="111" t="n"/>
      <c r="MB47" s="111" t="n"/>
      <c r="MC47" s="111" t="n"/>
      <c r="MD47" s="111" t="n"/>
      <c r="ME47" s="111" t="n"/>
      <c r="MF47" s="111" t="n"/>
      <c r="MG47" s="111" t="n"/>
      <c r="MH47" s="111" t="n"/>
      <c r="MI47" s="111" t="n"/>
      <c r="MJ47" s="111" t="n"/>
      <c r="MK47" s="111" t="n"/>
      <c r="ML47" s="111" t="n"/>
      <c r="MM47" s="111" t="n"/>
      <c r="MN47" s="111" t="n"/>
      <c r="MO47" s="111" t="n"/>
      <c r="MP47" s="111" t="n"/>
      <c r="MQ47" s="111" t="n"/>
      <c r="MR47" s="111" t="n"/>
      <c r="MS47" s="111" t="n"/>
      <c r="MT47" s="111" t="n"/>
      <c r="MU47" s="111" t="n"/>
      <c r="MV47" s="111" t="n"/>
      <c r="MW47" s="111" t="n"/>
      <c r="MX47" s="111" t="n"/>
      <c r="MY47" s="111" t="n"/>
      <c r="MZ47" s="111" t="n"/>
      <c r="NA47" s="111" t="n"/>
      <c r="NB47" s="111" t="n"/>
      <c r="NC47" s="111" t="n"/>
      <c r="ND47" s="111" t="n"/>
      <c r="NE47" s="111" t="n"/>
      <c r="NF47" s="111" t="n"/>
      <c r="NG47" s="111" t="n"/>
      <c r="NH47" s="111" t="n"/>
      <c r="NI47" s="111" t="n"/>
      <c r="NJ47" s="111" t="n"/>
      <c r="NK47" s="111" t="n"/>
      <c r="NL47" s="111" t="n"/>
      <c r="NM47" s="111" t="n"/>
      <c r="NN47" s="111" t="n"/>
      <c r="NO47" s="111" t="n"/>
    </row>
    <row r="48" customFormat="1" s="17">
      <c r="A48" s="33">
        <f>IF(ISERROR(VALUE(SUBSTITUTE(OFFSET(A48,-1,0,1,1),".",""))),"0.1",IF(ISERROR(FIND("`",SUBSTITUTE(OFFSET(A48,-1,0,1,1),".","`",1))),OFFSET(A48,-1,0,1,1)&amp;".1",LEFT(OFFSET(A48,-1,0,1,1),FIND("`",SUBSTITUTE(OFFSET(A48,-1,0,1,1),".","`",1)))&amp;IF(ISERROR(FIND("`",SUBSTITUTE(OFFSET(A48,-1,0,1,1),".","`",2))),VALUE(RIGHT(OFFSET(A48,-1,0,1,1),LEN(OFFSET(A48,-1,0,1,1))-FIND("`",SUBSTITUTE(OFFSET(A48,-1,0,1,1),".","`",1))))+1,VALUE(MID(OFFSET(A48,-1,0,1,1),FIND("`",SUBSTITUTE(OFFSET(A48,-1,0,1,1),".","`",1))+1,(FIND("`",SUBSTITUTE(OFFSET(A48,-1,0,1,1),".","`",2))-FIND("`",SUBSTITUTE(OFFSET(A48,-1,0,1,1),".","`",1))-1)))+1)))</f>
        <v/>
      </c>
      <c r="B48" s="10" t="inlineStr">
        <is>
          <t>[ Level 2 Task ]</t>
        </is>
      </c>
      <c r="C48" s="11" t="inlineStr">
        <is>
          <t>Bill</t>
        </is>
      </c>
      <c r="D48" s="37" t="n"/>
      <c r="E48" s="37" t="n"/>
      <c r="F48" s="37" t="n"/>
      <c r="G48" s="274">
        <f>WORKDAY(G47,1,holidays)</f>
        <v/>
      </c>
      <c r="H48" s="275">
        <f>IF(I48=0,G48,WORKDAY(IF(WEEKDAY(G48,1)=7,G48+2,IF(WEEKDAY(G48,1)=1,G48+1,G48)),I48-1,holidays))</f>
        <v/>
      </c>
      <c r="I48" s="79" t="n">
        <v>21</v>
      </c>
      <c r="J48" s="80" t="n"/>
      <c r="K48" s="15">
        <f>IF(OR(G48=0,H48=0),0,H48-G48+1)</f>
        <v/>
      </c>
      <c r="L48" s="15">
        <f>MIN(K48,WORKDAY(G48,ROUNDDOWN(J48*I48,0),holidays)-G48)</f>
        <v/>
      </c>
      <c r="M48" s="14">
        <f>K48-L48</f>
        <v/>
      </c>
      <c r="N48" s="105">
        <f>IFERROR( INDEX( lead_color, MATCH(C48, lead, 0) ), "")</f>
        <v/>
      </c>
      <c r="O48" s="17" t="n"/>
      <c r="P48" s="111" t="n"/>
      <c r="Q48" s="111"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n"/>
      <c r="GU48" s="111" t="n"/>
      <c r="GV48" s="111" t="n"/>
      <c r="GW48" s="111" t="n"/>
      <c r="GX48" s="111" t="n"/>
      <c r="GY48" s="111" t="n"/>
      <c r="GZ48" s="111" t="n"/>
      <c r="HA48" s="111" t="n"/>
      <c r="HB48" s="111" t="n"/>
      <c r="HC48" s="111" t="n"/>
      <c r="HD48" s="111" t="n"/>
      <c r="HE48" s="111" t="n"/>
      <c r="HF48" s="111" t="n"/>
      <c r="HG48" s="111" t="n"/>
      <c r="HH48" s="111" t="n"/>
      <c r="HI48" s="111" t="n"/>
      <c r="HJ48" s="111" t="n"/>
      <c r="HK48" s="111" t="n"/>
      <c r="HL48" s="111" t="n"/>
      <c r="HM48" s="111" t="n"/>
      <c r="HN48" s="111" t="n"/>
      <c r="HO48" s="111" t="n"/>
      <c r="HP48" s="111" t="n"/>
      <c r="HQ48" s="111" t="n"/>
      <c r="HR48" s="111" t="n"/>
      <c r="HS48" s="111" t="n"/>
      <c r="HT48" s="111" t="n"/>
      <c r="HU48" s="111" t="n"/>
      <c r="HV48" s="111" t="n"/>
      <c r="HW48" s="111" t="n"/>
      <c r="HX48" s="111" t="n"/>
      <c r="HY48" s="111" t="n"/>
      <c r="HZ48" s="111" t="n"/>
      <c r="IA48" s="111" t="n"/>
      <c r="IB48" s="111" t="n"/>
      <c r="IC48" s="111" t="n"/>
      <c r="ID48" s="111" t="n"/>
      <c r="IE48" s="111" t="n"/>
      <c r="IF48" s="111" t="n"/>
      <c r="IG48" s="111" t="n"/>
      <c r="IH48" s="111" t="n"/>
      <c r="II48" s="111" t="n"/>
      <c r="IJ48" s="111" t="n"/>
      <c r="IK48" s="111" t="n"/>
      <c r="IL48" s="111" t="n"/>
      <c r="IM48" s="111" t="n"/>
      <c r="IN48" s="111" t="n"/>
      <c r="IO48" s="111" t="n"/>
      <c r="IP48" s="111" t="n"/>
      <c r="IQ48" s="111" t="n"/>
      <c r="IR48" s="111" t="n"/>
      <c r="IS48" s="111" t="n"/>
      <c r="IT48" s="111" t="n"/>
      <c r="IU48" s="111" t="n"/>
      <c r="IV48" s="111" t="n"/>
      <c r="IW48" s="111" t="n"/>
      <c r="IX48" s="111" t="n"/>
      <c r="IY48" s="111" t="n"/>
      <c r="IZ48" s="111" t="n"/>
      <c r="JA48" s="111" t="n"/>
      <c r="JB48" s="111" t="n"/>
      <c r="JC48" s="111" t="n"/>
      <c r="JD48" s="111" t="n"/>
      <c r="JE48" s="111" t="n"/>
      <c r="JF48" s="111" t="n"/>
      <c r="JG48" s="111" t="n"/>
      <c r="JH48" s="111" t="n"/>
      <c r="JI48" s="111" t="n"/>
      <c r="JJ48" s="111" t="n"/>
      <c r="JK48" s="111" t="n"/>
      <c r="JL48" s="111" t="n"/>
      <c r="JM48" s="111" t="n"/>
      <c r="JN48" s="111" t="n"/>
      <c r="JO48" s="111" t="n"/>
      <c r="JP48" s="111" t="n"/>
      <c r="JQ48" s="111" t="n"/>
      <c r="JR48" s="111" t="n"/>
      <c r="JS48" s="111" t="n"/>
      <c r="JT48" s="111" t="n"/>
      <c r="JU48" s="111" t="n"/>
      <c r="JV48" s="111" t="n"/>
      <c r="JW48" s="111" t="n"/>
      <c r="JX48" s="111" t="n"/>
      <c r="JY48" s="111" t="n"/>
      <c r="JZ48" s="111" t="n"/>
      <c r="KA48" s="111" t="n"/>
      <c r="KB48" s="111" t="n"/>
      <c r="KC48" s="111" t="n"/>
      <c r="KD48" s="111" t="n"/>
      <c r="KE48" s="111" t="n"/>
      <c r="KF48" s="111" t="n"/>
      <c r="KG48" s="111" t="n"/>
      <c r="KH48" s="111" t="n"/>
      <c r="KI48" s="111" t="n"/>
      <c r="KJ48" s="111" t="n"/>
      <c r="KK48" s="111" t="n"/>
      <c r="KL48" s="111" t="n"/>
      <c r="KM48" s="111" t="n"/>
      <c r="KN48" s="111" t="n"/>
      <c r="KO48" s="111" t="n"/>
      <c r="KP48" s="111" t="n"/>
      <c r="KQ48" s="111" t="n"/>
      <c r="KR48" s="111" t="n"/>
      <c r="KS48" s="111" t="n"/>
      <c r="KT48" s="111" t="n"/>
      <c r="KU48" s="111" t="n"/>
      <c r="KV48" s="111" t="n"/>
      <c r="KW48" s="111" t="n"/>
      <c r="KX48" s="111" t="n"/>
      <c r="KY48" s="111" t="n"/>
      <c r="KZ48" s="111" t="n"/>
      <c r="LA48" s="111" t="n"/>
      <c r="LB48" s="111" t="n"/>
      <c r="LC48" s="111" t="n"/>
      <c r="LD48" s="111" t="n"/>
      <c r="LE48" s="111" t="n"/>
      <c r="LF48" s="111" t="n"/>
      <c r="LG48" s="111" t="n"/>
      <c r="LH48" s="111" t="n"/>
      <c r="LI48" s="111" t="n"/>
      <c r="LJ48" s="111" t="n"/>
      <c r="LK48" s="111" t="n"/>
      <c r="LL48" s="111" t="n"/>
      <c r="LM48" s="111" t="n"/>
      <c r="LN48" s="111" t="n"/>
      <c r="LO48" s="111" t="n"/>
      <c r="LP48" s="111" t="n"/>
      <c r="LQ48" s="111" t="n"/>
      <c r="LR48" s="111" t="n"/>
      <c r="LS48" s="111" t="n"/>
      <c r="LT48" s="111" t="n"/>
      <c r="LU48" s="111" t="n"/>
      <c r="LV48" s="111" t="n"/>
      <c r="LW48" s="111" t="n"/>
      <c r="LX48" s="111" t="n"/>
      <c r="LY48" s="111" t="n"/>
      <c r="LZ48" s="111" t="n"/>
      <c r="MA48" s="111" t="n"/>
      <c r="MB48" s="111" t="n"/>
      <c r="MC48" s="111" t="n"/>
      <c r="MD48" s="111" t="n"/>
      <c r="ME48" s="111" t="n"/>
      <c r="MF48" s="111" t="n"/>
      <c r="MG48" s="111" t="n"/>
      <c r="MH48" s="111" t="n"/>
      <c r="MI48" s="111" t="n"/>
      <c r="MJ48" s="111" t="n"/>
      <c r="MK48" s="111" t="n"/>
      <c r="ML48" s="111" t="n"/>
      <c r="MM48" s="111" t="n"/>
      <c r="MN48" s="111" t="n"/>
      <c r="MO48" s="111" t="n"/>
      <c r="MP48" s="111" t="n"/>
      <c r="MQ48" s="111" t="n"/>
      <c r="MR48" s="111" t="n"/>
      <c r="MS48" s="111" t="n"/>
      <c r="MT48" s="111" t="n"/>
      <c r="MU48" s="111" t="n"/>
      <c r="MV48" s="111" t="n"/>
      <c r="MW48" s="111" t="n"/>
      <c r="MX48" s="111" t="n"/>
      <c r="MY48" s="111" t="n"/>
      <c r="MZ48" s="111" t="n"/>
      <c r="NA48" s="111" t="n"/>
      <c r="NB48" s="111" t="n"/>
      <c r="NC48" s="111" t="n"/>
      <c r="ND48" s="111" t="n"/>
      <c r="NE48" s="111" t="n"/>
      <c r="NF48" s="111" t="n"/>
      <c r="NG48" s="111" t="n"/>
      <c r="NH48" s="111" t="n"/>
      <c r="NI48" s="111" t="n"/>
      <c r="NJ48" s="111" t="n"/>
      <c r="NK48" s="111" t="n"/>
      <c r="NL48" s="111" t="n"/>
      <c r="NM48" s="111" t="n"/>
      <c r="NN48" s="111" t="n"/>
      <c r="NO48" s="111" t="n"/>
    </row>
    <row r="49" ht="12.75" customFormat="1" customHeight="1" s="17">
      <c r="A49" s="33">
        <f>IF(ISERROR(VALUE(SUBSTITUTE(OFFSET(A49,-1,0,1,1),".",""))),"0.1",IF(ISERROR(FIND("`",SUBSTITUTE(OFFSET(A49,-1,0,1,1),".","`",1))),OFFSET(A49,-1,0,1,1)&amp;".1",LEFT(OFFSET(A49,-1,0,1,1),FIND("`",SUBSTITUTE(OFFSET(A49,-1,0,1,1),".","`",1)))&amp;IF(ISERROR(FIND("`",SUBSTITUTE(OFFSET(A49,-1,0,1,1),".","`",2))),VALUE(RIGHT(OFFSET(A49,-1,0,1,1),LEN(OFFSET(A49,-1,0,1,1))-FIND("`",SUBSTITUTE(OFFSET(A49,-1,0,1,1),".","`",1))))+1,VALUE(MID(OFFSET(A49,-1,0,1,1),FIND("`",SUBSTITUTE(OFFSET(A49,-1,0,1,1),".","`",1))+1,(FIND("`",SUBSTITUTE(OFFSET(A49,-1,0,1,1),".","`",2))-FIND("`",SUBSTITUTE(OFFSET(A49,-1,0,1,1),".","`",1))-1)))+1)))</f>
        <v/>
      </c>
      <c r="B49" s="32" t="inlineStr">
        <is>
          <t>[Insert Rows above this one, then Hide or Delete this row]</t>
        </is>
      </c>
      <c r="C49" s="32" t="n"/>
      <c r="D49" s="37" t="n"/>
      <c r="E49" s="37" t="n"/>
      <c r="F49" s="37" t="n"/>
      <c r="G49" s="32" t="n"/>
      <c r="H49" s="32" t="n"/>
      <c r="I49" s="21" t="n"/>
      <c r="J49" s="22" t="n"/>
      <c r="K49" s="15" t="n"/>
      <c r="L49" s="15" t="n"/>
      <c r="M49" s="14" t="n"/>
      <c r="N49" s="14" t="n"/>
      <c r="P49" s="111" t="n"/>
      <c r="Q49" s="111"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n"/>
      <c r="GS49" s="111" t="n"/>
      <c r="GT49" s="111" t="n"/>
      <c r="GU49" s="111" t="n"/>
      <c r="GV49" s="111" t="n"/>
      <c r="GW49" s="111" t="n"/>
      <c r="GX49" s="111" t="n"/>
      <c r="GY49" s="111" t="n"/>
      <c r="GZ49" s="111" t="n"/>
      <c r="HA49" s="111" t="n"/>
      <c r="HB49" s="111" t="n"/>
      <c r="HC49" s="111" t="n"/>
      <c r="HD49" s="111" t="n"/>
      <c r="HE49" s="111" t="n"/>
      <c r="HF49" s="111" t="n"/>
      <c r="HG49" s="111" t="n"/>
      <c r="HH49" s="111" t="n"/>
      <c r="HI49" s="111" t="n"/>
      <c r="HJ49" s="111" t="n"/>
      <c r="HK49" s="111" t="n"/>
      <c r="HL49" s="111" t="n"/>
      <c r="HM49" s="111" t="n"/>
      <c r="HN49" s="111" t="n"/>
      <c r="HO49" s="111" t="n"/>
      <c r="HP49" s="111" t="n"/>
      <c r="HQ49" s="111" t="n"/>
      <c r="HR49" s="111" t="n"/>
      <c r="HS49" s="111" t="n"/>
      <c r="HT49" s="111" t="n"/>
      <c r="HU49" s="111" t="n"/>
      <c r="HV49" s="111" t="n"/>
      <c r="HW49" s="111" t="n"/>
      <c r="HX49" s="111" t="n"/>
      <c r="HY49" s="111" t="n"/>
      <c r="HZ49" s="111" t="n"/>
      <c r="IA49" s="111" t="n"/>
      <c r="IB49" s="111" t="n"/>
      <c r="IC49" s="111" t="n"/>
      <c r="ID49" s="111" t="n"/>
      <c r="IE49" s="111" t="n"/>
      <c r="IF49" s="111" t="n"/>
      <c r="IG49" s="111" t="n"/>
      <c r="IH49" s="111" t="n"/>
      <c r="II49" s="111" t="n"/>
      <c r="IJ49" s="111" t="n"/>
      <c r="IK49" s="111" t="n"/>
      <c r="IL49" s="111" t="n"/>
      <c r="IM49" s="111" t="n"/>
      <c r="IN49" s="111" t="n"/>
      <c r="IO49" s="111" t="n"/>
      <c r="IP49" s="111" t="n"/>
      <c r="IQ49" s="111" t="n"/>
      <c r="IR49" s="111" t="n"/>
      <c r="IS49" s="111" t="n"/>
      <c r="IT49" s="111" t="n"/>
      <c r="IU49" s="111" t="n"/>
      <c r="IV49" s="111" t="n"/>
      <c r="IW49" s="111" t="n"/>
      <c r="IX49" s="111" t="n"/>
      <c r="IY49" s="111" t="n"/>
      <c r="IZ49" s="111" t="n"/>
      <c r="JA49" s="111" t="n"/>
      <c r="JB49" s="111" t="n"/>
      <c r="JC49" s="111" t="n"/>
      <c r="JD49" s="111" t="n"/>
      <c r="JE49" s="111" t="n"/>
      <c r="JF49" s="111" t="n"/>
      <c r="JG49" s="111" t="n"/>
      <c r="JH49" s="111" t="n"/>
      <c r="JI49" s="111" t="n"/>
      <c r="JJ49" s="111" t="n"/>
      <c r="JK49" s="111" t="n"/>
      <c r="JL49" s="111" t="n"/>
      <c r="JM49" s="111" t="n"/>
      <c r="JN49" s="111" t="n"/>
      <c r="JO49" s="111" t="n"/>
      <c r="JP49" s="111" t="n"/>
      <c r="JQ49" s="111" t="n"/>
      <c r="JR49" s="111" t="n"/>
      <c r="JS49" s="111" t="n"/>
      <c r="JT49" s="111" t="n"/>
      <c r="JU49" s="111" t="n"/>
      <c r="JV49" s="111" t="n"/>
      <c r="JW49" s="111" t="n"/>
      <c r="JX49" s="111" t="n"/>
      <c r="JY49" s="111" t="n"/>
      <c r="JZ49" s="111" t="n"/>
      <c r="KA49" s="111" t="n"/>
      <c r="KB49" s="111" t="n"/>
      <c r="KC49" s="111" t="n"/>
      <c r="KD49" s="111" t="n"/>
      <c r="KE49" s="111" t="n"/>
      <c r="KF49" s="111" t="n"/>
      <c r="KG49" s="111" t="n"/>
      <c r="KH49" s="111" t="n"/>
      <c r="KI49" s="111" t="n"/>
      <c r="KJ49" s="111" t="n"/>
      <c r="KK49" s="111" t="n"/>
      <c r="KL49" s="111" t="n"/>
      <c r="KM49" s="111" t="n"/>
      <c r="KN49" s="111" t="n"/>
      <c r="KO49" s="111" t="n"/>
      <c r="KP49" s="111" t="n"/>
      <c r="KQ49" s="111" t="n"/>
      <c r="KR49" s="111" t="n"/>
      <c r="KS49" s="111" t="n"/>
      <c r="KT49" s="111" t="n"/>
      <c r="KU49" s="111" t="n"/>
      <c r="KV49" s="111" t="n"/>
      <c r="KW49" s="111" t="n"/>
      <c r="KX49" s="111" t="n"/>
      <c r="KY49" s="111" t="n"/>
      <c r="KZ49" s="111" t="n"/>
      <c r="LA49" s="111" t="n"/>
      <c r="LB49" s="111" t="n"/>
      <c r="LC49" s="111" t="n"/>
      <c r="LD49" s="111" t="n"/>
      <c r="LE49" s="111" t="n"/>
      <c r="LF49" s="111" t="n"/>
      <c r="LG49" s="111" t="n"/>
      <c r="LH49" s="111" t="n"/>
      <c r="LI49" s="111" t="n"/>
      <c r="LJ49" s="111" t="n"/>
      <c r="LK49" s="111" t="n"/>
      <c r="LL49" s="111" t="n"/>
      <c r="LM49" s="111" t="n"/>
      <c r="LN49" s="111" t="n"/>
      <c r="LO49" s="111" t="n"/>
      <c r="LP49" s="111" t="n"/>
      <c r="LQ49" s="111" t="n"/>
      <c r="LR49" s="111" t="n"/>
      <c r="LS49" s="111" t="n"/>
      <c r="LT49" s="111" t="n"/>
      <c r="LU49" s="111" t="n"/>
      <c r="LV49" s="111" t="n"/>
      <c r="LW49" s="111" t="n"/>
      <c r="LX49" s="111" t="n"/>
      <c r="LY49" s="111" t="n"/>
      <c r="LZ49" s="111" t="n"/>
      <c r="MA49" s="111" t="n"/>
      <c r="MB49" s="111" t="n"/>
      <c r="MC49" s="111" t="n"/>
      <c r="MD49" s="111" t="n"/>
      <c r="ME49" s="111" t="n"/>
      <c r="MF49" s="111" t="n"/>
      <c r="MG49" s="111" t="n"/>
      <c r="MH49" s="111" t="n"/>
      <c r="MI49" s="111" t="n"/>
      <c r="MJ49" s="111" t="n"/>
      <c r="MK49" s="111" t="n"/>
      <c r="ML49" s="111" t="n"/>
      <c r="MM49" s="111" t="n"/>
      <c r="MN49" s="111" t="n"/>
      <c r="MO49" s="111" t="n"/>
      <c r="MP49" s="111" t="n"/>
      <c r="MQ49" s="111" t="n"/>
      <c r="MR49" s="111" t="n"/>
      <c r="MS49" s="111" t="n"/>
      <c r="MT49" s="111" t="n"/>
      <c r="MU49" s="111" t="n"/>
      <c r="MV49" s="111" t="n"/>
      <c r="MW49" s="111" t="n"/>
      <c r="MX49" s="111" t="n"/>
      <c r="MY49" s="111" t="n"/>
      <c r="MZ49" s="111" t="n"/>
      <c r="NA49" s="111" t="n"/>
      <c r="NB49" s="111" t="n"/>
      <c r="NC49" s="111" t="n"/>
      <c r="ND49" s="111" t="n"/>
      <c r="NE49" s="111" t="n"/>
      <c r="NF49" s="111" t="n"/>
      <c r="NG49" s="111" t="n"/>
      <c r="NH49" s="111" t="n"/>
      <c r="NI49" s="111" t="n"/>
      <c r="NJ49" s="111" t="n"/>
      <c r="NK49" s="111" t="n"/>
      <c r="NL49" s="111" t="n"/>
      <c r="NM49" s="111" t="n"/>
      <c r="NN49" s="111" t="n"/>
      <c r="NO49" s="111" t="n"/>
    </row>
    <row r="50" customFormat="1" s="76">
      <c r="A50" s="70">
        <f>IF(ISERROR(VALUE(SUBSTITUTE(OFFSET(A50,-1,0,1,1),".",""))),"1",IF(ISERROR(FIND("`",SUBSTITUTE(OFFSET(A50,-1,0,1,1),".","`",1))),TEXT(VALUE(OFFSET(A50,-1,0,1,1))+1,"#"),TEXT(VALUE(LEFT(OFFSET(A50,-1,0,1,1),FIND("`",SUBSTITUTE(OFFSET(A50,-1,0,1,1),".","`",1))-1))+1,"#")))</f>
        <v/>
      </c>
      <c r="B50" s="71" t="inlineStr">
        <is>
          <t>[ Combined Color-Coding ]</t>
        </is>
      </c>
      <c r="C50" s="72" t="inlineStr">
        <is>
          <t>[ name ]</t>
        </is>
      </c>
      <c r="D50" s="73" t="n"/>
      <c r="E50" s="73" t="n"/>
      <c r="F50" s="73" t="n"/>
      <c r="G50" s="273">
        <f>MIN(G51:G61)</f>
        <v/>
      </c>
      <c r="H50" s="276">
        <f>MAX(H51:H61)</f>
        <v/>
      </c>
      <c r="I50" s="74">
        <f>NETWORKDAYS(G50,H50,holidays)</f>
        <v/>
      </c>
      <c r="J50" s="83">
        <f>SUMPRODUCT(I51:I61,J51:J61)/SUM(I51:I61)</f>
        <v/>
      </c>
      <c r="K50" s="75">
        <f>IF(OR(G50=0,H50=0),0,H50-G50+1)</f>
        <v/>
      </c>
      <c r="L50" s="75">
        <f>MIN(K50,WORKDAY(G50,ROUNDDOWN(J50*I50,0),holidays)-G50)</f>
        <v/>
      </c>
      <c r="M50" s="74">
        <f>K50-L50</f>
        <v/>
      </c>
      <c r="N50" s="105">
        <f>IF(H50&lt;$G$7 +  INDEX(urgency,1),"r",IF(H50&lt;$G$7 +  INDEX(urgency,2),"o",IF(H50&lt;$G$7 +  INDEX(urgency,3),"y", IFERROR( INDEX( lead_color, MATCH(C50, lead, 0) ), "") )))</f>
        <v/>
      </c>
      <c r="O50" s="17" t="n"/>
      <c r="P50" s="111" t="n"/>
      <c r="Q50" s="111"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n"/>
      <c r="GU50" s="111" t="n"/>
      <c r="GV50" s="111" t="n"/>
      <c r="GW50" s="111" t="n"/>
      <c r="GX50" s="111" t="n"/>
      <c r="GY50" s="111" t="n"/>
      <c r="GZ50" s="111" t="n"/>
      <c r="HA50" s="111" t="n"/>
      <c r="HB50" s="111" t="n"/>
      <c r="HC50" s="111" t="n"/>
      <c r="HD50" s="111" t="n"/>
      <c r="HE50" s="111" t="n"/>
      <c r="HF50" s="111" t="n"/>
      <c r="HG50" s="111" t="n"/>
      <c r="HH50" s="111" t="n"/>
      <c r="HI50" s="111" t="n"/>
      <c r="HJ50" s="111" t="n"/>
      <c r="HK50" s="111" t="n"/>
      <c r="HL50" s="111" t="n"/>
      <c r="HM50" s="111" t="n"/>
      <c r="HN50" s="111" t="n"/>
      <c r="HO50" s="111" t="n"/>
      <c r="HP50" s="111" t="n"/>
      <c r="HQ50" s="111" t="n"/>
      <c r="HR50" s="111" t="n"/>
      <c r="HS50" s="111" t="n"/>
      <c r="HT50" s="111" t="n"/>
      <c r="HU50" s="111" t="n"/>
      <c r="HV50" s="111" t="n"/>
      <c r="HW50" s="111" t="n"/>
      <c r="HX50" s="111" t="n"/>
      <c r="HY50" s="111" t="n"/>
      <c r="HZ50" s="111" t="n"/>
      <c r="IA50" s="111" t="n"/>
      <c r="IB50" s="111" t="n"/>
      <c r="IC50" s="111" t="n"/>
      <c r="ID50" s="111" t="n"/>
      <c r="IE50" s="111" t="n"/>
      <c r="IF50" s="111" t="n"/>
      <c r="IG50" s="111" t="n"/>
      <c r="IH50" s="111" t="n"/>
      <c r="II50" s="111" t="n"/>
      <c r="IJ50" s="111" t="n"/>
      <c r="IK50" s="111" t="n"/>
      <c r="IL50" s="111" t="n"/>
      <c r="IM50" s="111" t="n"/>
      <c r="IN50" s="111" t="n"/>
      <c r="IO50" s="111" t="n"/>
      <c r="IP50" s="111" t="n"/>
      <c r="IQ50" s="111" t="n"/>
      <c r="IR50" s="111" t="n"/>
      <c r="IS50" s="111" t="n"/>
      <c r="IT50" s="111" t="n"/>
      <c r="IU50" s="111" t="n"/>
      <c r="IV50" s="111" t="n"/>
      <c r="IW50" s="111" t="n"/>
      <c r="IX50" s="111" t="n"/>
      <c r="IY50" s="111" t="n"/>
      <c r="IZ50" s="111" t="n"/>
      <c r="JA50" s="111" t="n"/>
      <c r="JB50" s="111" t="n"/>
      <c r="JC50" s="111" t="n"/>
      <c r="JD50" s="111" t="n"/>
      <c r="JE50" s="111" t="n"/>
      <c r="JF50" s="111" t="n"/>
      <c r="JG50" s="111" t="n"/>
      <c r="JH50" s="111" t="n"/>
      <c r="JI50" s="111" t="n"/>
      <c r="JJ50" s="111" t="n"/>
      <c r="JK50" s="111" t="n"/>
      <c r="JL50" s="111" t="n"/>
      <c r="JM50" s="111" t="n"/>
      <c r="JN50" s="111" t="n"/>
      <c r="JO50" s="111" t="n"/>
      <c r="JP50" s="111" t="n"/>
      <c r="JQ50" s="111" t="n"/>
      <c r="JR50" s="111" t="n"/>
      <c r="JS50" s="111" t="n"/>
      <c r="JT50" s="111" t="n"/>
      <c r="JU50" s="111" t="n"/>
      <c r="JV50" s="111" t="n"/>
      <c r="JW50" s="111" t="n"/>
      <c r="JX50" s="111" t="n"/>
      <c r="JY50" s="111" t="n"/>
      <c r="JZ50" s="111" t="n"/>
      <c r="KA50" s="111" t="n"/>
      <c r="KB50" s="111" t="n"/>
      <c r="KC50" s="111" t="n"/>
      <c r="KD50" s="111" t="n"/>
      <c r="KE50" s="111" t="n"/>
      <c r="KF50" s="111" t="n"/>
      <c r="KG50" s="111" t="n"/>
      <c r="KH50" s="111" t="n"/>
      <c r="KI50" s="111" t="n"/>
      <c r="KJ50" s="111" t="n"/>
      <c r="KK50" s="111" t="n"/>
      <c r="KL50" s="111" t="n"/>
      <c r="KM50" s="111" t="n"/>
      <c r="KN50" s="111" t="n"/>
      <c r="KO50" s="111" t="n"/>
      <c r="KP50" s="111" t="n"/>
      <c r="KQ50" s="111" t="n"/>
      <c r="KR50" s="111" t="n"/>
      <c r="KS50" s="111" t="n"/>
      <c r="KT50" s="111" t="n"/>
      <c r="KU50" s="111" t="n"/>
      <c r="KV50" s="111" t="n"/>
      <c r="KW50" s="111" t="n"/>
      <c r="KX50" s="111" t="n"/>
      <c r="KY50" s="111" t="n"/>
      <c r="KZ50" s="111" t="n"/>
      <c r="LA50" s="111" t="n"/>
      <c r="LB50" s="111" t="n"/>
      <c r="LC50" s="111" t="n"/>
      <c r="LD50" s="111" t="n"/>
      <c r="LE50" s="111" t="n"/>
      <c r="LF50" s="111" t="n"/>
      <c r="LG50" s="111" t="n"/>
      <c r="LH50" s="111" t="n"/>
      <c r="LI50" s="111" t="n"/>
      <c r="LJ50" s="111" t="n"/>
      <c r="LK50" s="111" t="n"/>
      <c r="LL50" s="111" t="n"/>
      <c r="LM50" s="111" t="n"/>
      <c r="LN50" s="111" t="n"/>
      <c r="LO50" s="111" t="n"/>
      <c r="LP50" s="111" t="n"/>
      <c r="LQ50" s="111" t="n"/>
      <c r="LR50" s="111" t="n"/>
      <c r="LS50" s="111" t="n"/>
      <c r="LT50" s="111" t="n"/>
      <c r="LU50" s="111" t="n"/>
      <c r="LV50" s="111" t="n"/>
      <c r="LW50" s="111" t="n"/>
      <c r="LX50" s="111" t="n"/>
      <c r="LY50" s="111" t="n"/>
      <c r="LZ50" s="111" t="n"/>
      <c r="MA50" s="111" t="n"/>
      <c r="MB50" s="111" t="n"/>
      <c r="MC50" s="111" t="n"/>
      <c r="MD50" s="111" t="n"/>
      <c r="ME50" s="111" t="n"/>
      <c r="MF50" s="111" t="n"/>
      <c r="MG50" s="111" t="n"/>
      <c r="MH50" s="111" t="n"/>
      <c r="MI50" s="111" t="n"/>
      <c r="MJ50" s="111" t="n"/>
      <c r="MK50" s="111" t="n"/>
      <c r="ML50" s="111" t="n"/>
      <c r="MM50" s="111" t="n"/>
      <c r="MN50" s="111" t="n"/>
      <c r="MO50" s="111" t="n"/>
      <c r="MP50" s="111" t="n"/>
      <c r="MQ50" s="111" t="n"/>
      <c r="MR50" s="111" t="n"/>
      <c r="MS50" s="111" t="n"/>
      <c r="MT50" s="111" t="n"/>
      <c r="MU50" s="111" t="n"/>
      <c r="MV50" s="111" t="n"/>
      <c r="MW50" s="111" t="n"/>
      <c r="MX50" s="111" t="n"/>
      <c r="MY50" s="111" t="n"/>
      <c r="MZ50" s="111" t="n"/>
      <c r="NA50" s="111" t="n"/>
      <c r="NB50" s="111" t="n"/>
      <c r="NC50" s="111" t="n"/>
      <c r="ND50" s="111" t="n"/>
      <c r="NE50" s="111" t="n"/>
      <c r="NF50" s="111" t="n"/>
      <c r="NG50" s="111" t="n"/>
      <c r="NH50" s="111" t="n"/>
      <c r="NI50" s="111" t="n"/>
      <c r="NJ50" s="111" t="n"/>
      <c r="NK50" s="111" t="n"/>
      <c r="NL50" s="111" t="n"/>
      <c r="NM50" s="111" t="n"/>
      <c r="NN50" s="111" t="n"/>
      <c r="NO50" s="111" t="n"/>
    </row>
    <row r="51" customFormat="1" s="17">
      <c r="A51" s="33">
        <f>IF(ISERROR(VALUE(SUBSTITUTE(OFFSET(A51,-1,0,1,1),".",""))),"0.1",IF(ISERROR(FIND("`",SUBSTITUTE(OFFSET(A51,-1,0,1,1),".","`",1))),OFFSET(A51,-1,0,1,1)&amp;".1",LEFT(OFFSET(A51,-1,0,1,1),FIND("`",SUBSTITUTE(OFFSET(A51,-1,0,1,1),".","`",1)))&amp;IF(ISERROR(FIND("`",SUBSTITUTE(OFFSET(A51,-1,0,1,1),".","`",2))),VALUE(RIGHT(OFFSET(A51,-1,0,1,1),LEN(OFFSET(A51,-1,0,1,1))-FIND("`",SUBSTITUTE(OFFSET(A51,-1,0,1,1),".","`",1))))+1,VALUE(MID(OFFSET(A51,-1,0,1,1),FIND("`",SUBSTITUTE(OFFSET(A51,-1,0,1,1),".","`",1))+1,(FIND("`",SUBSTITUTE(OFFSET(A51,-1,0,1,1),".","`",2))-FIND("`",SUBSTITUTE(OFFSET(A51,-1,0,1,1),".","`",1))-1)))+1)))</f>
        <v/>
      </c>
      <c r="B51" s="10" t="inlineStr">
        <is>
          <t>[ Level 2 Task ]</t>
        </is>
      </c>
      <c r="C51" s="11" t="inlineStr">
        <is>
          <t>Sarah</t>
        </is>
      </c>
      <c r="D51" s="37" t="n"/>
      <c r="E51" s="37" t="n"/>
      <c r="F51" s="37" t="n"/>
      <c r="G51" s="274" t="n">
        <v>41338</v>
      </c>
      <c r="H51" s="275">
        <f>IF(I51=0,G51,WORKDAY(IF(WEEKDAY(G51,1)=7,G51+2,IF(WEEKDAY(G51,1)=1,G51+1,G51)),I51-1,holidays))</f>
        <v/>
      </c>
      <c r="I51" s="79" t="n">
        <v>10</v>
      </c>
      <c r="J51" s="13" t="n"/>
      <c r="K51" s="15">
        <f>IF(OR(G51=0,H51=0),0,H51-G51+1)</f>
        <v/>
      </c>
      <c r="L51" s="15">
        <f>MIN(K51,WORKDAY(G51,ROUNDDOWN(J51*I51,0),holidays)-G51)</f>
        <v/>
      </c>
      <c r="M51" s="14">
        <f>K51-L51</f>
        <v/>
      </c>
      <c r="N51" s="105">
        <f>IF(H51&lt;$G$7 + INDEX(urgency,1),"r",IF(H51&lt;$G$7 + INDEX(urgency,2),"o",IF(H51&lt;$G$7 + INDEX(urgency,3),"y", IFERROR( INDEX( lead_color, MATCH(C51, lead, 0) ), "") )))</f>
        <v/>
      </c>
      <c r="O51" s="17" t="n"/>
      <c r="P51" s="111" t="n"/>
      <c r="Q51" s="111"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1" t="n"/>
      <c r="BD51" s="111" t="n"/>
      <c r="BE51" s="111" t="n"/>
      <c r="BF51" s="111" t="n"/>
      <c r="BG51" s="111" t="n"/>
      <c r="BH51" s="111" t="n"/>
      <c r="BI51" s="111" t="n"/>
      <c r="BJ51" s="111" t="n"/>
      <c r="BK51" s="111" t="n"/>
      <c r="BL51" s="111" t="n"/>
      <c r="BM51" s="111" t="n"/>
      <c r="BN51" s="111" t="n"/>
      <c r="BO51" s="111" t="n"/>
      <c r="BP51" s="111" t="n"/>
      <c r="BQ51" s="111" t="n"/>
      <c r="BR51" s="111" t="n"/>
      <c r="BS51" s="111" t="n"/>
      <c r="BT51" s="111" t="n"/>
      <c r="BU51" s="111" t="n"/>
      <c r="BV51" s="111" t="n"/>
      <c r="BW51" s="111" t="n"/>
      <c r="BX51" s="111" t="n"/>
      <c r="BY51" s="111" t="n"/>
      <c r="BZ51" s="111" t="n"/>
      <c r="CA51" s="111" t="n"/>
      <c r="CB51" s="111" t="n"/>
      <c r="CC51" s="111" t="n"/>
      <c r="CD51" s="111" t="n"/>
      <c r="CE51" s="111" t="n"/>
      <c r="CF51" s="111"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1" t="n"/>
      <c r="DS51" s="111" t="n"/>
      <c r="DT51" s="111" t="n"/>
      <c r="DU51" s="111" t="n"/>
      <c r="DV51" s="111" t="n"/>
      <c r="DW51" s="111" t="n"/>
      <c r="DX51" s="111" t="n"/>
      <c r="DY51" s="111" t="n"/>
      <c r="DZ51" s="111" t="n"/>
      <c r="EA51" s="111" t="n"/>
      <c r="EB51" s="111" t="n"/>
      <c r="EC51" s="111" t="n"/>
      <c r="ED51" s="111" t="n"/>
      <c r="EE51" s="111" t="n"/>
      <c r="EF51" s="111" t="n"/>
      <c r="EG51" s="111" t="n"/>
      <c r="EH51" s="111" t="n"/>
      <c r="EI51" s="111" t="n"/>
      <c r="EJ51" s="111" t="n"/>
      <c r="EK51" s="111" t="n"/>
      <c r="EL51" s="111" t="n"/>
      <c r="EM51" s="111" t="n"/>
      <c r="EN51" s="111" t="n"/>
      <c r="EO51" s="111" t="n"/>
      <c r="EP51" s="111" t="n"/>
      <c r="EQ51" s="111" t="n"/>
      <c r="ER51" s="111" t="n"/>
      <c r="ES51" s="111" t="n"/>
      <c r="ET51" s="111" t="n"/>
      <c r="EU51" s="111" t="n"/>
      <c r="EV51" s="111" t="n"/>
      <c r="EW51" s="111" t="n"/>
      <c r="EX51" s="111" t="n"/>
      <c r="EY51" s="111" t="n"/>
      <c r="EZ51" s="111" t="n"/>
      <c r="FA51" s="111" t="n"/>
      <c r="FB51" s="111"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1" t="n"/>
      <c r="GH51" s="111" t="n"/>
      <c r="GI51" s="111" t="n"/>
      <c r="GJ51" s="111" t="n"/>
      <c r="GK51" s="111" t="n"/>
      <c r="GL51" s="111" t="n"/>
      <c r="GM51" s="111" t="n"/>
      <c r="GN51" s="111" t="n"/>
      <c r="GO51" s="111" t="n"/>
      <c r="GP51" s="111" t="n"/>
      <c r="GQ51" s="111" t="n"/>
      <c r="GR51" s="111" t="n"/>
      <c r="GS51" s="111" t="n"/>
      <c r="GT51" s="111" t="n"/>
      <c r="GU51" s="111" t="n"/>
      <c r="GV51" s="111" t="n"/>
      <c r="GW51" s="111" t="n"/>
      <c r="GX51" s="111" t="n"/>
      <c r="GY51" s="111" t="n"/>
      <c r="GZ51" s="111" t="n"/>
      <c r="HA51" s="111" t="n"/>
      <c r="HB51" s="111" t="n"/>
      <c r="HC51" s="111" t="n"/>
      <c r="HD51" s="111" t="n"/>
      <c r="HE51" s="111" t="n"/>
      <c r="HF51" s="111" t="n"/>
      <c r="HG51" s="111" t="n"/>
      <c r="HH51" s="111" t="n"/>
      <c r="HI51" s="111" t="n"/>
      <c r="HJ51" s="111" t="n"/>
      <c r="HK51" s="111" t="n"/>
      <c r="HL51" s="111" t="n"/>
      <c r="HM51" s="111" t="n"/>
      <c r="HN51" s="111" t="n"/>
      <c r="HO51" s="111" t="n"/>
      <c r="HP51" s="111" t="n"/>
      <c r="HQ51" s="111" t="n"/>
      <c r="HR51" s="111" t="n"/>
      <c r="HS51" s="111" t="n"/>
      <c r="HT51" s="111" t="n"/>
      <c r="HU51" s="111" t="n"/>
      <c r="HV51" s="111" t="n"/>
      <c r="HW51" s="111" t="n"/>
      <c r="HX51" s="111" t="n"/>
      <c r="HY51" s="111" t="n"/>
      <c r="HZ51" s="111" t="n"/>
      <c r="IA51" s="111" t="n"/>
      <c r="IB51" s="111" t="n"/>
      <c r="IC51" s="111" t="n"/>
      <c r="ID51" s="111" t="n"/>
      <c r="IE51" s="111" t="n"/>
      <c r="IF51" s="111" t="n"/>
      <c r="IG51" s="111" t="n"/>
      <c r="IH51" s="111" t="n"/>
      <c r="II51" s="111" t="n"/>
      <c r="IJ51" s="111" t="n"/>
      <c r="IK51" s="111" t="n"/>
      <c r="IL51" s="111" t="n"/>
      <c r="IM51" s="111" t="n"/>
      <c r="IN51" s="111" t="n"/>
      <c r="IO51" s="111" t="n"/>
      <c r="IP51" s="111" t="n"/>
      <c r="IQ51" s="111" t="n"/>
      <c r="IR51" s="111" t="n"/>
      <c r="IS51" s="111" t="n"/>
      <c r="IT51" s="111" t="n"/>
      <c r="IU51" s="111" t="n"/>
      <c r="IV51" s="111" t="n"/>
      <c r="IW51" s="111" t="n"/>
      <c r="IX51" s="111" t="n"/>
      <c r="IY51" s="111" t="n"/>
      <c r="IZ51" s="111" t="n"/>
      <c r="JA51" s="111" t="n"/>
      <c r="JB51" s="111" t="n"/>
      <c r="JC51" s="111" t="n"/>
      <c r="JD51" s="111" t="n"/>
      <c r="JE51" s="111" t="n"/>
      <c r="JF51" s="111" t="n"/>
      <c r="JG51" s="111" t="n"/>
      <c r="JH51" s="111" t="n"/>
      <c r="JI51" s="111" t="n"/>
      <c r="JJ51" s="111" t="n"/>
      <c r="JK51" s="111" t="n"/>
      <c r="JL51" s="111" t="n"/>
      <c r="JM51" s="111" t="n"/>
      <c r="JN51" s="111" t="n"/>
      <c r="JO51" s="111" t="n"/>
      <c r="JP51" s="111" t="n"/>
      <c r="JQ51" s="111" t="n"/>
      <c r="JR51" s="111" t="n"/>
      <c r="JS51" s="111" t="n"/>
      <c r="JT51" s="111" t="n"/>
      <c r="JU51" s="111" t="n"/>
      <c r="JV51" s="111" t="n"/>
      <c r="JW51" s="111" t="n"/>
      <c r="JX51" s="111" t="n"/>
      <c r="JY51" s="111" t="n"/>
      <c r="JZ51" s="111" t="n"/>
      <c r="KA51" s="111" t="n"/>
      <c r="KB51" s="111" t="n"/>
      <c r="KC51" s="111" t="n"/>
      <c r="KD51" s="111" t="n"/>
      <c r="KE51" s="111" t="n"/>
      <c r="KF51" s="111" t="n"/>
      <c r="KG51" s="111" t="n"/>
      <c r="KH51" s="111" t="n"/>
      <c r="KI51" s="111" t="n"/>
      <c r="KJ51" s="111" t="n"/>
      <c r="KK51" s="111" t="n"/>
      <c r="KL51" s="111" t="n"/>
      <c r="KM51" s="111" t="n"/>
      <c r="KN51" s="111" t="n"/>
      <c r="KO51" s="111" t="n"/>
      <c r="KP51" s="111" t="n"/>
      <c r="KQ51" s="111" t="n"/>
      <c r="KR51" s="111" t="n"/>
      <c r="KS51" s="111" t="n"/>
      <c r="KT51" s="111" t="n"/>
      <c r="KU51" s="111" t="n"/>
      <c r="KV51" s="111" t="n"/>
      <c r="KW51" s="111" t="n"/>
      <c r="KX51" s="111" t="n"/>
      <c r="KY51" s="111" t="n"/>
      <c r="KZ51" s="111" t="n"/>
      <c r="LA51" s="111" t="n"/>
      <c r="LB51" s="111" t="n"/>
      <c r="LC51" s="111" t="n"/>
      <c r="LD51" s="111" t="n"/>
      <c r="LE51" s="111" t="n"/>
      <c r="LF51" s="111" t="n"/>
      <c r="LG51" s="111" t="n"/>
      <c r="LH51" s="111" t="n"/>
      <c r="LI51" s="111" t="n"/>
      <c r="LJ51" s="111" t="n"/>
      <c r="LK51" s="111" t="n"/>
      <c r="LL51" s="111" t="n"/>
      <c r="LM51" s="111" t="n"/>
      <c r="LN51" s="111" t="n"/>
      <c r="LO51" s="111" t="n"/>
      <c r="LP51" s="111" t="n"/>
      <c r="LQ51" s="111" t="n"/>
      <c r="LR51" s="111" t="n"/>
      <c r="LS51" s="111" t="n"/>
      <c r="LT51" s="111" t="n"/>
      <c r="LU51" s="111" t="n"/>
      <c r="LV51" s="111" t="n"/>
      <c r="LW51" s="111" t="n"/>
      <c r="LX51" s="111" t="n"/>
      <c r="LY51" s="111" t="n"/>
      <c r="LZ51" s="111" t="n"/>
      <c r="MA51" s="111" t="n"/>
      <c r="MB51" s="111" t="n"/>
      <c r="MC51" s="111" t="n"/>
      <c r="MD51" s="111" t="n"/>
      <c r="ME51" s="111" t="n"/>
      <c r="MF51" s="111" t="n"/>
      <c r="MG51" s="111" t="n"/>
      <c r="MH51" s="111" t="n"/>
      <c r="MI51" s="111" t="n"/>
      <c r="MJ51" s="111" t="n"/>
      <c r="MK51" s="111" t="n"/>
      <c r="ML51" s="111" t="n"/>
      <c r="MM51" s="111" t="n"/>
      <c r="MN51" s="111" t="n"/>
      <c r="MO51" s="111" t="n"/>
      <c r="MP51" s="111" t="n"/>
      <c r="MQ51" s="111" t="n"/>
      <c r="MR51" s="111" t="n"/>
      <c r="MS51" s="111" t="n"/>
      <c r="MT51" s="111" t="n"/>
      <c r="MU51" s="111" t="n"/>
      <c r="MV51" s="111" t="n"/>
      <c r="MW51" s="111" t="n"/>
      <c r="MX51" s="111" t="n"/>
      <c r="MY51" s="111" t="n"/>
      <c r="MZ51" s="111" t="n"/>
      <c r="NA51" s="111" t="n"/>
      <c r="NB51" s="111" t="n"/>
      <c r="NC51" s="111" t="n"/>
      <c r="ND51" s="111" t="n"/>
      <c r="NE51" s="111" t="n"/>
      <c r="NF51" s="111" t="n"/>
      <c r="NG51" s="111" t="n"/>
      <c r="NH51" s="111" t="n"/>
      <c r="NI51" s="111" t="n"/>
      <c r="NJ51" s="111" t="n"/>
      <c r="NK51" s="111" t="n"/>
      <c r="NL51" s="111" t="n"/>
      <c r="NM51" s="111" t="n"/>
      <c r="NN51" s="111" t="n"/>
      <c r="NO51" s="111" t="n"/>
    </row>
    <row r="52" customFormat="1" s="17">
      <c r="A52" s="33">
        <f>IF(ISERROR(VALUE(SUBSTITUTE(OFFSET(A52,-1,0,1,1),".",""))),"0.1",IF(ISERROR(FIND("`",SUBSTITUTE(OFFSET(A52,-1,0,1,1),".","`",1))),OFFSET(A52,-1,0,1,1)&amp;".1",LEFT(OFFSET(A52,-1,0,1,1),FIND("`",SUBSTITUTE(OFFSET(A52,-1,0,1,1),".","`",1)))&amp;IF(ISERROR(FIND("`",SUBSTITUTE(OFFSET(A52,-1,0,1,1),".","`",2))),VALUE(RIGHT(OFFSET(A52,-1,0,1,1),LEN(OFFSET(A52,-1,0,1,1))-FIND("`",SUBSTITUTE(OFFSET(A52,-1,0,1,1),".","`",1))))+1,VALUE(MID(OFFSET(A52,-1,0,1,1),FIND("`",SUBSTITUTE(OFFSET(A52,-1,0,1,1),".","`",1))+1,(FIND("`",SUBSTITUTE(OFFSET(A52,-1,0,1,1),".","`",2))-FIND("`",SUBSTITUTE(OFFSET(A52,-1,0,1,1),".","`",1))-1)))+1)))</f>
        <v/>
      </c>
      <c r="B52" s="10" t="inlineStr">
        <is>
          <t>[ Level 2 Task ]</t>
        </is>
      </c>
      <c r="C52" s="11" t="inlineStr">
        <is>
          <t>Bill</t>
        </is>
      </c>
      <c r="D52" s="37" t="n"/>
      <c r="E52" s="37" t="n"/>
      <c r="F52" s="37" t="n"/>
      <c r="G52" s="274">
        <f>WORKDAY(G51,1,holidays)</f>
        <v/>
      </c>
      <c r="H52" s="275">
        <f>IF(I52=0,G52,WORKDAY(IF(WEEKDAY(G52,1)=7,G52+2,IF(WEEKDAY(G52,1)=1,G52+1,G52)),I52-1,holidays))</f>
        <v/>
      </c>
      <c r="I52" s="79" t="n">
        <v>10</v>
      </c>
      <c r="J52" s="13" t="n"/>
      <c r="K52" s="15">
        <f>IF(OR(G52=0,H52=0),0,H52-G52+1)</f>
        <v/>
      </c>
      <c r="L52" s="15">
        <f>MIN(K52,WORKDAY(G52,ROUNDDOWN(J52*I52,0),holidays)-G52)</f>
        <v/>
      </c>
      <c r="M52" s="14">
        <f>K52-L52</f>
        <v/>
      </c>
      <c r="N52" s="105">
        <f>IF(H52&lt;$G$7 + INDEX(urgency,1),"r",IF(H52&lt;$G$7 + INDEX(urgency,2),"o",IF(H52&lt;$G$7 + INDEX(urgency,3),"y", IFERROR( INDEX( lead_color, MATCH(C52, lead, 0) ), "") )))</f>
        <v/>
      </c>
      <c r="O52" s="17" t="n"/>
      <c r="P52" s="111" t="n"/>
      <c r="Q52" s="111" t="n"/>
      <c r="R52" s="111" t="n"/>
      <c r="S52" s="111" t="n"/>
      <c r="T52" s="111" t="n"/>
      <c r="U52" s="111" t="n"/>
      <c r="V52" s="111" t="n"/>
      <c r="W52" s="111"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1" t="n"/>
      <c r="AY52" s="111" t="n"/>
      <c r="AZ52" s="111" t="n"/>
      <c r="BA52" s="111" t="n"/>
      <c r="BB52" s="111" t="n"/>
      <c r="BC52" s="111" t="n"/>
      <c r="BD52" s="111" t="n"/>
      <c r="BE52" s="111" t="n"/>
      <c r="BF52" s="111" t="n"/>
      <c r="BG52" s="111" t="n"/>
      <c r="BH52" s="111" t="n"/>
      <c r="BI52" s="111" t="n"/>
      <c r="BJ52" s="111" t="n"/>
      <c r="BK52" s="111" t="n"/>
      <c r="BL52" s="111" t="n"/>
      <c r="BM52" s="111" t="n"/>
      <c r="BN52" s="111" t="n"/>
      <c r="BO52" s="111" t="n"/>
      <c r="BP52" s="111" t="n"/>
      <c r="BQ52" s="111" t="n"/>
      <c r="BR52" s="111" t="n"/>
      <c r="BS52" s="111" t="n"/>
      <c r="BT52" s="111" t="n"/>
      <c r="BU52" s="111" t="n"/>
      <c r="BV52" s="111" t="n"/>
      <c r="BW52" s="111" t="n"/>
      <c r="BX52" s="111" t="n"/>
      <c r="BY52" s="111" t="n"/>
      <c r="BZ52" s="111" t="n"/>
      <c r="CA52" s="111" t="n"/>
      <c r="CB52" s="111" t="n"/>
      <c r="CC52" s="111" t="n"/>
      <c r="CD52" s="111" t="n"/>
      <c r="CE52" s="111" t="n"/>
      <c r="CF52" s="111"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1" t="n"/>
      <c r="DS52" s="111" t="n"/>
      <c r="DT52" s="111" t="n"/>
      <c r="DU52" s="111" t="n"/>
      <c r="DV52" s="111" t="n"/>
      <c r="DW52" s="111" t="n"/>
      <c r="DX52" s="111" t="n"/>
      <c r="DY52" s="111" t="n"/>
      <c r="DZ52" s="111" t="n"/>
      <c r="EA52" s="111" t="n"/>
      <c r="EB52" s="111" t="n"/>
      <c r="EC52" s="111" t="n"/>
      <c r="ED52" s="111" t="n"/>
      <c r="EE52" s="111" t="n"/>
      <c r="EF52" s="111" t="n"/>
      <c r="EG52" s="111" t="n"/>
      <c r="EH52" s="111" t="n"/>
      <c r="EI52" s="111" t="n"/>
      <c r="EJ52" s="111" t="n"/>
      <c r="EK52" s="111" t="n"/>
      <c r="EL52" s="111" t="n"/>
      <c r="EM52" s="111" t="n"/>
      <c r="EN52" s="111" t="n"/>
      <c r="EO52" s="111" t="n"/>
      <c r="EP52" s="111" t="n"/>
      <c r="EQ52" s="111" t="n"/>
      <c r="ER52" s="111" t="n"/>
      <c r="ES52" s="111" t="n"/>
      <c r="ET52" s="111" t="n"/>
      <c r="EU52" s="111" t="n"/>
      <c r="EV52" s="111" t="n"/>
      <c r="EW52" s="111" t="n"/>
      <c r="EX52" s="111" t="n"/>
      <c r="EY52" s="111" t="n"/>
      <c r="EZ52" s="111" t="n"/>
      <c r="FA52" s="111" t="n"/>
      <c r="FB52" s="111"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1" t="n"/>
      <c r="GH52" s="111" t="n"/>
      <c r="GI52" s="111" t="n"/>
      <c r="GJ52" s="111" t="n"/>
      <c r="GK52" s="111" t="n"/>
      <c r="GL52" s="111" t="n"/>
      <c r="GM52" s="111" t="n"/>
      <c r="GN52" s="111" t="n"/>
      <c r="GO52" s="111" t="n"/>
      <c r="GP52" s="111" t="n"/>
      <c r="GQ52" s="111" t="n"/>
      <c r="GR52" s="111" t="n"/>
      <c r="GS52" s="111" t="n"/>
      <c r="GT52" s="111" t="n"/>
      <c r="GU52" s="111" t="n"/>
      <c r="GV52" s="111" t="n"/>
      <c r="GW52" s="111" t="n"/>
      <c r="GX52" s="111" t="n"/>
      <c r="GY52" s="111" t="n"/>
      <c r="GZ52" s="111" t="n"/>
      <c r="HA52" s="111" t="n"/>
      <c r="HB52" s="111" t="n"/>
      <c r="HC52" s="111" t="n"/>
      <c r="HD52" s="111" t="n"/>
      <c r="HE52" s="111" t="n"/>
      <c r="HF52" s="111" t="n"/>
      <c r="HG52" s="111" t="n"/>
      <c r="HH52" s="111" t="n"/>
      <c r="HI52" s="111" t="n"/>
      <c r="HJ52" s="111" t="n"/>
      <c r="HK52" s="111" t="n"/>
      <c r="HL52" s="111" t="n"/>
      <c r="HM52" s="111" t="n"/>
      <c r="HN52" s="111" t="n"/>
      <c r="HO52" s="111" t="n"/>
      <c r="HP52" s="111" t="n"/>
      <c r="HQ52" s="111" t="n"/>
      <c r="HR52" s="111" t="n"/>
      <c r="HS52" s="111" t="n"/>
      <c r="HT52" s="111" t="n"/>
      <c r="HU52" s="111" t="n"/>
      <c r="HV52" s="111" t="n"/>
      <c r="HW52" s="111" t="n"/>
      <c r="HX52" s="111" t="n"/>
      <c r="HY52" s="111" t="n"/>
      <c r="HZ52" s="111" t="n"/>
      <c r="IA52" s="111" t="n"/>
      <c r="IB52" s="111" t="n"/>
      <c r="IC52" s="111" t="n"/>
      <c r="ID52" s="111" t="n"/>
      <c r="IE52" s="111" t="n"/>
      <c r="IF52" s="111" t="n"/>
      <c r="IG52" s="111" t="n"/>
      <c r="IH52" s="111" t="n"/>
      <c r="II52" s="111" t="n"/>
      <c r="IJ52" s="111" t="n"/>
      <c r="IK52" s="111" t="n"/>
      <c r="IL52" s="111" t="n"/>
      <c r="IM52" s="111" t="n"/>
      <c r="IN52" s="111" t="n"/>
      <c r="IO52" s="111" t="n"/>
      <c r="IP52" s="111" t="n"/>
      <c r="IQ52" s="111" t="n"/>
      <c r="IR52" s="111" t="n"/>
      <c r="IS52" s="111" t="n"/>
      <c r="IT52" s="111" t="n"/>
      <c r="IU52" s="111" t="n"/>
      <c r="IV52" s="111" t="n"/>
      <c r="IW52" s="111" t="n"/>
      <c r="IX52" s="111" t="n"/>
      <c r="IY52" s="111" t="n"/>
      <c r="IZ52" s="111" t="n"/>
      <c r="JA52" s="111" t="n"/>
      <c r="JB52" s="111" t="n"/>
      <c r="JC52" s="111" t="n"/>
      <c r="JD52" s="111" t="n"/>
      <c r="JE52" s="111" t="n"/>
      <c r="JF52" s="111" t="n"/>
      <c r="JG52" s="111" t="n"/>
      <c r="JH52" s="111" t="n"/>
      <c r="JI52" s="111" t="n"/>
      <c r="JJ52" s="111" t="n"/>
      <c r="JK52" s="111" t="n"/>
      <c r="JL52" s="111" t="n"/>
      <c r="JM52" s="111" t="n"/>
      <c r="JN52" s="111" t="n"/>
      <c r="JO52" s="111" t="n"/>
      <c r="JP52" s="111" t="n"/>
      <c r="JQ52" s="111" t="n"/>
      <c r="JR52" s="111" t="n"/>
      <c r="JS52" s="111" t="n"/>
      <c r="JT52" s="111" t="n"/>
      <c r="JU52" s="111" t="n"/>
      <c r="JV52" s="111" t="n"/>
      <c r="JW52" s="111" t="n"/>
      <c r="JX52" s="111" t="n"/>
      <c r="JY52" s="111" t="n"/>
      <c r="JZ52" s="111" t="n"/>
      <c r="KA52" s="111" t="n"/>
      <c r="KB52" s="111" t="n"/>
      <c r="KC52" s="111" t="n"/>
      <c r="KD52" s="111" t="n"/>
      <c r="KE52" s="111" t="n"/>
      <c r="KF52" s="111" t="n"/>
      <c r="KG52" s="111" t="n"/>
      <c r="KH52" s="111" t="n"/>
      <c r="KI52" s="111" t="n"/>
      <c r="KJ52" s="111" t="n"/>
      <c r="KK52" s="111" t="n"/>
      <c r="KL52" s="111" t="n"/>
      <c r="KM52" s="111" t="n"/>
      <c r="KN52" s="111" t="n"/>
      <c r="KO52" s="111" t="n"/>
      <c r="KP52" s="111" t="n"/>
      <c r="KQ52" s="111" t="n"/>
      <c r="KR52" s="111" t="n"/>
      <c r="KS52" s="111" t="n"/>
      <c r="KT52" s="111" t="n"/>
      <c r="KU52" s="111" t="n"/>
      <c r="KV52" s="111" t="n"/>
      <c r="KW52" s="111" t="n"/>
      <c r="KX52" s="111" t="n"/>
      <c r="KY52" s="111" t="n"/>
      <c r="KZ52" s="111" t="n"/>
      <c r="LA52" s="111" t="n"/>
      <c r="LB52" s="111" t="n"/>
      <c r="LC52" s="111" t="n"/>
      <c r="LD52" s="111" t="n"/>
      <c r="LE52" s="111" t="n"/>
      <c r="LF52" s="111" t="n"/>
      <c r="LG52" s="111" t="n"/>
      <c r="LH52" s="111" t="n"/>
      <c r="LI52" s="111" t="n"/>
      <c r="LJ52" s="111" t="n"/>
      <c r="LK52" s="111" t="n"/>
      <c r="LL52" s="111" t="n"/>
      <c r="LM52" s="111" t="n"/>
      <c r="LN52" s="111" t="n"/>
      <c r="LO52" s="111" t="n"/>
      <c r="LP52" s="111" t="n"/>
      <c r="LQ52" s="111" t="n"/>
      <c r="LR52" s="111" t="n"/>
      <c r="LS52" s="111" t="n"/>
      <c r="LT52" s="111" t="n"/>
      <c r="LU52" s="111" t="n"/>
      <c r="LV52" s="111" t="n"/>
      <c r="LW52" s="111" t="n"/>
      <c r="LX52" s="111" t="n"/>
      <c r="LY52" s="111" t="n"/>
      <c r="LZ52" s="111" t="n"/>
      <c r="MA52" s="111" t="n"/>
      <c r="MB52" s="111" t="n"/>
      <c r="MC52" s="111" t="n"/>
      <c r="MD52" s="111" t="n"/>
      <c r="ME52" s="111" t="n"/>
      <c r="MF52" s="111" t="n"/>
      <c r="MG52" s="111" t="n"/>
      <c r="MH52" s="111" t="n"/>
      <c r="MI52" s="111" t="n"/>
      <c r="MJ52" s="111" t="n"/>
      <c r="MK52" s="111" t="n"/>
      <c r="ML52" s="111" t="n"/>
      <c r="MM52" s="111" t="n"/>
      <c r="MN52" s="111" t="n"/>
      <c r="MO52" s="111" t="n"/>
      <c r="MP52" s="111" t="n"/>
      <c r="MQ52" s="111" t="n"/>
      <c r="MR52" s="111" t="n"/>
      <c r="MS52" s="111" t="n"/>
      <c r="MT52" s="111" t="n"/>
      <c r="MU52" s="111" t="n"/>
      <c r="MV52" s="111" t="n"/>
      <c r="MW52" s="111" t="n"/>
      <c r="MX52" s="111" t="n"/>
      <c r="MY52" s="111" t="n"/>
      <c r="MZ52" s="111" t="n"/>
      <c r="NA52" s="111" t="n"/>
      <c r="NB52" s="111" t="n"/>
      <c r="NC52" s="111" t="n"/>
      <c r="ND52" s="111" t="n"/>
      <c r="NE52" s="111" t="n"/>
      <c r="NF52" s="111" t="n"/>
      <c r="NG52" s="111" t="n"/>
      <c r="NH52" s="111" t="n"/>
      <c r="NI52" s="111" t="n"/>
      <c r="NJ52" s="111" t="n"/>
      <c r="NK52" s="111" t="n"/>
      <c r="NL52" s="111" t="n"/>
      <c r="NM52" s="111" t="n"/>
      <c r="NN52" s="111" t="n"/>
      <c r="NO52" s="111" t="n"/>
    </row>
    <row r="53" customFormat="1" s="17">
      <c r="A53" s="33">
        <f>IF(ISERROR(VALUE(SUBSTITUTE(OFFSET(A53,-1,0,1,1),".",""))),"0.1",IF(ISERROR(FIND("`",SUBSTITUTE(OFFSET(A53,-1,0,1,1),".","`",1))),OFFSET(A53,-1,0,1,1)&amp;".1",LEFT(OFFSET(A53,-1,0,1,1),FIND("`",SUBSTITUTE(OFFSET(A53,-1,0,1,1),".","`",1)))&amp;IF(ISERROR(FIND("`",SUBSTITUTE(OFFSET(A53,-1,0,1,1),".","`",2))),VALUE(RIGHT(OFFSET(A53,-1,0,1,1),LEN(OFFSET(A53,-1,0,1,1))-FIND("`",SUBSTITUTE(OFFSET(A53,-1,0,1,1),".","`",1))))+1,VALUE(MID(OFFSET(A53,-1,0,1,1),FIND("`",SUBSTITUTE(OFFSET(A53,-1,0,1,1),".","`",1))+1,(FIND("`",SUBSTITUTE(OFFSET(A53,-1,0,1,1),".","`",2))-FIND("`",SUBSTITUTE(OFFSET(A53,-1,0,1,1),".","`",1))-1)))+1)))</f>
        <v/>
      </c>
      <c r="B53" s="10" t="inlineStr">
        <is>
          <t>[ Level 2 Task ]</t>
        </is>
      </c>
      <c r="C53" s="11" t="inlineStr">
        <is>
          <t>Bob</t>
        </is>
      </c>
      <c r="D53" s="37" t="n"/>
      <c r="E53" s="37" t="n"/>
      <c r="F53" s="37" t="n"/>
      <c r="G53" s="274">
        <f>WORKDAY(G52,1,holidays)</f>
        <v/>
      </c>
      <c r="H53" s="275">
        <f>IF(I53=0,G53,WORKDAY(IF(WEEKDAY(G53,1)=7,G53+2,IF(WEEKDAY(G53,1)=1,G53+1,G53)),I53-1,holidays))</f>
        <v/>
      </c>
      <c r="I53" s="79" t="n">
        <v>10</v>
      </c>
      <c r="J53" s="13" t="n"/>
      <c r="K53" s="15">
        <f>IF(OR(G53=0,H53=0),0,H53-G53+1)</f>
        <v/>
      </c>
      <c r="L53" s="15">
        <f>MIN(K53,WORKDAY(G53,ROUNDDOWN(J53*I53,0),holidays)-G53)</f>
        <v/>
      </c>
      <c r="M53" s="14">
        <f>K53-L53</f>
        <v/>
      </c>
      <c r="N53" s="105">
        <f>IF(H53&lt;$G$7 + INDEX(urgency,1),"r",IF(H53&lt;$G$7 + INDEX(urgency,2),"o",IF(H53&lt;$G$7 + INDEX(urgency,3),"y", IFERROR( INDEX( lead_color, MATCH(C53, lead, 0) ), "") )))</f>
        <v/>
      </c>
      <c r="O53" s="17" t="n"/>
      <c r="P53" s="111" t="n"/>
      <c r="Q53" s="111" t="n"/>
      <c r="R53" s="111" t="n"/>
      <c r="S53" s="111" t="n"/>
      <c r="T53" s="111" t="n"/>
      <c r="U53" s="111" t="n"/>
      <c r="V53" s="111" t="n"/>
      <c r="W53" s="111"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1" t="n"/>
      <c r="BD53" s="111" t="n"/>
      <c r="BE53" s="111" t="n"/>
      <c r="BF53" s="111" t="n"/>
      <c r="BG53" s="111" t="n"/>
      <c r="BH53" s="111" t="n"/>
      <c r="BI53" s="111" t="n"/>
      <c r="BJ53" s="111" t="n"/>
      <c r="BK53" s="111" t="n"/>
      <c r="BL53" s="111" t="n"/>
      <c r="BM53" s="111" t="n"/>
      <c r="BN53" s="111" t="n"/>
      <c r="BO53" s="111" t="n"/>
      <c r="BP53" s="111" t="n"/>
      <c r="BQ53" s="111" t="n"/>
      <c r="BR53" s="111" t="n"/>
      <c r="BS53" s="111" t="n"/>
      <c r="BT53" s="111" t="n"/>
      <c r="BU53" s="111" t="n"/>
      <c r="BV53" s="111" t="n"/>
      <c r="BW53" s="111" t="n"/>
      <c r="BX53" s="111" t="n"/>
      <c r="BY53" s="111" t="n"/>
      <c r="BZ53" s="111" t="n"/>
      <c r="CA53" s="111" t="n"/>
      <c r="CB53" s="111" t="n"/>
      <c r="CC53" s="111" t="n"/>
      <c r="CD53" s="111" t="n"/>
      <c r="CE53" s="111" t="n"/>
      <c r="CF53" s="111"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1" t="n"/>
      <c r="DS53" s="111" t="n"/>
      <c r="DT53" s="111" t="n"/>
      <c r="DU53" s="111" t="n"/>
      <c r="DV53" s="111" t="n"/>
      <c r="DW53" s="111" t="n"/>
      <c r="DX53" s="111" t="n"/>
      <c r="DY53" s="111" t="n"/>
      <c r="DZ53" s="111" t="n"/>
      <c r="EA53" s="111" t="n"/>
      <c r="EB53" s="111" t="n"/>
      <c r="EC53" s="111" t="n"/>
      <c r="ED53" s="111" t="n"/>
      <c r="EE53" s="111" t="n"/>
      <c r="EF53" s="111" t="n"/>
      <c r="EG53" s="111" t="n"/>
      <c r="EH53" s="111" t="n"/>
      <c r="EI53" s="111" t="n"/>
      <c r="EJ53" s="111" t="n"/>
      <c r="EK53" s="111" t="n"/>
      <c r="EL53" s="111" t="n"/>
      <c r="EM53" s="111" t="n"/>
      <c r="EN53" s="111" t="n"/>
      <c r="EO53" s="111" t="n"/>
      <c r="EP53" s="111" t="n"/>
      <c r="EQ53" s="111" t="n"/>
      <c r="ER53" s="111" t="n"/>
      <c r="ES53" s="111" t="n"/>
      <c r="ET53" s="111" t="n"/>
      <c r="EU53" s="111" t="n"/>
      <c r="EV53" s="111" t="n"/>
      <c r="EW53" s="111" t="n"/>
      <c r="EX53" s="111" t="n"/>
      <c r="EY53" s="111" t="n"/>
      <c r="EZ53" s="111" t="n"/>
      <c r="FA53" s="111" t="n"/>
      <c r="FB53" s="111"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1" t="n"/>
      <c r="GH53" s="111" t="n"/>
      <c r="GI53" s="111" t="n"/>
      <c r="GJ53" s="111" t="n"/>
      <c r="GK53" s="111" t="n"/>
      <c r="GL53" s="111" t="n"/>
      <c r="GM53" s="111" t="n"/>
      <c r="GN53" s="111" t="n"/>
      <c r="GO53" s="111" t="n"/>
      <c r="GP53" s="111" t="n"/>
      <c r="GQ53" s="111" t="n"/>
      <c r="GR53" s="111" t="n"/>
      <c r="GS53" s="111" t="n"/>
      <c r="GT53" s="111" t="n"/>
      <c r="GU53" s="111" t="n"/>
      <c r="GV53" s="111" t="n"/>
      <c r="GW53" s="111" t="n"/>
      <c r="GX53" s="111" t="n"/>
      <c r="GY53" s="111" t="n"/>
      <c r="GZ53" s="111" t="n"/>
      <c r="HA53" s="111" t="n"/>
      <c r="HB53" s="111" t="n"/>
      <c r="HC53" s="111" t="n"/>
      <c r="HD53" s="111" t="n"/>
      <c r="HE53" s="111" t="n"/>
      <c r="HF53" s="111" t="n"/>
      <c r="HG53" s="111" t="n"/>
      <c r="HH53" s="111" t="n"/>
      <c r="HI53" s="111" t="n"/>
      <c r="HJ53" s="111" t="n"/>
      <c r="HK53" s="111" t="n"/>
      <c r="HL53" s="111" t="n"/>
      <c r="HM53" s="111" t="n"/>
      <c r="HN53" s="111" t="n"/>
      <c r="HO53" s="111" t="n"/>
      <c r="HP53" s="111" t="n"/>
      <c r="HQ53" s="111" t="n"/>
      <c r="HR53" s="111" t="n"/>
      <c r="HS53" s="111" t="n"/>
      <c r="HT53" s="111" t="n"/>
      <c r="HU53" s="111" t="n"/>
      <c r="HV53" s="111" t="n"/>
      <c r="HW53" s="111" t="n"/>
      <c r="HX53" s="111" t="n"/>
      <c r="HY53" s="111" t="n"/>
      <c r="HZ53" s="111" t="n"/>
      <c r="IA53" s="111" t="n"/>
      <c r="IB53" s="111" t="n"/>
      <c r="IC53" s="111" t="n"/>
      <c r="ID53" s="111" t="n"/>
      <c r="IE53" s="111" t="n"/>
      <c r="IF53" s="111" t="n"/>
      <c r="IG53" s="111" t="n"/>
      <c r="IH53" s="111" t="n"/>
      <c r="II53" s="111" t="n"/>
      <c r="IJ53" s="111" t="n"/>
      <c r="IK53" s="111" t="n"/>
      <c r="IL53" s="111" t="n"/>
      <c r="IM53" s="111" t="n"/>
      <c r="IN53" s="111" t="n"/>
      <c r="IO53" s="111" t="n"/>
      <c r="IP53" s="111" t="n"/>
      <c r="IQ53" s="111" t="n"/>
      <c r="IR53" s="111" t="n"/>
      <c r="IS53" s="111" t="n"/>
      <c r="IT53" s="111" t="n"/>
      <c r="IU53" s="111" t="n"/>
      <c r="IV53" s="111" t="n"/>
      <c r="IW53" s="111" t="n"/>
      <c r="IX53" s="111" t="n"/>
      <c r="IY53" s="111" t="n"/>
      <c r="IZ53" s="111" t="n"/>
      <c r="JA53" s="111" t="n"/>
      <c r="JB53" s="111" t="n"/>
      <c r="JC53" s="111" t="n"/>
      <c r="JD53" s="111" t="n"/>
      <c r="JE53" s="111" t="n"/>
      <c r="JF53" s="111" t="n"/>
      <c r="JG53" s="111" t="n"/>
      <c r="JH53" s="111" t="n"/>
      <c r="JI53" s="111" t="n"/>
      <c r="JJ53" s="111" t="n"/>
      <c r="JK53" s="111" t="n"/>
      <c r="JL53" s="111" t="n"/>
      <c r="JM53" s="111" t="n"/>
      <c r="JN53" s="111" t="n"/>
      <c r="JO53" s="111" t="n"/>
      <c r="JP53" s="111" t="n"/>
      <c r="JQ53" s="111" t="n"/>
      <c r="JR53" s="111" t="n"/>
      <c r="JS53" s="111" t="n"/>
      <c r="JT53" s="111" t="n"/>
      <c r="JU53" s="111" t="n"/>
      <c r="JV53" s="111" t="n"/>
      <c r="JW53" s="111" t="n"/>
      <c r="JX53" s="111" t="n"/>
      <c r="JY53" s="111" t="n"/>
      <c r="JZ53" s="111" t="n"/>
      <c r="KA53" s="111" t="n"/>
      <c r="KB53" s="111" t="n"/>
      <c r="KC53" s="111" t="n"/>
      <c r="KD53" s="111" t="n"/>
      <c r="KE53" s="111" t="n"/>
      <c r="KF53" s="111" t="n"/>
      <c r="KG53" s="111" t="n"/>
      <c r="KH53" s="111" t="n"/>
      <c r="KI53" s="111" t="n"/>
      <c r="KJ53" s="111" t="n"/>
      <c r="KK53" s="111" t="n"/>
      <c r="KL53" s="111" t="n"/>
      <c r="KM53" s="111" t="n"/>
      <c r="KN53" s="111" t="n"/>
      <c r="KO53" s="111" t="n"/>
      <c r="KP53" s="111" t="n"/>
      <c r="KQ53" s="111" t="n"/>
      <c r="KR53" s="111" t="n"/>
      <c r="KS53" s="111" t="n"/>
      <c r="KT53" s="111" t="n"/>
      <c r="KU53" s="111" t="n"/>
      <c r="KV53" s="111" t="n"/>
      <c r="KW53" s="111" t="n"/>
      <c r="KX53" s="111" t="n"/>
      <c r="KY53" s="111" t="n"/>
      <c r="KZ53" s="111" t="n"/>
      <c r="LA53" s="111" t="n"/>
      <c r="LB53" s="111" t="n"/>
      <c r="LC53" s="111" t="n"/>
      <c r="LD53" s="111" t="n"/>
      <c r="LE53" s="111" t="n"/>
      <c r="LF53" s="111" t="n"/>
      <c r="LG53" s="111" t="n"/>
      <c r="LH53" s="111" t="n"/>
      <c r="LI53" s="111" t="n"/>
      <c r="LJ53" s="111" t="n"/>
      <c r="LK53" s="111" t="n"/>
      <c r="LL53" s="111" t="n"/>
      <c r="LM53" s="111" t="n"/>
      <c r="LN53" s="111" t="n"/>
      <c r="LO53" s="111" t="n"/>
      <c r="LP53" s="111" t="n"/>
      <c r="LQ53" s="111" t="n"/>
      <c r="LR53" s="111" t="n"/>
      <c r="LS53" s="111" t="n"/>
      <c r="LT53" s="111" t="n"/>
      <c r="LU53" s="111" t="n"/>
      <c r="LV53" s="111" t="n"/>
      <c r="LW53" s="111" t="n"/>
      <c r="LX53" s="111" t="n"/>
      <c r="LY53" s="111" t="n"/>
      <c r="LZ53" s="111" t="n"/>
      <c r="MA53" s="111" t="n"/>
      <c r="MB53" s="111" t="n"/>
      <c r="MC53" s="111" t="n"/>
      <c r="MD53" s="111" t="n"/>
      <c r="ME53" s="111" t="n"/>
      <c r="MF53" s="111" t="n"/>
      <c r="MG53" s="111" t="n"/>
      <c r="MH53" s="111" t="n"/>
      <c r="MI53" s="111" t="n"/>
      <c r="MJ53" s="111" t="n"/>
      <c r="MK53" s="111" t="n"/>
      <c r="ML53" s="111" t="n"/>
      <c r="MM53" s="111" t="n"/>
      <c r="MN53" s="111" t="n"/>
      <c r="MO53" s="111" t="n"/>
      <c r="MP53" s="111" t="n"/>
      <c r="MQ53" s="111" t="n"/>
      <c r="MR53" s="111" t="n"/>
      <c r="MS53" s="111" t="n"/>
      <c r="MT53" s="111" t="n"/>
      <c r="MU53" s="111" t="n"/>
      <c r="MV53" s="111" t="n"/>
      <c r="MW53" s="111" t="n"/>
      <c r="MX53" s="111" t="n"/>
      <c r="MY53" s="111" t="n"/>
      <c r="MZ53" s="111" t="n"/>
      <c r="NA53" s="111" t="n"/>
      <c r="NB53" s="111" t="n"/>
      <c r="NC53" s="111" t="n"/>
      <c r="ND53" s="111" t="n"/>
      <c r="NE53" s="111" t="n"/>
      <c r="NF53" s="111" t="n"/>
      <c r="NG53" s="111" t="n"/>
      <c r="NH53" s="111" t="n"/>
      <c r="NI53" s="111" t="n"/>
      <c r="NJ53" s="111" t="n"/>
      <c r="NK53" s="111" t="n"/>
      <c r="NL53" s="111" t="n"/>
      <c r="NM53" s="111" t="n"/>
      <c r="NN53" s="111" t="n"/>
      <c r="NO53" s="111" t="n"/>
    </row>
    <row r="54" customFormat="1" s="17">
      <c r="A54" s="33">
        <f>IF(ISERROR(VALUE(SUBSTITUTE(OFFSET(A54,-1,0,1,1),".",""))),"0.1",IF(ISERROR(FIND("`",SUBSTITUTE(OFFSET(A54,-1,0,1,1),".","`",1))),OFFSET(A54,-1,0,1,1)&amp;".1",LEFT(OFFSET(A54,-1,0,1,1),FIND("`",SUBSTITUTE(OFFSET(A54,-1,0,1,1),".","`",1)))&amp;IF(ISERROR(FIND("`",SUBSTITUTE(OFFSET(A54,-1,0,1,1),".","`",2))),VALUE(RIGHT(OFFSET(A54,-1,0,1,1),LEN(OFFSET(A54,-1,0,1,1))-FIND("`",SUBSTITUTE(OFFSET(A54,-1,0,1,1),".","`",1))))+1,VALUE(MID(OFFSET(A54,-1,0,1,1),FIND("`",SUBSTITUTE(OFFSET(A54,-1,0,1,1),".","`",1))+1,(FIND("`",SUBSTITUTE(OFFSET(A54,-1,0,1,1),".","`",2))-FIND("`",SUBSTITUTE(OFFSET(A54,-1,0,1,1),".","`",1))-1)))+1)))</f>
        <v/>
      </c>
      <c r="B54" s="10" t="inlineStr">
        <is>
          <t>[ Level 2 Task ]</t>
        </is>
      </c>
      <c r="C54" s="11" t="inlineStr">
        <is>
          <t>Jim</t>
        </is>
      </c>
      <c r="D54" s="37" t="n"/>
      <c r="E54" s="37" t="n"/>
      <c r="F54" s="37" t="n"/>
      <c r="G54" s="274">
        <f>WORKDAY(G53,1,holidays)</f>
        <v/>
      </c>
      <c r="H54" s="275">
        <f>IF(I54=0,G54,WORKDAY(IF(WEEKDAY(G54,1)=7,G54+2,IF(WEEKDAY(G54,1)=1,G54+1,G54)),I54-1,holidays))</f>
        <v/>
      </c>
      <c r="I54" s="79" t="n">
        <v>2</v>
      </c>
      <c r="J54" s="13" t="n"/>
      <c r="K54" s="15">
        <f>IF(OR(G54=0,H54=0),0,H54-G54+1)</f>
        <v/>
      </c>
      <c r="L54" s="15">
        <f>MIN(K54,WORKDAY(G54,ROUNDDOWN(J54*I54,0),holidays)-G54)</f>
        <v/>
      </c>
      <c r="M54" s="14">
        <f>K54-L54</f>
        <v/>
      </c>
      <c r="N54" s="105">
        <f>IF(H54&lt;$G$7 + INDEX(urgency,1),"r",IF(H54&lt;$G$7 + INDEX(urgency,2),"o",IF(H54&lt;$G$7 + INDEX(urgency,3),"y", IFERROR( INDEX( lead_color, MATCH(C54, lead, 0) ), "") )))</f>
        <v/>
      </c>
      <c r="O54" s="17" t="n"/>
      <c r="P54" s="111" t="n"/>
      <c r="Q54" s="111" t="n"/>
      <c r="R54" s="111" t="n"/>
      <c r="S54" s="111" t="n"/>
      <c r="T54" s="111" t="n"/>
      <c r="U54" s="111" t="n"/>
      <c r="V54" s="111" t="n"/>
      <c r="W54" s="111"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1" t="n"/>
      <c r="AY54" s="111" t="n"/>
      <c r="AZ54" s="111" t="n"/>
      <c r="BA54" s="111" t="n"/>
      <c r="BB54" s="111" t="n"/>
      <c r="BC54" s="111" t="n"/>
      <c r="BD54" s="111" t="n"/>
      <c r="BE54" s="111" t="n"/>
      <c r="BF54" s="111" t="n"/>
      <c r="BG54" s="111" t="n"/>
      <c r="BH54" s="111" t="n"/>
      <c r="BI54" s="111" t="n"/>
      <c r="BJ54" s="111" t="n"/>
      <c r="BK54" s="111" t="n"/>
      <c r="BL54" s="111" t="n"/>
      <c r="BM54" s="111" t="n"/>
      <c r="BN54" s="111" t="n"/>
      <c r="BO54" s="111" t="n"/>
      <c r="BP54" s="111" t="n"/>
      <c r="BQ54" s="111" t="n"/>
      <c r="BR54" s="111" t="n"/>
      <c r="BS54" s="111" t="n"/>
      <c r="BT54" s="111" t="n"/>
      <c r="BU54" s="111" t="n"/>
      <c r="BV54" s="111" t="n"/>
      <c r="BW54" s="111" t="n"/>
      <c r="BX54" s="111" t="n"/>
      <c r="BY54" s="111" t="n"/>
      <c r="BZ54" s="111" t="n"/>
      <c r="CA54" s="111" t="n"/>
      <c r="CB54" s="111" t="n"/>
      <c r="CC54" s="111" t="n"/>
      <c r="CD54" s="111" t="n"/>
      <c r="CE54" s="111" t="n"/>
      <c r="CF54" s="111"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1" t="n"/>
      <c r="DS54" s="111" t="n"/>
      <c r="DT54" s="111" t="n"/>
      <c r="DU54" s="111" t="n"/>
      <c r="DV54" s="111" t="n"/>
      <c r="DW54" s="111" t="n"/>
      <c r="DX54" s="111" t="n"/>
      <c r="DY54" s="111" t="n"/>
      <c r="DZ54" s="111" t="n"/>
      <c r="EA54" s="111" t="n"/>
      <c r="EB54" s="111" t="n"/>
      <c r="EC54" s="111" t="n"/>
      <c r="ED54" s="111" t="n"/>
      <c r="EE54" s="111" t="n"/>
      <c r="EF54" s="111" t="n"/>
      <c r="EG54" s="111" t="n"/>
      <c r="EH54" s="111" t="n"/>
      <c r="EI54" s="111" t="n"/>
      <c r="EJ54" s="111" t="n"/>
      <c r="EK54" s="111" t="n"/>
      <c r="EL54" s="111" t="n"/>
      <c r="EM54" s="111" t="n"/>
      <c r="EN54" s="111" t="n"/>
      <c r="EO54" s="111" t="n"/>
      <c r="EP54" s="111" t="n"/>
      <c r="EQ54" s="111" t="n"/>
      <c r="ER54" s="111" t="n"/>
      <c r="ES54" s="111" t="n"/>
      <c r="ET54" s="111" t="n"/>
      <c r="EU54" s="111" t="n"/>
      <c r="EV54" s="111" t="n"/>
      <c r="EW54" s="111" t="n"/>
      <c r="EX54" s="111" t="n"/>
      <c r="EY54" s="111" t="n"/>
      <c r="EZ54" s="111" t="n"/>
      <c r="FA54" s="111" t="n"/>
      <c r="FB54" s="111"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1" t="n"/>
      <c r="GH54" s="111" t="n"/>
      <c r="GI54" s="111" t="n"/>
      <c r="GJ54" s="111" t="n"/>
      <c r="GK54" s="111" t="n"/>
      <c r="GL54" s="111" t="n"/>
      <c r="GM54" s="111" t="n"/>
      <c r="GN54" s="111" t="n"/>
      <c r="GO54" s="111" t="n"/>
      <c r="GP54" s="111" t="n"/>
      <c r="GQ54" s="111" t="n"/>
      <c r="GR54" s="111" t="n"/>
      <c r="GS54" s="111" t="n"/>
      <c r="GT54" s="111" t="n"/>
      <c r="GU54" s="111" t="n"/>
      <c r="GV54" s="111" t="n"/>
      <c r="GW54" s="111" t="n"/>
      <c r="GX54" s="111" t="n"/>
      <c r="GY54" s="111" t="n"/>
      <c r="GZ54" s="111" t="n"/>
      <c r="HA54" s="111" t="n"/>
      <c r="HB54" s="111" t="n"/>
      <c r="HC54" s="111" t="n"/>
      <c r="HD54" s="111" t="n"/>
      <c r="HE54" s="111" t="n"/>
      <c r="HF54" s="111" t="n"/>
      <c r="HG54" s="111" t="n"/>
      <c r="HH54" s="111" t="n"/>
      <c r="HI54" s="111" t="n"/>
      <c r="HJ54" s="111" t="n"/>
      <c r="HK54" s="111" t="n"/>
      <c r="HL54" s="111" t="n"/>
      <c r="HM54" s="111" t="n"/>
      <c r="HN54" s="111" t="n"/>
      <c r="HO54" s="111" t="n"/>
      <c r="HP54" s="111" t="n"/>
      <c r="HQ54" s="111" t="n"/>
      <c r="HR54" s="111" t="n"/>
      <c r="HS54" s="111" t="n"/>
      <c r="HT54" s="111" t="n"/>
      <c r="HU54" s="111" t="n"/>
      <c r="HV54" s="111" t="n"/>
      <c r="HW54" s="111" t="n"/>
      <c r="HX54" s="111" t="n"/>
      <c r="HY54" s="111" t="n"/>
      <c r="HZ54" s="111" t="n"/>
      <c r="IA54" s="111" t="n"/>
      <c r="IB54" s="111" t="n"/>
      <c r="IC54" s="111" t="n"/>
      <c r="ID54" s="111" t="n"/>
      <c r="IE54" s="111" t="n"/>
      <c r="IF54" s="111" t="n"/>
      <c r="IG54" s="111" t="n"/>
      <c r="IH54" s="111" t="n"/>
      <c r="II54" s="111" t="n"/>
      <c r="IJ54" s="111" t="n"/>
      <c r="IK54" s="111" t="n"/>
      <c r="IL54" s="111" t="n"/>
      <c r="IM54" s="111" t="n"/>
      <c r="IN54" s="111" t="n"/>
      <c r="IO54" s="111" t="n"/>
      <c r="IP54" s="111" t="n"/>
      <c r="IQ54" s="111" t="n"/>
      <c r="IR54" s="111" t="n"/>
      <c r="IS54" s="111" t="n"/>
      <c r="IT54" s="111" t="n"/>
      <c r="IU54" s="111" t="n"/>
      <c r="IV54" s="111" t="n"/>
      <c r="IW54" s="111" t="n"/>
      <c r="IX54" s="111" t="n"/>
      <c r="IY54" s="111" t="n"/>
      <c r="IZ54" s="111" t="n"/>
      <c r="JA54" s="111" t="n"/>
      <c r="JB54" s="111" t="n"/>
      <c r="JC54" s="111" t="n"/>
      <c r="JD54" s="111" t="n"/>
      <c r="JE54" s="111" t="n"/>
      <c r="JF54" s="111" t="n"/>
      <c r="JG54" s="111" t="n"/>
      <c r="JH54" s="111" t="n"/>
      <c r="JI54" s="111" t="n"/>
      <c r="JJ54" s="111" t="n"/>
      <c r="JK54" s="111" t="n"/>
      <c r="JL54" s="111" t="n"/>
      <c r="JM54" s="111" t="n"/>
      <c r="JN54" s="111" t="n"/>
      <c r="JO54" s="111" t="n"/>
      <c r="JP54" s="111" t="n"/>
      <c r="JQ54" s="111" t="n"/>
      <c r="JR54" s="111" t="n"/>
      <c r="JS54" s="111" t="n"/>
      <c r="JT54" s="111" t="n"/>
      <c r="JU54" s="111" t="n"/>
      <c r="JV54" s="111" t="n"/>
      <c r="JW54" s="111" t="n"/>
      <c r="JX54" s="111" t="n"/>
      <c r="JY54" s="111" t="n"/>
      <c r="JZ54" s="111" t="n"/>
      <c r="KA54" s="111" t="n"/>
      <c r="KB54" s="111" t="n"/>
      <c r="KC54" s="111" t="n"/>
      <c r="KD54" s="111" t="n"/>
      <c r="KE54" s="111" t="n"/>
      <c r="KF54" s="111" t="n"/>
      <c r="KG54" s="111" t="n"/>
      <c r="KH54" s="111" t="n"/>
      <c r="KI54" s="111" t="n"/>
      <c r="KJ54" s="111" t="n"/>
      <c r="KK54" s="111" t="n"/>
      <c r="KL54" s="111" t="n"/>
      <c r="KM54" s="111" t="n"/>
      <c r="KN54" s="111" t="n"/>
      <c r="KO54" s="111" t="n"/>
      <c r="KP54" s="111" t="n"/>
      <c r="KQ54" s="111" t="n"/>
      <c r="KR54" s="111" t="n"/>
      <c r="KS54" s="111" t="n"/>
      <c r="KT54" s="111" t="n"/>
      <c r="KU54" s="111" t="n"/>
      <c r="KV54" s="111" t="n"/>
      <c r="KW54" s="111" t="n"/>
      <c r="KX54" s="111" t="n"/>
      <c r="KY54" s="111" t="n"/>
      <c r="KZ54" s="111" t="n"/>
      <c r="LA54" s="111" t="n"/>
      <c r="LB54" s="111" t="n"/>
      <c r="LC54" s="111" t="n"/>
      <c r="LD54" s="111" t="n"/>
      <c r="LE54" s="111" t="n"/>
      <c r="LF54" s="111" t="n"/>
      <c r="LG54" s="111" t="n"/>
      <c r="LH54" s="111" t="n"/>
      <c r="LI54" s="111" t="n"/>
      <c r="LJ54" s="111" t="n"/>
      <c r="LK54" s="111" t="n"/>
      <c r="LL54" s="111" t="n"/>
      <c r="LM54" s="111" t="n"/>
      <c r="LN54" s="111" t="n"/>
      <c r="LO54" s="111" t="n"/>
      <c r="LP54" s="111" t="n"/>
      <c r="LQ54" s="111" t="n"/>
      <c r="LR54" s="111" t="n"/>
      <c r="LS54" s="111" t="n"/>
      <c r="LT54" s="111" t="n"/>
      <c r="LU54" s="111" t="n"/>
      <c r="LV54" s="111" t="n"/>
      <c r="LW54" s="111" t="n"/>
      <c r="LX54" s="111" t="n"/>
      <c r="LY54" s="111" t="n"/>
      <c r="LZ54" s="111" t="n"/>
      <c r="MA54" s="111" t="n"/>
      <c r="MB54" s="111" t="n"/>
      <c r="MC54" s="111" t="n"/>
      <c r="MD54" s="111" t="n"/>
      <c r="ME54" s="111" t="n"/>
      <c r="MF54" s="111" t="n"/>
      <c r="MG54" s="111" t="n"/>
      <c r="MH54" s="111" t="n"/>
      <c r="MI54" s="111" t="n"/>
      <c r="MJ54" s="111" t="n"/>
      <c r="MK54" s="111" t="n"/>
      <c r="ML54" s="111" t="n"/>
      <c r="MM54" s="111" t="n"/>
      <c r="MN54" s="111" t="n"/>
      <c r="MO54" s="111" t="n"/>
      <c r="MP54" s="111" t="n"/>
      <c r="MQ54" s="111" t="n"/>
      <c r="MR54" s="111" t="n"/>
      <c r="MS54" s="111" t="n"/>
      <c r="MT54" s="111" t="n"/>
      <c r="MU54" s="111" t="n"/>
      <c r="MV54" s="111" t="n"/>
      <c r="MW54" s="111" t="n"/>
      <c r="MX54" s="111" t="n"/>
      <c r="MY54" s="111" t="n"/>
      <c r="MZ54" s="111" t="n"/>
      <c r="NA54" s="111" t="n"/>
      <c r="NB54" s="111" t="n"/>
      <c r="NC54" s="111" t="n"/>
      <c r="ND54" s="111" t="n"/>
      <c r="NE54" s="111" t="n"/>
      <c r="NF54" s="111" t="n"/>
      <c r="NG54" s="111" t="n"/>
      <c r="NH54" s="111" t="n"/>
      <c r="NI54" s="111" t="n"/>
      <c r="NJ54" s="111" t="n"/>
      <c r="NK54" s="111" t="n"/>
      <c r="NL54" s="111" t="n"/>
      <c r="NM54" s="111" t="n"/>
      <c r="NN54" s="111" t="n"/>
      <c r="NO54" s="111" t="n"/>
    </row>
    <row r="55" customFormat="1" s="17">
      <c r="A55" s="33">
        <f>IF(ISERROR(VALUE(SUBSTITUTE(OFFSET(A55,-1,0,1,1),".",""))),"0.1",IF(ISERROR(FIND("`",SUBSTITUTE(OFFSET(A55,-1,0,1,1),".","`",1))),OFFSET(A55,-1,0,1,1)&amp;".1",LEFT(OFFSET(A55,-1,0,1,1),FIND("`",SUBSTITUTE(OFFSET(A55,-1,0,1,1),".","`",1)))&amp;IF(ISERROR(FIND("`",SUBSTITUTE(OFFSET(A55,-1,0,1,1),".","`",2))),VALUE(RIGHT(OFFSET(A55,-1,0,1,1),LEN(OFFSET(A55,-1,0,1,1))-FIND("`",SUBSTITUTE(OFFSET(A55,-1,0,1,1),".","`",1))))+1,VALUE(MID(OFFSET(A55,-1,0,1,1),FIND("`",SUBSTITUTE(OFFSET(A55,-1,0,1,1),".","`",1))+1,(FIND("`",SUBSTITUTE(OFFSET(A55,-1,0,1,1),".","`",2))-FIND("`",SUBSTITUTE(OFFSET(A55,-1,0,1,1),".","`",1))-1)))+1)))</f>
        <v/>
      </c>
      <c r="B55" s="10" t="inlineStr">
        <is>
          <t>[ Level 2 Task ]</t>
        </is>
      </c>
      <c r="C55" s="11" t="inlineStr">
        <is>
          <t>Sarah</t>
        </is>
      </c>
      <c r="D55" s="37" t="n"/>
      <c r="E55" s="37" t="n"/>
      <c r="F55" s="37" t="n"/>
      <c r="G55" s="274">
        <f>WORKDAY(G54,1,holidays)</f>
        <v/>
      </c>
      <c r="H55" s="275">
        <f>IF(I55=0,G55,WORKDAY(IF(WEEKDAY(G55,1)=7,G55+2,IF(WEEKDAY(G55,1)=1,G55+1,G55)),I55-1,holidays))</f>
        <v/>
      </c>
      <c r="I55" s="79" t="n">
        <v>2</v>
      </c>
      <c r="J55" s="13" t="n"/>
      <c r="K55" s="15">
        <f>IF(OR(G55=0,H55=0),0,H55-G55+1)</f>
        <v/>
      </c>
      <c r="L55" s="15">
        <f>MIN(K55,WORKDAY(G55,ROUNDDOWN(J55*I55,0),holidays)-G55)</f>
        <v/>
      </c>
      <c r="M55" s="14">
        <f>K55-L55</f>
        <v/>
      </c>
      <c r="N55" s="105">
        <f>IF(H55&lt;$G$7 + INDEX(urgency,1),"r",IF(H55&lt;$G$7 + INDEX(urgency,2),"o",IF(H55&lt;$G$7 + INDEX(urgency,3),"y", IFERROR( INDEX( lead_color, MATCH(C55, lead, 0) ), "") )))</f>
        <v/>
      </c>
      <c r="O55" s="17" t="n"/>
      <c r="P55" s="111" t="n"/>
      <c r="Q55" s="111" t="n"/>
      <c r="R55" s="111" t="n"/>
      <c r="S55" s="111" t="n"/>
      <c r="T55" s="111" t="n"/>
      <c r="U55" s="111" t="n"/>
      <c r="V55" s="111" t="n"/>
      <c r="W55" s="111"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1" t="n"/>
      <c r="BD55" s="111" t="n"/>
      <c r="BE55" s="111" t="n"/>
      <c r="BF55" s="111" t="n"/>
      <c r="BG55" s="111" t="n"/>
      <c r="BH55" s="111" t="n"/>
      <c r="BI55" s="111" t="n"/>
      <c r="BJ55" s="111" t="n"/>
      <c r="BK55" s="111" t="n"/>
      <c r="BL55" s="111" t="n"/>
      <c r="BM55" s="111" t="n"/>
      <c r="BN55" s="111" t="n"/>
      <c r="BO55" s="111" t="n"/>
      <c r="BP55" s="111" t="n"/>
      <c r="BQ55" s="111" t="n"/>
      <c r="BR55" s="111" t="n"/>
      <c r="BS55" s="111" t="n"/>
      <c r="BT55" s="111" t="n"/>
      <c r="BU55" s="111" t="n"/>
      <c r="BV55" s="111" t="n"/>
      <c r="BW55" s="111" t="n"/>
      <c r="BX55" s="111" t="n"/>
      <c r="BY55" s="111" t="n"/>
      <c r="BZ55" s="111" t="n"/>
      <c r="CA55" s="111" t="n"/>
      <c r="CB55" s="111" t="n"/>
      <c r="CC55" s="111" t="n"/>
      <c r="CD55" s="111" t="n"/>
      <c r="CE55" s="111" t="n"/>
      <c r="CF55" s="111"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1" t="n"/>
      <c r="DS55" s="111" t="n"/>
      <c r="DT55" s="111" t="n"/>
      <c r="DU55" s="111" t="n"/>
      <c r="DV55" s="111" t="n"/>
      <c r="DW55" s="111" t="n"/>
      <c r="DX55" s="111" t="n"/>
      <c r="DY55" s="111" t="n"/>
      <c r="DZ55" s="111" t="n"/>
      <c r="EA55" s="111" t="n"/>
      <c r="EB55" s="111" t="n"/>
      <c r="EC55" s="111" t="n"/>
      <c r="ED55" s="111" t="n"/>
      <c r="EE55" s="111" t="n"/>
      <c r="EF55" s="111" t="n"/>
      <c r="EG55" s="111" t="n"/>
      <c r="EH55" s="111" t="n"/>
      <c r="EI55" s="111" t="n"/>
      <c r="EJ55" s="111" t="n"/>
      <c r="EK55" s="111" t="n"/>
      <c r="EL55" s="111" t="n"/>
      <c r="EM55" s="111" t="n"/>
      <c r="EN55" s="111" t="n"/>
      <c r="EO55" s="111" t="n"/>
      <c r="EP55" s="111" t="n"/>
      <c r="EQ55" s="111" t="n"/>
      <c r="ER55" s="111" t="n"/>
      <c r="ES55" s="111" t="n"/>
      <c r="ET55" s="111" t="n"/>
      <c r="EU55" s="111" t="n"/>
      <c r="EV55" s="111" t="n"/>
      <c r="EW55" s="111" t="n"/>
      <c r="EX55" s="111" t="n"/>
      <c r="EY55" s="111" t="n"/>
      <c r="EZ55" s="111" t="n"/>
      <c r="FA55" s="111" t="n"/>
      <c r="FB55" s="111"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1" t="n"/>
      <c r="GH55" s="111" t="n"/>
      <c r="GI55" s="111" t="n"/>
      <c r="GJ55" s="111" t="n"/>
      <c r="GK55" s="111" t="n"/>
      <c r="GL55" s="111" t="n"/>
      <c r="GM55" s="111" t="n"/>
      <c r="GN55" s="111" t="n"/>
      <c r="GO55" s="111" t="n"/>
      <c r="GP55" s="111" t="n"/>
      <c r="GQ55" s="111" t="n"/>
      <c r="GR55" s="111" t="n"/>
      <c r="GS55" s="111" t="n"/>
      <c r="GT55" s="111" t="n"/>
      <c r="GU55" s="111" t="n"/>
      <c r="GV55" s="111" t="n"/>
      <c r="GW55" s="111" t="n"/>
      <c r="GX55" s="111" t="n"/>
      <c r="GY55" s="111" t="n"/>
      <c r="GZ55" s="111" t="n"/>
      <c r="HA55" s="111" t="n"/>
      <c r="HB55" s="111" t="n"/>
      <c r="HC55" s="111" t="n"/>
      <c r="HD55" s="111" t="n"/>
      <c r="HE55" s="111" t="n"/>
      <c r="HF55" s="111" t="n"/>
      <c r="HG55" s="111" t="n"/>
      <c r="HH55" s="111" t="n"/>
      <c r="HI55" s="111" t="n"/>
      <c r="HJ55" s="111" t="n"/>
      <c r="HK55" s="111" t="n"/>
      <c r="HL55" s="111" t="n"/>
      <c r="HM55" s="111" t="n"/>
      <c r="HN55" s="111" t="n"/>
      <c r="HO55" s="111" t="n"/>
      <c r="HP55" s="111" t="n"/>
      <c r="HQ55" s="111" t="n"/>
      <c r="HR55" s="111" t="n"/>
      <c r="HS55" s="111" t="n"/>
      <c r="HT55" s="111" t="n"/>
      <c r="HU55" s="111" t="n"/>
      <c r="HV55" s="111" t="n"/>
      <c r="HW55" s="111" t="n"/>
      <c r="HX55" s="111" t="n"/>
      <c r="HY55" s="111" t="n"/>
      <c r="HZ55" s="111" t="n"/>
      <c r="IA55" s="111" t="n"/>
      <c r="IB55" s="111" t="n"/>
      <c r="IC55" s="111" t="n"/>
      <c r="ID55" s="111" t="n"/>
      <c r="IE55" s="111" t="n"/>
      <c r="IF55" s="111" t="n"/>
      <c r="IG55" s="111" t="n"/>
      <c r="IH55" s="111" t="n"/>
      <c r="II55" s="111" t="n"/>
      <c r="IJ55" s="111" t="n"/>
      <c r="IK55" s="111" t="n"/>
      <c r="IL55" s="111" t="n"/>
      <c r="IM55" s="111" t="n"/>
      <c r="IN55" s="111" t="n"/>
      <c r="IO55" s="111" t="n"/>
      <c r="IP55" s="111" t="n"/>
      <c r="IQ55" s="111" t="n"/>
      <c r="IR55" s="111" t="n"/>
      <c r="IS55" s="111" t="n"/>
      <c r="IT55" s="111" t="n"/>
      <c r="IU55" s="111" t="n"/>
      <c r="IV55" s="111" t="n"/>
      <c r="IW55" s="111" t="n"/>
      <c r="IX55" s="111" t="n"/>
      <c r="IY55" s="111" t="n"/>
      <c r="IZ55" s="111" t="n"/>
      <c r="JA55" s="111" t="n"/>
      <c r="JB55" s="111" t="n"/>
      <c r="JC55" s="111" t="n"/>
      <c r="JD55" s="111" t="n"/>
      <c r="JE55" s="111" t="n"/>
      <c r="JF55" s="111" t="n"/>
      <c r="JG55" s="111" t="n"/>
      <c r="JH55" s="111" t="n"/>
      <c r="JI55" s="111" t="n"/>
      <c r="JJ55" s="111" t="n"/>
      <c r="JK55" s="111" t="n"/>
      <c r="JL55" s="111" t="n"/>
      <c r="JM55" s="111" t="n"/>
      <c r="JN55" s="111" t="n"/>
      <c r="JO55" s="111" t="n"/>
      <c r="JP55" s="111" t="n"/>
      <c r="JQ55" s="111" t="n"/>
      <c r="JR55" s="111" t="n"/>
      <c r="JS55" s="111" t="n"/>
      <c r="JT55" s="111" t="n"/>
      <c r="JU55" s="111" t="n"/>
      <c r="JV55" s="111" t="n"/>
      <c r="JW55" s="111" t="n"/>
      <c r="JX55" s="111" t="n"/>
      <c r="JY55" s="111" t="n"/>
      <c r="JZ55" s="111" t="n"/>
      <c r="KA55" s="111" t="n"/>
      <c r="KB55" s="111" t="n"/>
      <c r="KC55" s="111" t="n"/>
      <c r="KD55" s="111" t="n"/>
      <c r="KE55" s="111" t="n"/>
      <c r="KF55" s="111" t="n"/>
      <c r="KG55" s="111" t="n"/>
      <c r="KH55" s="111" t="n"/>
      <c r="KI55" s="111" t="n"/>
      <c r="KJ55" s="111" t="n"/>
      <c r="KK55" s="111" t="n"/>
      <c r="KL55" s="111" t="n"/>
      <c r="KM55" s="111" t="n"/>
      <c r="KN55" s="111" t="n"/>
      <c r="KO55" s="111" t="n"/>
      <c r="KP55" s="111" t="n"/>
      <c r="KQ55" s="111" t="n"/>
      <c r="KR55" s="111" t="n"/>
      <c r="KS55" s="111" t="n"/>
      <c r="KT55" s="111" t="n"/>
      <c r="KU55" s="111" t="n"/>
      <c r="KV55" s="111" t="n"/>
      <c r="KW55" s="111" t="n"/>
      <c r="KX55" s="111" t="n"/>
      <c r="KY55" s="111" t="n"/>
      <c r="KZ55" s="111" t="n"/>
      <c r="LA55" s="111" t="n"/>
      <c r="LB55" s="111" t="n"/>
      <c r="LC55" s="111" t="n"/>
      <c r="LD55" s="111" t="n"/>
      <c r="LE55" s="111" t="n"/>
      <c r="LF55" s="111" t="n"/>
      <c r="LG55" s="111" t="n"/>
      <c r="LH55" s="111" t="n"/>
      <c r="LI55" s="111" t="n"/>
      <c r="LJ55" s="111" t="n"/>
      <c r="LK55" s="111" t="n"/>
      <c r="LL55" s="111" t="n"/>
      <c r="LM55" s="111" t="n"/>
      <c r="LN55" s="111" t="n"/>
      <c r="LO55" s="111" t="n"/>
      <c r="LP55" s="111" t="n"/>
      <c r="LQ55" s="111" t="n"/>
      <c r="LR55" s="111" t="n"/>
      <c r="LS55" s="111" t="n"/>
      <c r="LT55" s="111" t="n"/>
      <c r="LU55" s="111" t="n"/>
      <c r="LV55" s="111" t="n"/>
      <c r="LW55" s="111" t="n"/>
      <c r="LX55" s="111" t="n"/>
      <c r="LY55" s="111" t="n"/>
      <c r="LZ55" s="111" t="n"/>
      <c r="MA55" s="111" t="n"/>
      <c r="MB55" s="111" t="n"/>
      <c r="MC55" s="111" t="n"/>
      <c r="MD55" s="111" t="n"/>
      <c r="ME55" s="111" t="n"/>
      <c r="MF55" s="111" t="n"/>
      <c r="MG55" s="111" t="n"/>
      <c r="MH55" s="111" t="n"/>
      <c r="MI55" s="111" t="n"/>
      <c r="MJ55" s="111" t="n"/>
      <c r="MK55" s="111" t="n"/>
      <c r="ML55" s="111" t="n"/>
      <c r="MM55" s="111" t="n"/>
      <c r="MN55" s="111" t="n"/>
      <c r="MO55" s="111" t="n"/>
      <c r="MP55" s="111" t="n"/>
      <c r="MQ55" s="111" t="n"/>
      <c r="MR55" s="111" t="n"/>
      <c r="MS55" s="111" t="n"/>
      <c r="MT55" s="111" t="n"/>
      <c r="MU55" s="111" t="n"/>
      <c r="MV55" s="111" t="n"/>
      <c r="MW55" s="111" t="n"/>
      <c r="MX55" s="111" t="n"/>
      <c r="MY55" s="111" t="n"/>
      <c r="MZ55" s="111" t="n"/>
      <c r="NA55" s="111" t="n"/>
      <c r="NB55" s="111" t="n"/>
      <c r="NC55" s="111" t="n"/>
      <c r="ND55" s="111" t="n"/>
      <c r="NE55" s="111" t="n"/>
      <c r="NF55" s="111" t="n"/>
      <c r="NG55" s="111" t="n"/>
      <c r="NH55" s="111" t="n"/>
      <c r="NI55" s="111" t="n"/>
      <c r="NJ55" s="111" t="n"/>
      <c r="NK55" s="111" t="n"/>
      <c r="NL55" s="111" t="n"/>
      <c r="NM55" s="111" t="n"/>
      <c r="NN55" s="111" t="n"/>
      <c r="NO55" s="111" t="n"/>
    </row>
    <row r="56" customFormat="1" s="17">
      <c r="A56" s="33">
        <f>IF(ISERROR(VALUE(SUBSTITUTE(OFFSET(A56,-1,0,1,1),".",""))),"0.1",IF(ISERROR(FIND("`",SUBSTITUTE(OFFSET(A56,-1,0,1,1),".","`",1))),OFFSET(A56,-1,0,1,1)&amp;".1",LEFT(OFFSET(A56,-1,0,1,1),FIND("`",SUBSTITUTE(OFFSET(A56,-1,0,1,1),".","`",1)))&amp;IF(ISERROR(FIND("`",SUBSTITUTE(OFFSET(A56,-1,0,1,1),".","`",2))),VALUE(RIGHT(OFFSET(A56,-1,0,1,1),LEN(OFFSET(A56,-1,0,1,1))-FIND("`",SUBSTITUTE(OFFSET(A56,-1,0,1,1),".","`",1))))+1,VALUE(MID(OFFSET(A56,-1,0,1,1),FIND("`",SUBSTITUTE(OFFSET(A56,-1,0,1,1),".","`",1))+1,(FIND("`",SUBSTITUTE(OFFSET(A56,-1,0,1,1),".","`",2))-FIND("`",SUBSTITUTE(OFFSET(A56,-1,0,1,1),".","`",1))-1)))+1)))</f>
        <v/>
      </c>
      <c r="B56" s="10" t="inlineStr">
        <is>
          <t>[ Level 2 Task ]</t>
        </is>
      </c>
      <c r="C56" s="11" t="inlineStr">
        <is>
          <t>Bill</t>
        </is>
      </c>
      <c r="D56" s="37" t="n"/>
      <c r="E56" s="37" t="n"/>
      <c r="F56" s="37" t="n"/>
      <c r="G56" s="274">
        <f>WORKDAY(G55,1,holidays)</f>
        <v/>
      </c>
      <c r="H56" s="275">
        <f>IF(I56=0,G56,WORKDAY(IF(WEEKDAY(G56,1)=7,G56+2,IF(WEEKDAY(G56,1)=1,G56+1,G56)),I56-1,holidays))</f>
        <v/>
      </c>
      <c r="I56" s="79" t="n">
        <v>10</v>
      </c>
      <c r="J56" s="13" t="n"/>
      <c r="K56" s="15">
        <f>IF(OR(G56=0,H56=0),0,H56-G56+1)</f>
        <v/>
      </c>
      <c r="L56" s="15">
        <f>MIN(K56,WORKDAY(G56,ROUNDDOWN(J56*I56,0),holidays)-G56)</f>
        <v/>
      </c>
      <c r="M56" s="14">
        <f>K56-L56</f>
        <v/>
      </c>
      <c r="N56" s="105">
        <f>IF(H56&lt;$G$7 + INDEX(urgency,1),"r",IF(H56&lt;$G$7 + INDEX(urgency,2),"o",IF(H56&lt;$G$7 + INDEX(urgency,3),"y", IFERROR( INDEX( lead_color, MATCH(C56, lead, 0) ), "") )))</f>
        <v/>
      </c>
      <c r="O56" s="17" t="n"/>
      <c r="P56" s="111" t="n"/>
      <c r="Q56" s="111" t="n"/>
      <c r="R56" s="111" t="n"/>
      <c r="S56" s="111" t="n"/>
      <c r="T56" s="111" t="n"/>
      <c r="U56" s="111" t="n"/>
      <c r="V56" s="111" t="n"/>
      <c r="W56" s="111"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1" t="n"/>
      <c r="AY56" s="111" t="n"/>
      <c r="AZ56" s="111" t="n"/>
      <c r="BA56" s="111" t="n"/>
      <c r="BB56" s="111" t="n"/>
      <c r="BC56" s="111" t="n"/>
      <c r="BD56" s="111" t="n"/>
      <c r="BE56" s="111" t="n"/>
      <c r="BF56" s="111" t="n"/>
      <c r="BG56" s="111" t="n"/>
      <c r="BH56" s="111" t="n"/>
      <c r="BI56" s="111" t="n"/>
      <c r="BJ56" s="111" t="n"/>
      <c r="BK56" s="111" t="n"/>
      <c r="BL56" s="111" t="n"/>
      <c r="BM56" s="111" t="n"/>
      <c r="BN56" s="111" t="n"/>
      <c r="BO56" s="111" t="n"/>
      <c r="BP56" s="111" t="n"/>
      <c r="BQ56" s="111" t="n"/>
      <c r="BR56" s="111" t="n"/>
      <c r="BS56" s="111" t="n"/>
      <c r="BT56" s="111" t="n"/>
      <c r="BU56" s="111" t="n"/>
      <c r="BV56" s="111" t="n"/>
      <c r="BW56" s="111" t="n"/>
      <c r="BX56" s="111" t="n"/>
      <c r="BY56" s="111" t="n"/>
      <c r="BZ56" s="111" t="n"/>
      <c r="CA56" s="111" t="n"/>
      <c r="CB56" s="111" t="n"/>
      <c r="CC56" s="111" t="n"/>
      <c r="CD56" s="111" t="n"/>
      <c r="CE56" s="111" t="n"/>
      <c r="CF56" s="111"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1" t="n"/>
      <c r="DS56" s="111" t="n"/>
      <c r="DT56" s="111" t="n"/>
      <c r="DU56" s="111" t="n"/>
      <c r="DV56" s="111" t="n"/>
      <c r="DW56" s="111" t="n"/>
      <c r="DX56" s="111" t="n"/>
      <c r="DY56" s="111" t="n"/>
      <c r="DZ56" s="111" t="n"/>
      <c r="EA56" s="111" t="n"/>
      <c r="EB56" s="111" t="n"/>
      <c r="EC56" s="111" t="n"/>
      <c r="ED56" s="111" t="n"/>
      <c r="EE56" s="111" t="n"/>
      <c r="EF56" s="111" t="n"/>
      <c r="EG56" s="111" t="n"/>
      <c r="EH56" s="111" t="n"/>
      <c r="EI56" s="111" t="n"/>
      <c r="EJ56" s="111" t="n"/>
      <c r="EK56" s="111" t="n"/>
      <c r="EL56" s="111" t="n"/>
      <c r="EM56" s="111" t="n"/>
      <c r="EN56" s="111" t="n"/>
      <c r="EO56" s="111" t="n"/>
      <c r="EP56" s="111" t="n"/>
      <c r="EQ56" s="111" t="n"/>
      <c r="ER56" s="111" t="n"/>
      <c r="ES56" s="111" t="n"/>
      <c r="ET56" s="111" t="n"/>
      <c r="EU56" s="111" t="n"/>
      <c r="EV56" s="111" t="n"/>
      <c r="EW56" s="111" t="n"/>
      <c r="EX56" s="111" t="n"/>
      <c r="EY56" s="111" t="n"/>
      <c r="EZ56" s="111" t="n"/>
      <c r="FA56" s="111" t="n"/>
      <c r="FB56" s="111"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1" t="n"/>
      <c r="GH56" s="111" t="n"/>
      <c r="GI56" s="111" t="n"/>
      <c r="GJ56" s="111" t="n"/>
      <c r="GK56" s="111" t="n"/>
      <c r="GL56" s="111" t="n"/>
      <c r="GM56" s="111" t="n"/>
      <c r="GN56" s="111" t="n"/>
      <c r="GO56" s="111" t="n"/>
      <c r="GP56" s="111" t="n"/>
      <c r="GQ56" s="111" t="n"/>
      <c r="GR56" s="111" t="n"/>
      <c r="GS56" s="111" t="n"/>
      <c r="GT56" s="111" t="n"/>
      <c r="GU56" s="111" t="n"/>
      <c r="GV56" s="111" t="n"/>
      <c r="GW56" s="111" t="n"/>
      <c r="GX56" s="111" t="n"/>
      <c r="GY56" s="111" t="n"/>
      <c r="GZ56" s="111" t="n"/>
      <c r="HA56" s="111" t="n"/>
      <c r="HB56" s="111" t="n"/>
      <c r="HC56" s="111" t="n"/>
      <c r="HD56" s="111" t="n"/>
      <c r="HE56" s="111" t="n"/>
      <c r="HF56" s="111" t="n"/>
      <c r="HG56" s="111" t="n"/>
      <c r="HH56" s="111" t="n"/>
      <c r="HI56" s="111" t="n"/>
      <c r="HJ56" s="111" t="n"/>
      <c r="HK56" s="111" t="n"/>
      <c r="HL56" s="111" t="n"/>
      <c r="HM56" s="111" t="n"/>
      <c r="HN56" s="111" t="n"/>
      <c r="HO56" s="111" t="n"/>
      <c r="HP56" s="111" t="n"/>
      <c r="HQ56" s="111" t="n"/>
      <c r="HR56" s="111" t="n"/>
      <c r="HS56" s="111" t="n"/>
      <c r="HT56" s="111" t="n"/>
      <c r="HU56" s="111" t="n"/>
      <c r="HV56" s="111" t="n"/>
      <c r="HW56" s="111" t="n"/>
      <c r="HX56" s="111" t="n"/>
      <c r="HY56" s="111" t="n"/>
      <c r="HZ56" s="111" t="n"/>
      <c r="IA56" s="111" t="n"/>
      <c r="IB56" s="111" t="n"/>
      <c r="IC56" s="111" t="n"/>
      <c r="ID56" s="111" t="n"/>
      <c r="IE56" s="111" t="n"/>
      <c r="IF56" s="111" t="n"/>
      <c r="IG56" s="111" t="n"/>
      <c r="IH56" s="111" t="n"/>
      <c r="II56" s="111" t="n"/>
      <c r="IJ56" s="111" t="n"/>
      <c r="IK56" s="111" t="n"/>
      <c r="IL56" s="111" t="n"/>
      <c r="IM56" s="111" t="n"/>
      <c r="IN56" s="111" t="n"/>
      <c r="IO56" s="111" t="n"/>
      <c r="IP56" s="111" t="n"/>
      <c r="IQ56" s="111" t="n"/>
      <c r="IR56" s="111" t="n"/>
      <c r="IS56" s="111" t="n"/>
      <c r="IT56" s="111" t="n"/>
      <c r="IU56" s="111" t="n"/>
      <c r="IV56" s="111" t="n"/>
      <c r="IW56" s="111" t="n"/>
      <c r="IX56" s="111" t="n"/>
      <c r="IY56" s="111" t="n"/>
      <c r="IZ56" s="111" t="n"/>
      <c r="JA56" s="111" t="n"/>
      <c r="JB56" s="111" t="n"/>
      <c r="JC56" s="111" t="n"/>
      <c r="JD56" s="111" t="n"/>
      <c r="JE56" s="111" t="n"/>
      <c r="JF56" s="111" t="n"/>
      <c r="JG56" s="111" t="n"/>
      <c r="JH56" s="111" t="n"/>
      <c r="JI56" s="111" t="n"/>
      <c r="JJ56" s="111" t="n"/>
      <c r="JK56" s="111" t="n"/>
      <c r="JL56" s="111" t="n"/>
      <c r="JM56" s="111" t="n"/>
      <c r="JN56" s="111" t="n"/>
      <c r="JO56" s="111" t="n"/>
      <c r="JP56" s="111" t="n"/>
      <c r="JQ56" s="111" t="n"/>
      <c r="JR56" s="111" t="n"/>
      <c r="JS56" s="111" t="n"/>
      <c r="JT56" s="111" t="n"/>
      <c r="JU56" s="111" t="n"/>
      <c r="JV56" s="111" t="n"/>
      <c r="JW56" s="111" t="n"/>
      <c r="JX56" s="111" t="n"/>
      <c r="JY56" s="111" t="n"/>
      <c r="JZ56" s="111" t="n"/>
      <c r="KA56" s="111" t="n"/>
      <c r="KB56" s="111" t="n"/>
      <c r="KC56" s="111" t="n"/>
      <c r="KD56" s="111" t="n"/>
      <c r="KE56" s="111" t="n"/>
      <c r="KF56" s="111" t="n"/>
      <c r="KG56" s="111" t="n"/>
      <c r="KH56" s="111" t="n"/>
      <c r="KI56" s="111" t="n"/>
      <c r="KJ56" s="111" t="n"/>
      <c r="KK56" s="111" t="n"/>
      <c r="KL56" s="111" t="n"/>
      <c r="KM56" s="111" t="n"/>
      <c r="KN56" s="111" t="n"/>
      <c r="KO56" s="111" t="n"/>
      <c r="KP56" s="111" t="n"/>
      <c r="KQ56" s="111" t="n"/>
      <c r="KR56" s="111" t="n"/>
      <c r="KS56" s="111" t="n"/>
      <c r="KT56" s="111" t="n"/>
      <c r="KU56" s="111" t="n"/>
      <c r="KV56" s="111" t="n"/>
      <c r="KW56" s="111" t="n"/>
      <c r="KX56" s="111" t="n"/>
      <c r="KY56" s="111" t="n"/>
      <c r="KZ56" s="111" t="n"/>
      <c r="LA56" s="111" t="n"/>
      <c r="LB56" s="111" t="n"/>
      <c r="LC56" s="111" t="n"/>
      <c r="LD56" s="111" t="n"/>
      <c r="LE56" s="111" t="n"/>
      <c r="LF56" s="111" t="n"/>
      <c r="LG56" s="111" t="n"/>
      <c r="LH56" s="111" t="n"/>
      <c r="LI56" s="111" t="n"/>
      <c r="LJ56" s="111" t="n"/>
      <c r="LK56" s="111" t="n"/>
      <c r="LL56" s="111" t="n"/>
      <c r="LM56" s="111" t="n"/>
      <c r="LN56" s="111" t="n"/>
      <c r="LO56" s="111" t="n"/>
      <c r="LP56" s="111" t="n"/>
      <c r="LQ56" s="111" t="n"/>
      <c r="LR56" s="111" t="n"/>
      <c r="LS56" s="111" t="n"/>
      <c r="LT56" s="111" t="n"/>
      <c r="LU56" s="111" t="n"/>
      <c r="LV56" s="111" t="n"/>
      <c r="LW56" s="111" t="n"/>
      <c r="LX56" s="111" t="n"/>
      <c r="LY56" s="111" t="n"/>
      <c r="LZ56" s="111" t="n"/>
      <c r="MA56" s="111" t="n"/>
      <c r="MB56" s="111" t="n"/>
      <c r="MC56" s="111" t="n"/>
      <c r="MD56" s="111" t="n"/>
      <c r="ME56" s="111" t="n"/>
      <c r="MF56" s="111" t="n"/>
      <c r="MG56" s="111" t="n"/>
      <c r="MH56" s="111" t="n"/>
      <c r="MI56" s="111" t="n"/>
      <c r="MJ56" s="111" t="n"/>
      <c r="MK56" s="111" t="n"/>
      <c r="ML56" s="111" t="n"/>
      <c r="MM56" s="111" t="n"/>
      <c r="MN56" s="111" t="n"/>
      <c r="MO56" s="111" t="n"/>
      <c r="MP56" s="111" t="n"/>
      <c r="MQ56" s="111" t="n"/>
      <c r="MR56" s="111" t="n"/>
      <c r="MS56" s="111" t="n"/>
      <c r="MT56" s="111" t="n"/>
      <c r="MU56" s="111" t="n"/>
      <c r="MV56" s="111" t="n"/>
      <c r="MW56" s="111" t="n"/>
      <c r="MX56" s="111" t="n"/>
      <c r="MY56" s="111" t="n"/>
      <c r="MZ56" s="111" t="n"/>
      <c r="NA56" s="111" t="n"/>
      <c r="NB56" s="111" t="n"/>
      <c r="NC56" s="111" t="n"/>
      <c r="ND56" s="111" t="n"/>
      <c r="NE56" s="111" t="n"/>
      <c r="NF56" s="111" t="n"/>
      <c r="NG56" s="111" t="n"/>
      <c r="NH56" s="111" t="n"/>
      <c r="NI56" s="111" t="n"/>
      <c r="NJ56" s="111" t="n"/>
      <c r="NK56" s="111" t="n"/>
      <c r="NL56" s="111" t="n"/>
      <c r="NM56" s="111" t="n"/>
      <c r="NN56" s="111" t="n"/>
      <c r="NO56" s="111" t="n"/>
    </row>
    <row r="57" customFormat="1" s="17">
      <c r="A57" s="33">
        <f>IF(ISERROR(VALUE(SUBSTITUTE(OFFSET(A57,-1,0,1,1),".",""))),"0.1",IF(ISERROR(FIND("`",SUBSTITUTE(OFFSET(A57,-1,0,1,1),".","`",1))),OFFSET(A57,-1,0,1,1)&amp;".1",LEFT(OFFSET(A57,-1,0,1,1),FIND("`",SUBSTITUTE(OFFSET(A57,-1,0,1,1),".","`",1)))&amp;IF(ISERROR(FIND("`",SUBSTITUTE(OFFSET(A57,-1,0,1,1),".","`",2))),VALUE(RIGHT(OFFSET(A57,-1,0,1,1),LEN(OFFSET(A57,-1,0,1,1))-FIND("`",SUBSTITUTE(OFFSET(A57,-1,0,1,1),".","`",1))))+1,VALUE(MID(OFFSET(A57,-1,0,1,1),FIND("`",SUBSTITUTE(OFFSET(A57,-1,0,1,1),".","`",1))+1,(FIND("`",SUBSTITUTE(OFFSET(A57,-1,0,1,1),".","`",2))-FIND("`",SUBSTITUTE(OFFSET(A57,-1,0,1,1),".","`",1))-1)))+1)))</f>
        <v/>
      </c>
      <c r="B57" s="10" t="inlineStr">
        <is>
          <t>[ Level 2 Task ]</t>
        </is>
      </c>
      <c r="C57" s="11" t="inlineStr">
        <is>
          <t>Bob</t>
        </is>
      </c>
      <c r="D57" s="37" t="n"/>
      <c r="E57" s="37" t="n"/>
      <c r="F57" s="37" t="n"/>
      <c r="G57" s="274">
        <f>WORKDAY(G56,1,holidays)</f>
        <v/>
      </c>
      <c r="H57" s="275">
        <f>IF(I57=0,G57,WORKDAY(IF(WEEKDAY(G57,1)=7,G57+2,IF(WEEKDAY(G57,1)=1,G57+1,G57)),I57-1,holidays))</f>
        <v/>
      </c>
      <c r="I57" s="79" t="n">
        <v>6</v>
      </c>
      <c r="J57" s="13" t="n"/>
      <c r="K57" s="15">
        <f>IF(OR(G57=0,H57=0),0,H57-G57+1)</f>
        <v/>
      </c>
      <c r="L57" s="15">
        <f>MIN(K57,WORKDAY(G57,ROUNDDOWN(J57*I57,0),holidays)-G57)</f>
        <v/>
      </c>
      <c r="M57" s="14">
        <f>K57-L57</f>
        <v/>
      </c>
      <c r="N57" s="105">
        <f>IF(H57&lt;$G$7 + INDEX(urgency,1),"r",IF(H57&lt;$G$7 + INDEX(urgency,2),"o",IF(H57&lt;$G$7 + INDEX(urgency,3),"y", IFERROR( INDEX( lead_color, MATCH(C57, lead, 0) ), "") )))</f>
        <v/>
      </c>
      <c r="O57" s="17" t="n"/>
      <c r="P57" s="111" t="n"/>
      <c r="Q57" s="111" t="n"/>
      <c r="R57" s="111" t="n"/>
      <c r="S57" s="111" t="n"/>
      <c r="T57" s="111" t="n"/>
      <c r="U57" s="111" t="n"/>
      <c r="V57" s="111" t="n"/>
      <c r="W57" s="111" t="n"/>
      <c r="X57" s="111" t="n"/>
      <c r="Y57" s="111" t="n"/>
      <c r="Z57" s="111" t="n"/>
      <c r="AA57" s="111" t="n"/>
      <c r="AB57" s="111" t="n"/>
      <c r="AC57" s="111" t="n"/>
      <c r="AD57" s="111" t="n"/>
      <c r="AE57" s="111" t="n"/>
      <c r="AF57" s="111" t="n"/>
      <c r="AG57" s="111" t="n"/>
      <c r="AH57" s="111" t="n"/>
      <c r="AI57" s="111" t="n"/>
      <c r="AJ57" s="111" t="n"/>
      <c r="AK57" s="111" t="n"/>
      <c r="AL57" s="111" t="n"/>
      <c r="AM57" s="111" t="n"/>
      <c r="AN57" s="111" t="n"/>
      <c r="AO57" s="111" t="n"/>
      <c r="AP57" s="111" t="n"/>
      <c r="AQ57" s="111" t="n"/>
      <c r="AR57" s="111" t="n"/>
      <c r="AS57" s="111" t="n"/>
      <c r="AT57" s="111" t="n"/>
      <c r="AU57" s="111" t="n"/>
      <c r="AV57" s="111" t="n"/>
      <c r="AW57" s="111" t="n"/>
      <c r="AX57" s="111" t="n"/>
      <c r="AY57" s="111" t="n"/>
      <c r="AZ57" s="111" t="n"/>
      <c r="BA57" s="111" t="n"/>
      <c r="BB57" s="111" t="n"/>
      <c r="BC57" s="111" t="n"/>
      <c r="BD57" s="111" t="n"/>
      <c r="BE57" s="111" t="n"/>
      <c r="BF57" s="111" t="n"/>
      <c r="BG57" s="111" t="n"/>
      <c r="BH57" s="111" t="n"/>
      <c r="BI57" s="111" t="n"/>
      <c r="BJ57" s="111" t="n"/>
      <c r="BK57" s="111" t="n"/>
      <c r="BL57" s="111" t="n"/>
      <c r="BM57" s="111" t="n"/>
      <c r="BN57" s="111" t="n"/>
      <c r="BO57" s="111" t="n"/>
      <c r="BP57" s="111" t="n"/>
      <c r="BQ57" s="111" t="n"/>
      <c r="BR57" s="111" t="n"/>
      <c r="BS57" s="111" t="n"/>
      <c r="BT57" s="111" t="n"/>
      <c r="BU57" s="111" t="n"/>
      <c r="BV57" s="111" t="n"/>
      <c r="BW57" s="111" t="n"/>
      <c r="BX57" s="111" t="n"/>
      <c r="BY57" s="111" t="n"/>
      <c r="BZ57" s="111" t="n"/>
      <c r="CA57" s="111" t="n"/>
      <c r="CB57" s="111" t="n"/>
      <c r="CC57" s="111" t="n"/>
      <c r="CD57" s="111" t="n"/>
      <c r="CE57" s="111" t="n"/>
      <c r="CF57" s="111" t="n"/>
      <c r="CG57" s="111" t="n"/>
      <c r="CH57" s="111" t="n"/>
      <c r="CI57" s="111" t="n"/>
      <c r="CJ57" s="111" t="n"/>
      <c r="CK57" s="111" t="n"/>
      <c r="CL57" s="111" t="n"/>
      <c r="CM57" s="111" t="n"/>
      <c r="CN57" s="111" t="n"/>
      <c r="CO57" s="111" t="n"/>
      <c r="CP57" s="111" t="n"/>
      <c r="CQ57" s="111" t="n"/>
      <c r="CR57" s="111" t="n"/>
      <c r="CS57" s="111" t="n"/>
      <c r="CT57" s="111" t="n"/>
      <c r="CU57" s="111" t="n"/>
      <c r="CV57" s="111" t="n"/>
      <c r="CW57" s="111" t="n"/>
      <c r="CX57" s="111" t="n"/>
      <c r="CY57" s="111" t="n"/>
      <c r="CZ57" s="111" t="n"/>
      <c r="DA57" s="111" t="n"/>
      <c r="DB57" s="111" t="n"/>
      <c r="DC57" s="111" t="n"/>
      <c r="DD57" s="111" t="n"/>
      <c r="DE57" s="111" t="n"/>
      <c r="DF57" s="111" t="n"/>
      <c r="DG57" s="111" t="n"/>
      <c r="DH57" s="111" t="n"/>
      <c r="DI57" s="111" t="n"/>
      <c r="DJ57" s="111" t="n"/>
      <c r="DK57" s="111" t="n"/>
      <c r="DL57" s="111" t="n"/>
      <c r="DM57" s="111" t="n"/>
      <c r="DN57" s="111" t="n"/>
      <c r="DO57" s="111" t="n"/>
      <c r="DP57" s="111" t="n"/>
      <c r="DQ57" s="111" t="n"/>
      <c r="DR57" s="111" t="n"/>
      <c r="DS57" s="111" t="n"/>
      <c r="DT57" s="111" t="n"/>
      <c r="DU57" s="111" t="n"/>
      <c r="DV57" s="111" t="n"/>
      <c r="DW57" s="111" t="n"/>
      <c r="DX57" s="111" t="n"/>
      <c r="DY57" s="111" t="n"/>
      <c r="DZ57" s="111" t="n"/>
      <c r="EA57" s="111" t="n"/>
      <c r="EB57" s="111" t="n"/>
      <c r="EC57" s="111" t="n"/>
      <c r="ED57" s="111" t="n"/>
      <c r="EE57" s="111" t="n"/>
      <c r="EF57" s="111" t="n"/>
      <c r="EG57" s="111" t="n"/>
      <c r="EH57" s="111" t="n"/>
      <c r="EI57" s="111" t="n"/>
      <c r="EJ57" s="111" t="n"/>
      <c r="EK57" s="111" t="n"/>
      <c r="EL57" s="111" t="n"/>
      <c r="EM57" s="111" t="n"/>
      <c r="EN57" s="111" t="n"/>
      <c r="EO57" s="111" t="n"/>
      <c r="EP57" s="111" t="n"/>
      <c r="EQ57" s="111" t="n"/>
      <c r="ER57" s="111" t="n"/>
      <c r="ES57" s="111" t="n"/>
      <c r="ET57" s="111" t="n"/>
      <c r="EU57" s="111" t="n"/>
      <c r="EV57" s="111" t="n"/>
      <c r="EW57" s="111" t="n"/>
      <c r="EX57" s="111" t="n"/>
      <c r="EY57" s="111" t="n"/>
      <c r="EZ57" s="111" t="n"/>
      <c r="FA57" s="111" t="n"/>
      <c r="FB57" s="111" t="n"/>
      <c r="FC57" s="111" t="n"/>
      <c r="FD57" s="111" t="n"/>
      <c r="FE57" s="111" t="n"/>
      <c r="FF57" s="111" t="n"/>
      <c r="FG57" s="111" t="n"/>
      <c r="FH57" s="111" t="n"/>
      <c r="FI57" s="111" t="n"/>
      <c r="FJ57" s="111" t="n"/>
      <c r="FK57" s="111" t="n"/>
      <c r="FL57" s="111" t="n"/>
      <c r="FM57" s="111" t="n"/>
      <c r="FN57" s="111" t="n"/>
      <c r="FO57" s="111" t="n"/>
      <c r="FP57" s="111" t="n"/>
      <c r="FQ57" s="111" t="n"/>
      <c r="FR57" s="111" t="n"/>
      <c r="FS57" s="111" t="n"/>
      <c r="FT57" s="111" t="n"/>
      <c r="FU57" s="111" t="n"/>
      <c r="FV57" s="111" t="n"/>
      <c r="FW57" s="111" t="n"/>
      <c r="FX57" s="111" t="n"/>
      <c r="FY57" s="111" t="n"/>
      <c r="FZ57" s="111" t="n"/>
      <c r="GA57" s="111" t="n"/>
      <c r="GB57" s="111" t="n"/>
      <c r="GC57" s="111" t="n"/>
      <c r="GD57" s="111" t="n"/>
      <c r="GE57" s="111" t="n"/>
      <c r="GF57" s="111" t="n"/>
      <c r="GG57" s="111" t="n"/>
      <c r="GH57" s="111" t="n"/>
      <c r="GI57" s="111" t="n"/>
      <c r="GJ57" s="111" t="n"/>
      <c r="GK57" s="111" t="n"/>
      <c r="GL57" s="111" t="n"/>
      <c r="GM57" s="111" t="n"/>
      <c r="GN57" s="111" t="n"/>
      <c r="GO57" s="111" t="n"/>
      <c r="GP57" s="111" t="n"/>
      <c r="GQ57" s="111" t="n"/>
      <c r="GR57" s="111" t="n"/>
      <c r="GS57" s="111" t="n"/>
      <c r="GT57" s="111" t="n"/>
      <c r="GU57" s="111" t="n"/>
      <c r="GV57" s="111" t="n"/>
      <c r="GW57" s="111" t="n"/>
      <c r="GX57" s="111" t="n"/>
      <c r="GY57" s="111" t="n"/>
      <c r="GZ57" s="111" t="n"/>
      <c r="HA57" s="111" t="n"/>
      <c r="HB57" s="111" t="n"/>
      <c r="HC57" s="111" t="n"/>
      <c r="HD57" s="111" t="n"/>
      <c r="HE57" s="111" t="n"/>
      <c r="HF57" s="111" t="n"/>
      <c r="HG57" s="111" t="n"/>
      <c r="HH57" s="111" t="n"/>
      <c r="HI57" s="111" t="n"/>
      <c r="HJ57" s="111" t="n"/>
      <c r="HK57" s="111" t="n"/>
      <c r="HL57" s="111" t="n"/>
      <c r="HM57" s="111" t="n"/>
      <c r="HN57" s="111" t="n"/>
      <c r="HO57" s="111" t="n"/>
      <c r="HP57" s="111" t="n"/>
      <c r="HQ57" s="111" t="n"/>
      <c r="HR57" s="111" t="n"/>
      <c r="HS57" s="111" t="n"/>
      <c r="HT57" s="111" t="n"/>
      <c r="HU57" s="111" t="n"/>
      <c r="HV57" s="111" t="n"/>
      <c r="HW57" s="111" t="n"/>
      <c r="HX57" s="111" t="n"/>
      <c r="HY57" s="111" t="n"/>
      <c r="HZ57" s="111" t="n"/>
      <c r="IA57" s="111" t="n"/>
      <c r="IB57" s="111" t="n"/>
      <c r="IC57" s="111" t="n"/>
      <c r="ID57" s="111" t="n"/>
      <c r="IE57" s="111" t="n"/>
      <c r="IF57" s="111" t="n"/>
      <c r="IG57" s="111" t="n"/>
      <c r="IH57" s="111" t="n"/>
      <c r="II57" s="111" t="n"/>
      <c r="IJ57" s="111" t="n"/>
      <c r="IK57" s="111" t="n"/>
      <c r="IL57" s="111" t="n"/>
      <c r="IM57" s="111" t="n"/>
      <c r="IN57" s="111" t="n"/>
      <c r="IO57" s="111" t="n"/>
      <c r="IP57" s="111" t="n"/>
      <c r="IQ57" s="111" t="n"/>
      <c r="IR57" s="111" t="n"/>
      <c r="IS57" s="111" t="n"/>
      <c r="IT57" s="111" t="n"/>
      <c r="IU57" s="111" t="n"/>
      <c r="IV57" s="111" t="n"/>
      <c r="IW57" s="111" t="n"/>
      <c r="IX57" s="111" t="n"/>
      <c r="IY57" s="111" t="n"/>
      <c r="IZ57" s="111" t="n"/>
      <c r="JA57" s="111" t="n"/>
      <c r="JB57" s="111" t="n"/>
      <c r="JC57" s="111" t="n"/>
      <c r="JD57" s="111" t="n"/>
      <c r="JE57" s="111" t="n"/>
      <c r="JF57" s="111" t="n"/>
      <c r="JG57" s="111" t="n"/>
      <c r="JH57" s="111" t="n"/>
      <c r="JI57" s="111" t="n"/>
      <c r="JJ57" s="111" t="n"/>
      <c r="JK57" s="111" t="n"/>
      <c r="JL57" s="111" t="n"/>
      <c r="JM57" s="111" t="n"/>
      <c r="JN57" s="111" t="n"/>
      <c r="JO57" s="111" t="n"/>
      <c r="JP57" s="111" t="n"/>
      <c r="JQ57" s="111" t="n"/>
      <c r="JR57" s="111" t="n"/>
      <c r="JS57" s="111" t="n"/>
      <c r="JT57" s="111" t="n"/>
      <c r="JU57" s="111" t="n"/>
      <c r="JV57" s="111" t="n"/>
      <c r="JW57" s="111" t="n"/>
      <c r="JX57" s="111" t="n"/>
      <c r="JY57" s="111" t="n"/>
      <c r="JZ57" s="111" t="n"/>
      <c r="KA57" s="111" t="n"/>
      <c r="KB57" s="111" t="n"/>
      <c r="KC57" s="111" t="n"/>
      <c r="KD57" s="111" t="n"/>
      <c r="KE57" s="111" t="n"/>
      <c r="KF57" s="111" t="n"/>
      <c r="KG57" s="111" t="n"/>
      <c r="KH57" s="111" t="n"/>
      <c r="KI57" s="111" t="n"/>
      <c r="KJ57" s="111" t="n"/>
      <c r="KK57" s="111" t="n"/>
      <c r="KL57" s="111" t="n"/>
      <c r="KM57" s="111" t="n"/>
      <c r="KN57" s="111" t="n"/>
      <c r="KO57" s="111" t="n"/>
      <c r="KP57" s="111" t="n"/>
      <c r="KQ57" s="111" t="n"/>
      <c r="KR57" s="111" t="n"/>
      <c r="KS57" s="111" t="n"/>
      <c r="KT57" s="111" t="n"/>
      <c r="KU57" s="111" t="n"/>
      <c r="KV57" s="111" t="n"/>
      <c r="KW57" s="111" t="n"/>
      <c r="KX57" s="111" t="n"/>
      <c r="KY57" s="111" t="n"/>
      <c r="KZ57" s="111" t="n"/>
      <c r="LA57" s="111" t="n"/>
      <c r="LB57" s="111" t="n"/>
      <c r="LC57" s="111" t="n"/>
      <c r="LD57" s="111" t="n"/>
      <c r="LE57" s="111" t="n"/>
      <c r="LF57" s="111" t="n"/>
      <c r="LG57" s="111" t="n"/>
      <c r="LH57" s="111" t="n"/>
      <c r="LI57" s="111" t="n"/>
      <c r="LJ57" s="111" t="n"/>
      <c r="LK57" s="111" t="n"/>
      <c r="LL57" s="111" t="n"/>
      <c r="LM57" s="111" t="n"/>
      <c r="LN57" s="111" t="n"/>
      <c r="LO57" s="111" t="n"/>
      <c r="LP57" s="111" t="n"/>
      <c r="LQ57" s="111" t="n"/>
      <c r="LR57" s="111" t="n"/>
      <c r="LS57" s="111" t="n"/>
      <c r="LT57" s="111" t="n"/>
      <c r="LU57" s="111" t="n"/>
      <c r="LV57" s="111" t="n"/>
      <c r="LW57" s="111" t="n"/>
      <c r="LX57" s="111" t="n"/>
      <c r="LY57" s="111" t="n"/>
      <c r="LZ57" s="111" t="n"/>
      <c r="MA57" s="111" t="n"/>
      <c r="MB57" s="111" t="n"/>
      <c r="MC57" s="111" t="n"/>
      <c r="MD57" s="111" t="n"/>
      <c r="ME57" s="111" t="n"/>
      <c r="MF57" s="111" t="n"/>
      <c r="MG57" s="111" t="n"/>
      <c r="MH57" s="111" t="n"/>
      <c r="MI57" s="111" t="n"/>
      <c r="MJ57" s="111" t="n"/>
      <c r="MK57" s="111" t="n"/>
      <c r="ML57" s="111" t="n"/>
      <c r="MM57" s="111" t="n"/>
      <c r="MN57" s="111" t="n"/>
      <c r="MO57" s="111" t="n"/>
      <c r="MP57" s="111" t="n"/>
      <c r="MQ57" s="111" t="n"/>
      <c r="MR57" s="111" t="n"/>
      <c r="MS57" s="111" t="n"/>
      <c r="MT57" s="111" t="n"/>
      <c r="MU57" s="111" t="n"/>
      <c r="MV57" s="111" t="n"/>
      <c r="MW57" s="111" t="n"/>
      <c r="MX57" s="111" t="n"/>
      <c r="MY57" s="111" t="n"/>
      <c r="MZ57" s="111" t="n"/>
      <c r="NA57" s="111" t="n"/>
      <c r="NB57" s="111" t="n"/>
      <c r="NC57" s="111" t="n"/>
      <c r="ND57" s="111" t="n"/>
      <c r="NE57" s="111" t="n"/>
      <c r="NF57" s="111" t="n"/>
      <c r="NG57" s="111" t="n"/>
      <c r="NH57" s="111" t="n"/>
      <c r="NI57" s="111" t="n"/>
      <c r="NJ57" s="111" t="n"/>
      <c r="NK57" s="111" t="n"/>
      <c r="NL57" s="111" t="n"/>
      <c r="NM57" s="111" t="n"/>
      <c r="NN57" s="111" t="n"/>
      <c r="NO57" s="111" t="n"/>
    </row>
    <row r="58" customFormat="1" s="17">
      <c r="A58" s="33">
        <f>IF(ISERROR(VALUE(SUBSTITUTE(OFFSET(A58,-1,0,1,1),".",""))),"0.1",IF(ISERROR(FIND("`",SUBSTITUTE(OFFSET(A58,-1,0,1,1),".","`",1))),OFFSET(A58,-1,0,1,1)&amp;".1",LEFT(OFFSET(A58,-1,0,1,1),FIND("`",SUBSTITUTE(OFFSET(A58,-1,0,1,1),".","`",1)))&amp;IF(ISERROR(FIND("`",SUBSTITUTE(OFFSET(A58,-1,0,1,1),".","`",2))),VALUE(RIGHT(OFFSET(A58,-1,0,1,1),LEN(OFFSET(A58,-1,0,1,1))-FIND("`",SUBSTITUTE(OFFSET(A58,-1,0,1,1),".","`",1))))+1,VALUE(MID(OFFSET(A58,-1,0,1,1),FIND("`",SUBSTITUTE(OFFSET(A58,-1,0,1,1),".","`",1))+1,(FIND("`",SUBSTITUTE(OFFSET(A58,-1,0,1,1),".","`",2))-FIND("`",SUBSTITUTE(OFFSET(A58,-1,0,1,1),".","`",1))-1)))+1)))</f>
        <v/>
      </c>
      <c r="B58" s="10" t="inlineStr">
        <is>
          <t>[ Level 2 Task ]</t>
        </is>
      </c>
      <c r="C58" s="11" t="inlineStr">
        <is>
          <t>Jim</t>
        </is>
      </c>
      <c r="D58" s="37" t="n"/>
      <c r="E58" s="37" t="n"/>
      <c r="F58" s="37" t="n"/>
      <c r="G58" s="274">
        <f>WORKDAY(G57,1,holidays)</f>
        <v/>
      </c>
      <c r="H58" s="275">
        <f>IF(I58=0,G58,WORKDAY(IF(WEEKDAY(G58,1)=7,G58+2,IF(WEEKDAY(G58,1)=1,G58+1,G58)),I58-1,holidays))</f>
        <v/>
      </c>
      <c r="I58" s="79" t="n">
        <v>14</v>
      </c>
      <c r="J58" s="13" t="n"/>
      <c r="K58" s="15">
        <f>IF(OR(G58=0,H58=0),0,H58-G58+1)</f>
        <v/>
      </c>
      <c r="L58" s="15">
        <f>MIN(K58,WORKDAY(G58,ROUNDDOWN(J58*I58,0),holidays)-G58)</f>
        <v/>
      </c>
      <c r="M58" s="14">
        <f>K58-L58</f>
        <v/>
      </c>
      <c r="N58" s="105">
        <f>IF(H58&lt;$G$7 + INDEX(urgency,1),"r",IF(H58&lt;$G$7 + INDEX(urgency,2),"o",IF(H58&lt;$G$7 + INDEX(urgency,3),"y", IFERROR( INDEX( lead_color, MATCH(C58, lead, 0) ), "") )))</f>
        <v/>
      </c>
      <c r="O58" s="17" t="n"/>
      <c r="P58" s="111" t="n"/>
      <c r="Q58" s="111" t="n"/>
      <c r="R58" s="111" t="n"/>
      <c r="S58" s="111" t="n"/>
      <c r="T58" s="111" t="n"/>
      <c r="U58" s="111" t="n"/>
      <c r="V58" s="111" t="n"/>
      <c r="W58" s="111" t="n"/>
      <c r="X58" s="111" t="n"/>
      <c r="Y58" s="111" t="n"/>
      <c r="Z58" s="111" t="n"/>
      <c r="AA58" s="111" t="n"/>
      <c r="AB58" s="111" t="n"/>
      <c r="AC58" s="111" t="n"/>
      <c r="AD58" s="111" t="n"/>
      <c r="AE58" s="111" t="n"/>
      <c r="AF58" s="111" t="n"/>
      <c r="AG58" s="111" t="n"/>
      <c r="AH58" s="111" t="n"/>
      <c r="AI58" s="111" t="n"/>
      <c r="AJ58" s="111" t="n"/>
      <c r="AK58" s="111" t="n"/>
      <c r="AL58" s="111" t="n"/>
      <c r="AM58" s="111" t="n"/>
      <c r="AN58" s="111" t="n"/>
      <c r="AO58" s="111" t="n"/>
      <c r="AP58" s="111" t="n"/>
      <c r="AQ58" s="111" t="n"/>
      <c r="AR58" s="111" t="n"/>
      <c r="AS58" s="111" t="n"/>
      <c r="AT58" s="111" t="n"/>
      <c r="AU58" s="111" t="n"/>
      <c r="AV58" s="111" t="n"/>
      <c r="AW58" s="111" t="n"/>
      <c r="AX58" s="111" t="n"/>
      <c r="AY58" s="111" t="n"/>
      <c r="AZ58" s="111" t="n"/>
      <c r="BA58" s="111" t="n"/>
      <c r="BB58" s="111" t="n"/>
      <c r="BC58" s="111" t="n"/>
      <c r="BD58" s="111" t="n"/>
      <c r="BE58" s="111" t="n"/>
      <c r="BF58" s="111" t="n"/>
      <c r="BG58" s="111" t="n"/>
      <c r="BH58" s="111" t="n"/>
      <c r="BI58" s="111" t="n"/>
      <c r="BJ58" s="111" t="n"/>
      <c r="BK58" s="111" t="n"/>
      <c r="BL58" s="111" t="n"/>
      <c r="BM58" s="111" t="n"/>
      <c r="BN58" s="111" t="n"/>
      <c r="BO58" s="111" t="n"/>
      <c r="BP58" s="111" t="n"/>
      <c r="BQ58" s="111" t="n"/>
      <c r="BR58" s="111" t="n"/>
      <c r="BS58" s="111" t="n"/>
      <c r="BT58" s="111" t="n"/>
      <c r="BU58" s="111" t="n"/>
      <c r="BV58" s="111" t="n"/>
      <c r="BW58" s="111" t="n"/>
      <c r="BX58" s="111" t="n"/>
      <c r="BY58" s="111" t="n"/>
      <c r="BZ58" s="111" t="n"/>
      <c r="CA58" s="111" t="n"/>
      <c r="CB58" s="111" t="n"/>
      <c r="CC58" s="111" t="n"/>
      <c r="CD58" s="111" t="n"/>
      <c r="CE58" s="111" t="n"/>
      <c r="CF58" s="111" t="n"/>
      <c r="CG58" s="111" t="n"/>
      <c r="CH58" s="111" t="n"/>
      <c r="CI58" s="111" t="n"/>
      <c r="CJ58" s="111" t="n"/>
      <c r="CK58" s="111" t="n"/>
      <c r="CL58" s="111" t="n"/>
      <c r="CM58" s="111" t="n"/>
      <c r="CN58" s="111" t="n"/>
      <c r="CO58" s="111" t="n"/>
      <c r="CP58" s="111" t="n"/>
      <c r="CQ58" s="111" t="n"/>
      <c r="CR58" s="111" t="n"/>
      <c r="CS58" s="111" t="n"/>
      <c r="CT58" s="111" t="n"/>
      <c r="CU58" s="111" t="n"/>
      <c r="CV58" s="111" t="n"/>
      <c r="CW58" s="111" t="n"/>
      <c r="CX58" s="111" t="n"/>
      <c r="CY58" s="111" t="n"/>
      <c r="CZ58" s="111" t="n"/>
      <c r="DA58" s="111" t="n"/>
      <c r="DB58" s="111" t="n"/>
      <c r="DC58" s="111" t="n"/>
      <c r="DD58" s="111" t="n"/>
      <c r="DE58" s="111" t="n"/>
      <c r="DF58" s="111" t="n"/>
      <c r="DG58" s="111" t="n"/>
      <c r="DH58" s="111" t="n"/>
      <c r="DI58" s="111" t="n"/>
      <c r="DJ58" s="111" t="n"/>
      <c r="DK58" s="111" t="n"/>
      <c r="DL58" s="111" t="n"/>
      <c r="DM58" s="111" t="n"/>
      <c r="DN58" s="111" t="n"/>
      <c r="DO58" s="111" t="n"/>
      <c r="DP58" s="111" t="n"/>
      <c r="DQ58" s="111" t="n"/>
      <c r="DR58" s="111" t="n"/>
      <c r="DS58" s="111" t="n"/>
      <c r="DT58" s="111" t="n"/>
      <c r="DU58" s="111" t="n"/>
      <c r="DV58" s="111" t="n"/>
      <c r="DW58" s="111" t="n"/>
      <c r="DX58" s="111" t="n"/>
      <c r="DY58" s="111" t="n"/>
      <c r="DZ58" s="111" t="n"/>
      <c r="EA58" s="111" t="n"/>
      <c r="EB58" s="111" t="n"/>
      <c r="EC58" s="111" t="n"/>
      <c r="ED58" s="111" t="n"/>
      <c r="EE58" s="111" t="n"/>
      <c r="EF58" s="111" t="n"/>
      <c r="EG58" s="111" t="n"/>
      <c r="EH58" s="111" t="n"/>
      <c r="EI58" s="111" t="n"/>
      <c r="EJ58" s="111" t="n"/>
      <c r="EK58" s="111" t="n"/>
      <c r="EL58" s="111" t="n"/>
      <c r="EM58" s="111" t="n"/>
      <c r="EN58" s="111" t="n"/>
      <c r="EO58" s="111" t="n"/>
      <c r="EP58" s="111" t="n"/>
      <c r="EQ58" s="111" t="n"/>
      <c r="ER58" s="111" t="n"/>
      <c r="ES58" s="111" t="n"/>
      <c r="ET58" s="111" t="n"/>
      <c r="EU58" s="111" t="n"/>
      <c r="EV58" s="111" t="n"/>
      <c r="EW58" s="111" t="n"/>
      <c r="EX58" s="111" t="n"/>
      <c r="EY58" s="111" t="n"/>
      <c r="EZ58" s="111" t="n"/>
      <c r="FA58" s="111" t="n"/>
      <c r="FB58" s="111" t="n"/>
      <c r="FC58" s="111" t="n"/>
      <c r="FD58" s="111" t="n"/>
      <c r="FE58" s="111" t="n"/>
      <c r="FF58" s="111" t="n"/>
      <c r="FG58" s="111" t="n"/>
      <c r="FH58" s="111" t="n"/>
      <c r="FI58" s="111" t="n"/>
      <c r="FJ58" s="111" t="n"/>
      <c r="FK58" s="111" t="n"/>
      <c r="FL58" s="111" t="n"/>
      <c r="FM58" s="111" t="n"/>
      <c r="FN58" s="111" t="n"/>
      <c r="FO58" s="111" t="n"/>
      <c r="FP58" s="111" t="n"/>
      <c r="FQ58" s="111" t="n"/>
      <c r="FR58" s="111" t="n"/>
      <c r="FS58" s="111" t="n"/>
      <c r="FT58" s="111" t="n"/>
      <c r="FU58" s="111" t="n"/>
      <c r="FV58" s="111" t="n"/>
      <c r="FW58" s="111" t="n"/>
      <c r="FX58" s="111" t="n"/>
      <c r="FY58" s="111" t="n"/>
      <c r="FZ58" s="111" t="n"/>
      <c r="GA58" s="111" t="n"/>
      <c r="GB58" s="111" t="n"/>
      <c r="GC58" s="111" t="n"/>
      <c r="GD58" s="111" t="n"/>
      <c r="GE58" s="111" t="n"/>
      <c r="GF58" s="111" t="n"/>
      <c r="GG58" s="111" t="n"/>
      <c r="GH58" s="111" t="n"/>
      <c r="GI58" s="111" t="n"/>
      <c r="GJ58" s="111" t="n"/>
      <c r="GK58" s="111" t="n"/>
      <c r="GL58" s="111" t="n"/>
      <c r="GM58" s="111" t="n"/>
      <c r="GN58" s="111" t="n"/>
      <c r="GO58" s="111" t="n"/>
      <c r="GP58" s="111" t="n"/>
      <c r="GQ58" s="111" t="n"/>
      <c r="GR58" s="111" t="n"/>
      <c r="GS58" s="111" t="n"/>
      <c r="GT58" s="111" t="n"/>
      <c r="GU58" s="111" t="n"/>
      <c r="GV58" s="111" t="n"/>
      <c r="GW58" s="111" t="n"/>
      <c r="GX58" s="111" t="n"/>
      <c r="GY58" s="111" t="n"/>
      <c r="GZ58" s="111" t="n"/>
      <c r="HA58" s="111" t="n"/>
      <c r="HB58" s="111" t="n"/>
      <c r="HC58" s="111" t="n"/>
      <c r="HD58" s="111" t="n"/>
      <c r="HE58" s="111" t="n"/>
      <c r="HF58" s="111" t="n"/>
      <c r="HG58" s="111" t="n"/>
      <c r="HH58" s="111" t="n"/>
      <c r="HI58" s="111" t="n"/>
      <c r="HJ58" s="111" t="n"/>
      <c r="HK58" s="111" t="n"/>
      <c r="HL58" s="111" t="n"/>
      <c r="HM58" s="111" t="n"/>
      <c r="HN58" s="111" t="n"/>
      <c r="HO58" s="111" t="n"/>
      <c r="HP58" s="111" t="n"/>
      <c r="HQ58" s="111" t="n"/>
      <c r="HR58" s="111" t="n"/>
      <c r="HS58" s="111" t="n"/>
      <c r="HT58" s="111" t="n"/>
      <c r="HU58" s="111" t="n"/>
      <c r="HV58" s="111" t="n"/>
      <c r="HW58" s="111" t="n"/>
      <c r="HX58" s="111" t="n"/>
      <c r="HY58" s="111" t="n"/>
      <c r="HZ58" s="111" t="n"/>
      <c r="IA58" s="111" t="n"/>
      <c r="IB58" s="111" t="n"/>
      <c r="IC58" s="111" t="n"/>
      <c r="ID58" s="111" t="n"/>
      <c r="IE58" s="111" t="n"/>
      <c r="IF58" s="111" t="n"/>
      <c r="IG58" s="111" t="n"/>
      <c r="IH58" s="111" t="n"/>
      <c r="II58" s="111" t="n"/>
      <c r="IJ58" s="111" t="n"/>
      <c r="IK58" s="111" t="n"/>
      <c r="IL58" s="111" t="n"/>
      <c r="IM58" s="111" t="n"/>
      <c r="IN58" s="111" t="n"/>
      <c r="IO58" s="111" t="n"/>
      <c r="IP58" s="111" t="n"/>
      <c r="IQ58" s="111" t="n"/>
      <c r="IR58" s="111" t="n"/>
      <c r="IS58" s="111" t="n"/>
      <c r="IT58" s="111" t="n"/>
      <c r="IU58" s="111" t="n"/>
      <c r="IV58" s="111" t="n"/>
      <c r="IW58" s="111" t="n"/>
      <c r="IX58" s="111" t="n"/>
      <c r="IY58" s="111" t="n"/>
      <c r="IZ58" s="111" t="n"/>
      <c r="JA58" s="111" t="n"/>
      <c r="JB58" s="111" t="n"/>
      <c r="JC58" s="111" t="n"/>
      <c r="JD58" s="111" t="n"/>
      <c r="JE58" s="111" t="n"/>
      <c r="JF58" s="111" t="n"/>
      <c r="JG58" s="111" t="n"/>
      <c r="JH58" s="111" t="n"/>
      <c r="JI58" s="111" t="n"/>
      <c r="JJ58" s="111" t="n"/>
      <c r="JK58" s="111" t="n"/>
      <c r="JL58" s="111" t="n"/>
      <c r="JM58" s="111" t="n"/>
      <c r="JN58" s="111" t="n"/>
      <c r="JO58" s="111" t="n"/>
      <c r="JP58" s="111" t="n"/>
      <c r="JQ58" s="111" t="n"/>
      <c r="JR58" s="111" t="n"/>
      <c r="JS58" s="111" t="n"/>
      <c r="JT58" s="111" t="n"/>
      <c r="JU58" s="111" t="n"/>
      <c r="JV58" s="111" t="n"/>
      <c r="JW58" s="111" t="n"/>
      <c r="JX58" s="111" t="n"/>
      <c r="JY58" s="111" t="n"/>
      <c r="JZ58" s="111" t="n"/>
      <c r="KA58" s="111" t="n"/>
      <c r="KB58" s="111" t="n"/>
      <c r="KC58" s="111" t="n"/>
      <c r="KD58" s="111" t="n"/>
      <c r="KE58" s="111" t="n"/>
      <c r="KF58" s="111" t="n"/>
      <c r="KG58" s="111" t="n"/>
      <c r="KH58" s="111" t="n"/>
      <c r="KI58" s="111" t="n"/>
      <c r="KJ58" s="111" t="n"/>
      <c r="KK58" s="111" t="n"/>
      <c r="KL58" s="111" t="n"/>
      <c r="KM58" s="111" t="n"/>
      <c r="KN58" s="111" t="n"/>
      <c r="KO58" s="111" t="n"/>
      <c r="KP58" s="111" t="n"/>
      <c r="KQ58" s="111" t="n"/>
      <c r="KR58" s="111" t="n"/>
      <c r="KS58" s="111" t="n"/>
      <c r="KT58" s="111" t="n"/>
      <c r="KU58" s="111" t="n"/>
      <c r="KV58" s="111" t="n"/>
      <c r="KW58" s="111" t="n"/>
      <c r="KX58" s="111" t="n"/>
      <c r="KY58" s="111" t="n"/>
      <c r="KZ58" s="111" t="n"/>
      <c r="LA58" s="111" t="n"/>
      <c r="LB58" s="111" t="n"/>
      <c r="LC58" s="111" t="n"/>
      <c r="LD58" s="111" t="n"/>
      <c r="LE58" s="111" t="n"/>
      <c r="LF58" s="111" t="n"/>
      <c r="LG58" s="111" t="n"/>
      <c r="LH58" s="111" t="n"/>
      <c r="LI58" s="111" t="n"/>
      <c r="LJ58" s="111" t="n"/>
      <c r="LK58" s="111" t="n"/>
      <c r="LL58" s="111" t="n"/>
      <c r="LM58" s="111" t="n"/>
      <c r="LN58" s="111" t="n"/>
      <c r="LO58" s="111" t="n"/>
      <c r="LP58" s="111" t="n"/>
      <c r="LQ58" s="111" t="n"/>
      <c r="LR58" s="111" t="n"/>
      <c r="LS58" s="111" t="n"/>
      <c r="LT58" s="111" t="n"/>
      <c r="LU58" s="111" t="n"/>
      <c r="LV58" s="111" t="n"/>
      <c r="LW58" s="111" t="n"/>
      <c r="LX58" s="111" t="n"/>
      <c r="LY58" s="111" t="n"/>
      <c r="LZ58" s="111" t="n"/>
      <c r="MA58" s="111" t="n"/>
      <c r="MB58" s="111" t="n"/>
      <c r="MC58" s="111" t="n"/>
      <c r="MD58" s="111" t="n"/>
      <c r="ME58" s="111" t="n"/>
      <c r="MF58" s="111" t="n"/>
      <c r="MG58" s="111" t="n"/>
      <c r="MH58" s="111" t="n"/>
      <c r="MI58" s="111" t="n"/>
      <c r="MJ58" s="111" t="n"/>
      <c r="MK58" s="111" t="n"/>
      <c r="ML58" s="111" t="n"/>
      <c r="MM58" s="111" t="n"/>
      <c r="MN58" s="111" t="n"/>
      <c r="MO58" s="111" t="n"/>
      <c r="MP58" s="111" t="n"/>
      <c r="MQ58" s="111" t="n"/>
      <c r="MR58" s="111" t="n"/>
      <c r="MS58" s="111" t="n"/>
      <c r="MT58" s="111" t="n"/>
      <c r="MU58" s="111" t="n"/>
      <c r="MV58" s="111" t="n"/>
      <c r="MW58" s="111" t="n"/>
      <c r="MX58" s="111" t="n"/>
      <c r="MY58" s="111" t="n"/>
      <c r="MZ58" s="111" t="n"/>
      <c r="NA58" s="111" t="n"/>
      <c r="NB58" s="111" t="n"/>
      <c r="NC58" s="111" t="n"/>
      <c r="ND58" s="111" t="n"/>
      <c r="NE58" s="111" t="n"/>
      <c r="NF58" s="111" t="n"/>
      <c r="NG58" s="111" t="n"/>
      <c r="NH58" s="111" t="n"/>
      <c r="NI58" s="111" t="n"/>
      <c r="NJ58" s="111" t="n"/>
      <c r="NK58" s="111" t="n"/>
      <c r="NL58" s="111" t="n"/>
      <c r="NM58" s="111" t="n"/>
      <c r="NN58" s="111" t="n"/>
      <c r="NO58" s="111" t="n"/>
    </row>
    <row r="59" customFormat="1" s="17">
      <c r="A59" s="33">
        <f>IF(ISERROR(VALUE(SUBSTITUTE(OFFSET(A59,-1,0,1,1),".",""))),"0.1",IF(ISERROR(FIND("`",SUBSTITUTE(OFFSET(A59,-1,0,1,1),".","`",1))),OFFSET(A59,-1,0,1,1)&amp;".1",LEFT(OFFSET(A59,-1,0,1,1),FIND("`",SUBSTITUTE(OFFSET(A59,-1,0,1,1),".","`",1)))&amp;IF(ISERROR(FIND("`",SUBSTITUTE(OFFSET(A59,-1,0,1,1),".","`",2))),VALUE(RIGHT(OFFSET(A59,-1,0,1,1),LEN(OFFSET(A59,-1,0,1,1))-FIND("`",SUBSTITUTE(OFFSET(A59,-1,0,1,1),".","`",1))))+1,VALUE(MID(OFFSET(A59,-1,0,1,1),FIND("`",SUBSTITUTE(OFFSET(A59,-1,0,1,1),".","`",1))+1,(FIND("`",SUBSTITUTE(OFFSET(A59,-1,0,1,1),".","`",2))-FIND("`",SUBSTITUTE(OFFSET(A59,-1,0,1,1),".","`",1))-1)))+1)))</f>
        <v/>
      </c>
      <c r="B59" s="10" t="inlineStr">
        <is>
          <t>[ Level 2 Task ]</t>
        </is>
      </c>
      <c r="C59" s="11" t="inlineStr">
        <is>
          <t>Sarah</t>
        </is>
      </c>
      <c r="D59" s="37" t="n"/>
      <c r="E59" s="37" t="n"/>
      <c r="F59" s="37" t="n"/>
      <c r="G59" s="274">
        <f>WORKDAY(G58,1,holidays)</f>
        <v/>
      </c>
      <c r="H59" s="275">
        <f>IF(I59=0,G59,WORKDAY(IF(WEEKDAY(G59,1)=7,G59+2,IF(WEEKDAY(G59,1)=1,G59+1,G59)),I59-1,holidays))</f>
        <v/>
      </c>
      <c r="I59" s="79" t="n">
        <v>5</v>
      </c>
      <c r="J59" s="13" t="n"/>
      <c r="K59" s="15">
        <f>IF(OR(G59=0,H59=0),0,H59-G59+1)</f>
        <v/>
      </c>
      <c r="L59" s="15">
        <f>MIN(K59,WORKDAY(G59,ROUNDDOWN(J59*I59,0),holidays)-G59)</f>
        <v/>
      </c>
      <c r="M59" s="14">
        <f>K59-L59</f>
        <v/>
      </c>
      <c r="N59" s="105">
        <f>IF(H59&lt;$G$7 + INDEX(urgency,1),"r",IF(H59&lt;$G$7 + INDEX(urgency,2),"o",IF(H59&lt;$G$7 + INDEX(urgency,3),"y", IFERROR( INDEX( lead_color, MATCH(C59, lead, 0) ), "") )))</f>
        <v/>
      </c>
      <c r="O59" s="17" t="n"/>
      <c r="P59" s="111" t="n"/>
      <c r="Q59" s="111" t="n"/>
      <c r="R59" s="111" t="n"/>
      <c r="S59" s="111" t="n"/>
      <c r="T59" s="111" t="n"/>
      <c r="U59" s="111" t="n"/>
      <c r="V59" s="111" t="n"/>
      <c r="W59" s="111" t="n"/>
      <c r="X59" s="111" t="n"/>
      <c r="Y59" s="111" t="n"/>
      <c r="Z59" s="111" t="n"/>
      <c r="AA59" s="111" t="n"/>
      <c r="AB59" s="111" t="n"/>
      <c r="AC59" s="111" t="n"/>
      <c r="AD59" s="111" t="n"/>
      <c r="AE59" s="111" t="n"/>
      <c r="AF59" s="111" t="n"/>
      <c r="AG59" s="111" t="n"/>
      <c r="AH59" s="111" t="n"/>
      <c r="AI59" s="111" t="n"/>
      <c r="AJ59" s="111" t="n"/>
      <c r="AK59" s="111" t="n"/>
      <c r="AL59" s="111" t="n"/>
      <c r="AM59" s="111" t="n"/>
      <c r="AN59" s="111" t="n"/>
      <c r="AO59" s="111" t="n"/>
      <c r="AP59" s="111" t="n"/>
      <c r="AQ59" s="111" t="n"/>
      <c r="AR59" s="111" t="n"/>
      <c r="AS59" s="111" t="n"/>
      <c r="AT59" s="111" t="n"/>
      <c r="AU59" s="111" t="n"/>
      <c r="AV59" s="111" t="n"/>
      <c r="AW59" s="111" t="n"/>
      <c r="AX59" s="111" t="n"/>
      <c r="AY59" s="111" t="n"/>
      <c r="AZ59" s="111" t="n"/>
      <c r="BA59" s="111" t="n"/>
      <c r="BB59" s="111" t="n"/>
      <c r="BC59" s="111" t="n"/>
      <c r="BD59" s="111" t="n"/>
      <c r="BE59" s="111" t="n"/>
      <c r="BF59" s="111" t="n"/>
      <c r="BG59" s="111" t="n"/>
      <c r="BH59" s="111" t="n"/>
      <c r="BI59" s="111" t="n"/>
      <c r="BJ59" s="111" t="n"/>
      <c r="BK59" s="111" t="n"/>
      <c r="BL59" s="111" t="n"/>
      <c r="BM59" s="111" t="n"/>
      <c r="BN59" s="111" t="n"/>
      <c r="BO59" s="111" t="n"/>
      <c r="BP59" s="111" t="n"/>
      <c r="BQ59" s="111" t="n"/>
      <c r="BR59" s="111" t="n"/>
      <c r="BS59" s="111" t="n"/>
      <c r="BT59" s="111" t="n"/>
      <c r="BU59" s="111" t="n"/>
      <c r="BV59" s="111" t="n"/>
      <c r="BW59" s="111" t="n"/>
      <c r="BX59" s="111" t="n"/>
      <c r="BY59" s="111" t="n"/>
      <c r="BZ59" s="111" t="n"/>
      <c r="CA59" s="111" t="n"/>
      <c r="CB59" s="111" t="n"/>
      <c r="CC59" s="111" t="n"/>
      <c r="CD59" s="111" t="n"/>
      <c r="CE59" s="111" t="n"/>
      <c r="CF59" s="111" t="n"/>
      <c r="CG59" s="111" t="n"/>
      <c r="CH59" s="111" t="n"/>
      <c r="CI59" s="111" t="n"/>
      <c r="CJ59" s="111" t="n"/>
      <c r="CK59" s="111" t="n"/>
      <c r="CL59" s="111" t="n"/>
      <c r="CM59" s="111" t="n"/>
      <c r="CN59" s="111" t="n"/>
      <c r="CO59" s="111" t="n"/>
      <c r="CP59" s="111" t="n"/>
      <c r="CQ59" s="111" t="n"/>
      <c r="CR59" s="111" t="n"/>
      <c r="CS59" s="111" t="n"/>
      <c r="CT59" s="111" t="n"/>
      <c r="CU59" s="111" t="n"/>
      <c r="CV59" s="111" t="n"/>
      <c r="CW59" s="111" t="n"/>
      <c r="CX59" s="111" t="n"/>
      <c r="CY59" s="111" t="n"/>
      <c r="CZ59" s="111" t="n"/>
      <c r="DA59" s="111" t="n"/>
      <c r="DB59" s="111" t="n"/>
      <c r="DC59" s="111" t="n"/>
      <c r="DD59" s="111" t="n"/>
      <c r="DE59" s="111" t="n"/>
      <c r="DF59" s="111" t="n"/>
      <c r="DG59" s="111" t="n"/>
      <c r="DH59" s="111" t="n"/>
      <c r="DI59" s="111" t="n"/>
      <c r="DJ59" s="111" t="n"/>
      <c r="DK59" s="111" t="n"/>
      <c r="DL59" s="111" t="n"/>
      <c r="DM59" s="111" t="n"/>
      <c r="DN59" s="111" t="n"/>
      <c r="DO59" s="111" t="n"/>
      <c r="DP59" s="111" t="n"/>
      <c r="DQ59" s="111" t="n"/>
      <c r="DR59" s="111" t="n"/>
      <c r="DS59" s="111" t="n"/>
      <c r="DT59" s="111" t="n"/>
      <c r="DU59" s="111" t="n"/>
      <c r="DV59" s="111" t="n"/>
      <c r="DW59" s="111" t="n"/>
      <c r="DX59" s="111" t="n"/>
      <c r="DY59" s="111" t="n"/>
      <c r="DZ59" s="111" t="n"/>
      <c r="EA59" s="111" t="n"/>
      <c r="EB59" s="111" t="n"/>
      <c r="EC59" s="111" t="n"/>
      <c r="ED59" s="111" t="n"/>
      <c r="EE59" s="111" t="n"/>
      <c r="EF59" s="111" t="n"/>
      <c r="EG59" s="111" t="n"/>
      <c r="EH59" s="111" t="n"/>
      <c r="EI59" s="111" t="n"/>
      <c r="EJ59" s="111" t="n"/>
      <c r="EK59" s="111" t="n"/>
      <c r="EL59" s="111" t="n"/>
      <c r="EM59" s="111" t="n"/>
      <c r="EN59" s="111" t="n"/>
      <c r="EO59" s="111" t="n"/>
      <c r="EP59" s="111" t="n"/>
      <c r="EQ59" s="111" t="n"/>
      <c r="ER59" s="111" t="n"/>
      <c r="ES59" s="111" t="n"/>
      <c r="ET59" s="111" t="n"/>
      <c r="EU59" s="111" t="n"/>
      <c r="EV59" s="111" t="n"/>
      <c r="EW59" s="111" t="n"/>
      <c r="EX59" s="111" t="n"/>
      <c r="EY59" s="111" t="n"/>
      <c r="EZ59" s="111" t="n"/>
      <c r="FA59" s="111" t="n"/>
      <c r="FB59" s="111" t="n"/>
      <c r="FC59" s="111" t="n"/>
      <c r="FD59" s="111" t="n"/>
      <c r="FE59" s="111" t="n"/>
      <c r="FF59" s="111" t="n"/>
      <c r="FG59" s="111" t="n"/>
      <c r="FH59" s="111" t="n"/>
      <c r="FI59" s="111" t="n"/>
      <c r="FJ59" s="111" t="n"/>
      <c r="FK59" s="111" t="n"/>
      <c r="FL59" s="111" t="n"/>
      <c r="FM59" s="111" t="n"/>
      <c r="FN59" s="111" t="n"/>
      <c r="FO59" s="111" t="n"/>
      <c r="FP59" s="111" t="n"/>
      <c r="FQ59" s="111" t="n"/>
      <c r="FR59" s="111" t="n"/>
      <c r="FS59" s="111" t="n"/>
      <c r="FT59" s="111" t="n"/>
      <c r="FU59" s="111" t="n"/>
      <c r="FV59" s="111" t="n"/>
      <c r="FW59" s="111" t="n"/>
      <c r="FX59" s="111" t="n"/>
      <c r="FY59" s="111" t="n"/>
      <c r="FZ59" s="111" t="n"/>
      <c r="GA59" s="111" t="n"/>
      <c r="GB59" s="111" t="n"/>
      <c r="GC59" s="111" t="n"/>
      <c r="GD59" s="111" t="n"/>
      <c r="GE59" s="111" t="n"/>
      <c r="GF59" s="111" t="n"/>
      <c r="GG59" s="111" t="n"/>
      <c r="GH59" s="111" t="n"/>
      <c r="GI59" s="111" t="n"/>
      <c r="GJ59" s="111" t="n"/>
      <c r="GK59" s="111" t="n"/>
      <c r="GL59" s="111" t="n"/>
      <c r="GM59" s="111" t="n"/>
      <c r="GN59" s="111" t="n"/>
      <c r="GO59" s="111" t="n"/>
      <c r="GP59" s="111" t="n"/>
      <c r="GQ59" s="111" t="n"/>
      <c r="GR59" s="111" t="n"/>
      <c r="GS59" s="111" t="n"/>
      <c r="GT59" s="111" t="n"/>
      <c r="GU59" s="111" t="n"/>
      <c r="GV59" s="111" t="n"/>
      <c r="GW59" s="111" t="n"/>
      <c r="GX59" s="111" t="n"/>
      <c r="GY59" s="111" t="n"/>
      <c r="GZ59" s="111" t="n"/>
      <c r="HA59" s="111" t="n"/>
      <c r="HB59" s="111" t="n"/>
      <c r="HC59" s="111" t="n"/>
      <c r="HD59" s="111" t="n"/>
      <c r="HE59" s="111" t="n"/>
      <c r="HF59" s="111" t="n"/>
      <c r="HG59" s="111" t="n"/>
      <c r="HH59" s="111" t="n"/>
      <c r="HI59" s="111" t="n"/>
      <c r="HJ59" s="111" t="n"/>
      <c r="HK59" s="111" t="n"/>
      <c r="HL59" s="111" t="n"/>
      <c r="HM59" s="111" t="n"/>
      <c r="HN59" s="111" t="n"/>
      <c r="HO59" s="111" t="n"/>
      <c r="HP59" s="111" t="n"/>
      <c r="HQ59" s="111" t="n"/>
      <c r="HR59" s="111" t="n"/>
      <c r="HS59" s="111" t="n"/>
      <c r="HT59" s="111" t="n"/>
      <c r="HU59" s="111" t="n"/>
      <c r="HV59" s="111" t="n"/>
      <c r="HW59" s="111" t="n"/>
      <c r="HX59" s="111" t="n"/>
      <c r="HY59" s="111" t="n"/>
      <c r="HZ59" s="111" t="n"/>
      <c r="IA59" s="111" t="n"/>
      <c r="IB59" s="111" t="n"/>
      <c r="IC59" s="111" t="n"/>
      <c r="ID59" s="111" t="n"/>
      <c r="IE59" s="111" t="n"/>
      <c r="IF59" s="111" t="n"/>
      <c r="IG59" s="111" t="n"/>
      <c r="IH59" s="111" t="n"/>
      <c r="II59" s="111" t="n"/>
      <c r="IJ59" s="111" t="n"/>
      <c r="IK59" s="111" t="n"/>
      <c r="IL59" s="111" t="n"/>
      <c r="IM59" s="111" t="n"/>
      <c r="IN59" s="111" t="n"/>
      <c r="IO59" s="111" t="n"/>
      <c r="IP59" s="111" t="n"/>
      <c r="IQ59" s="111" t="n"/>
      <c r="IR59" s="111" t="n"/>
      <c r="IS59" s="111" t="n"/>
      <c r="IT59" s="111" t="n"/>
      <c r="IU59" s="111" t="n"/>
      <c r="IV59" s="111" t="n"/>
      <c r="IW59" s="111" t="n"/>
      <c r="IX59" s="111" t="n"/>
      <c r="IY59" s="111" t="n"/>
      <c r="IZ59" s="111" t="n"/>
      <c r="JA59" s="111" t="n"/>
      <c r="JB59" s="111" t="n"/>
      <c r="JC59" s="111" t="n"/>
      <c r="JD59" s="111" t="n"/>
      <c r="JE59" s="111" t="n"/>
      <c r="JF59" s="111" t="n"/>
      <c r="JG59" s="111" t="n"/>
      <c r="JH59" s="111" t="n"/>
      <c r="JI59" s="111" t="n"/>
      <c r="JJ59" s="111" t="n"/>
      <c r="JK59" s="111" t="n"/>
      <c r="JL59" s="111" t="n"/>
      <c r="JM59" s="111" t="n"/>
      <c r="JN59" s="111" t="n"/>
      <c r="JO59" s="111" t="n"/>
      <c r="JP59" s="111" t="n"/>
      <c r="JQ59" s="111" t="n"/>
      <c r="JR59" s="111" t="n"/>
      <c r="JS59" s="111" t="n"/>
      <c r="JT59" s="111" t="n"/>
      <c r="JU59" s="111" t="n"/>
      <c r="JV59" s="111" t="n"/>
      <c r="JW59" s="111" t="n"/>
      <c r="JX59" s="111" t="n"/>
      <c r="JY59" s="111" t="n"/>
      <c r="JZ59" s="111" t="n"/>
      <c r="KA59" s="111" t="n"/>
      <c r="KB59" s="111" t="n"/>
      <c r="KC59" s="111" t="n"/>
      <c r="KD59" s="111" t="n"/>
      <c r="KE59" s="111" t="n"/>
      <c r="KF59" s="111" t="n"/>
      <c r="KG59" s="111" t="n"/>
      <c r="KH59" s="111" t="n"/>
      <c r="KI59" s="111" t="n"/>
      <c r="KJ59" s="111" t="n"/>
      <c r="KK59" s="111" t="n"/>
      <c r="KL59" s="111" t="n"/>
      <c r="KM59" s="111" t="n"/>
      <c r="KN59" s="111" t="n"/>
      <c r="KO59" s="111" t="n"/>
      <c r="KP59" s="111" t="n"/>
      <c r="KQ59" s="111" t="n"/>
      <c r="KR59" s="111" t="n"/>
      <c r="KS59" s="111" t="n"/>
      <c r="KT59" s="111" t="n"/>
      <c r="KU59" s="111" t="n"/>
      <c r="KV59" s="111" t="n"/>
      <c r="KW59" s="111" t="n"/>
      <c r="KX59" s="111" t="n"/>
      <c r="KY59" s="111" t="n"/>
      <c r="KZ59" s="111" t="n"/>
      <c r="LA59" s="111" t="n"/>
      <c r="LB59" s="111" t="n"/>
      <c r="LC59" s="111" t="n"/>
      <c r="LD59" s="111" t="n"/>
      <c r="LE59" s="111" t="n"/>
      <c r="LF59" s="111" t="n"/>
      <c r="LG59" s="111" t="n"/>
      <c r="LH59" s="111" t="n"/>
      <c r="LI59" s="111" t="n"/>
      <c r="LJ59" s="111" t="n"/>
      <c r="LK59" s="111" t="n"/>
      <c r="LL59" s="111" t="n"/>
      <c r="LM59" s="111" t="n"/>
      <c r="LN59" s="111" t="n"/>
      <c r="LO59" s="111" t="n"/>
      <c r="LP59" s="111" t="n"/>
      <c r="LQ59" s="111" t="n"/>
      <c r="LR59" s="111" t="n"/>
      <c r="LS59" s="111" t="n"/>
      <c r="LT59" s="111" t="n"/>
      <c r="LU59" s="111" t="n"/>
      <c r="LV59" s="111" t="n"/>
      <c r="LW59" s="111" t="n"/>
      <c r="LX59" s="111" t="n"/>
      <c r="LY59" s="111" t="n"/>
      <c r="LZ59" s="111" t="n"/>
      <c r="MA59" s="111" t="n"/>
      <c r="MB59" s="111" t="n"/>
      <c r="MC59" s="111" t="n"/>
      <c r="MD59" s="111" t="n"/>
      <c r="ME59" s="111" t="n"/>
      <c r="MF59" s="111" t="n"/>
      <c r="MG59" s="111" t="n"/>
      <c r="MH59" s="111" t="n"/>
      <c r="MI59" s="111" t="n"/>
      <c r="MJ59" s="111" t="n"/>
      <c r="MK59" s="111" t="n"/>
      <c r="ML59" s="111" t="n"/>
      <c r="MM59" s="111" t="n"/>
      <c r="MN59" s="111" t="n"/>
      <c r="MO59" s="111" t="n"/>
      <c r="MP59" s="111" t="n"/>
      <c r="MQ59" s="111" t="n"/>
      <c r="MR59" s="111" t="n"/>
      <c r="MS59" s="111" t="n"/>
      <c r="MT59" s="111" t="n"/>
      <c r="MU59" s="111" t="n"/>
      <c r="MV59" s="111" t="n"/>
      <c r="MW59" s="111" t="n"/>
      <c r="MX59" s="111" t="n"/>
      <c r="MY59" s="111" t="n"/>
      <c r="MZ59" s="111" t="n"/>
      <c r="NA59" s="111" t="n"/>
      <c r="NB59" s="111" t="n"/>
      <c r="NC59" s="111" t="n"/>
      <c r="ND59" s="111" t="n"/>
      <c r="NE59" s="111" t="n"/>
      <c r="NF59" s="111" t="n"/>
      <c r="NG59" s="111" t="n"/>
      <c r="NH59" s="111" t="n"/>
      <c r="NI59" s="111" t="n"/>
      <c r="NJ59" s="111" t="n"/>
      <c r="NK59" s="111" t="n"/>
      <c r="NL59" s="111" t="n"/>
      <c r="NM59" s="111" t="n"/>
      <c r="NN59" s="111" t="n"/>
      <c r="NO59" s="111" t="n"/>
    </row>
    <row r="60" customFormat="1" s="17">
      <c r="A60" s="33">
        <f>IF(ISERROR(VALUE(SUBSTITUTE(OFFSET(A60,-1,0,1,1),".",""))),"0.1",IF(ISERROR(FIND("`",SUBSTITUTE(OFFSET(A60,-1,0,1,1),".","`",1))),OFFSET(A60,-1,0,1,1)&amp;".1",LEFT(OFFSET(A60,-1,0,1,1),FIND("`",SUBSTITUTE(OFFSET(A60,-1,0,1,1),".","`",1)))&amp;IF(ISERROR(FIND("`",SUBSTITUTE(OFFSET(A60,-1,0,1,1),".","`",2))),VALUE(RIGHT(OFFSET(A60,-1,0,1,1),LEN(OFFSET(A60,-1,0,1,1))-FIND("`",SUBSTITUTE(OFFSET(A60,-1,0,1,1),".","`",1))))+1,VALUE(MID(OFFSET(A60,-1,0,1,1),FIND("`",SUBSTITUTE(OFFSET(A60,-1,0,1,1),".","`",1))+1,(FIND("`",SUBSTITUTE(OFFSET(A60,-1,0,1,1),".","`",2))-FIND("`",SUBSTITUTE(OFFSET(A60,-1,0,1,1),".","`",1))-1)))+1)))</f>
        <v/>
      </c>
      <c r="B60" s="10" t="inlineStr">
        <is>
          <t>[ Level 2 Task ]</t>
        </is>
      </c>
      <c r="C60" s="11" t="inlineStr">
        <is>
          <t>Bill</t>
        </is>
      </c>
      <c r="D60" s="37" t="n"/>
      <c r="E60" s="37" t="n"/>
      <c r="F60" s="37" t="n"/>
      <c r="G60" s="274">
        <f>WORKDAY(G59,1,holidays)</f>
        <v/>
      </c>
      <c r="H60" s="275">
        <f>IF(I60=0,G60,WORKDAY(IF(WEEKDAY(G60,1)=7,G60+2,IF(WEEKDAY(G60,1)=1,G60+1,G60)),I60-1,holidays))</f>
        <v/>
      </c>
      <c r="I60" s="79" t="n">
        <v>4</v>
      </c>
      <c r="J60" s="13" t="n"/>
      <c r="K60" s="15">
        <f>IF(OR(G60=0,H60=0),0,H60-G60+1)</f>
        <v/>
      </c>
      <c r="L60" s="15">
        <f>MIN(K60,WORKDAY(G60,ROUNDDOWN(J60*I60,0),holidays)-G60)</f>
        <v/>
      </c>
      <c r="M60" s="14">
        <f>K60-L60</f>
        <v/>
      </c>
      <c r="N60" s="105">
        <f>IF(H60&lt;$G$7 + INDEX(urgency,1),"r",IF(H60&lt;$G$7 + INDEX(urgency,2),"o",IF(H60&lt;$G$7 + INDEX(urgency,3),"y", IFERROR( INDEX( lead_color, MATCH(C60, lead, 0) ), "") )))</f>
        <v/>
      </c>
      <c r="O60" s="17" t="n"/>
      <c r="P60" s="111" t="n"/>
      <c r="Q60" s="111" t="n"/>
      <c r="R60" s="111" t="n"/>
      <c r="S60" s="111" t="n"/>
      <c r="T60" s="111" t="n"/>
      <c r="U60" s="111" t="n"/>
      <c r="V60" s="111" t="n"/>
      <c r="W60" s="111" t="n"/>
      <c r="X60" s="111" t="n"/>
      <c r="Y60" s="111" t="n"/>
      <c r="Z60" s="111" t="n"/>
      <c r="AA60" s="111" t="n"/>
      <c r="AB60" s="111" t="n"/>
      <c r="AC60" s="111" t="n"/>
      <c r="AD60" s="111" t="n"/>
      <c r="AE60" s="111" t="n"/>
      <c r="AF60" s="111" t="n"/>
      <c r="AG60" s="111" t="n"/>
      <c r="AH60" s="111" t="n"/>
      <c r="AI60" s="111" t="n"/>
      <c r="AJ60" s="111" t="n"/>
      <c r="AK60" s="111" t="n"/>
      <c r="AL60" s="111" t="n"/>
      <c r="AM60" s="111" t="n"/>
      <c r="AN60" s="111" t="n"/>
      <c r="AO60" s="111" t="n"/>
      <c r="AP60" s="111" t="n"/>
      <c r="AQ60" s="111" t="n"/>
      <c r="AR60" s="111" t="n"/>
      <c r="AS60" s="111" t="n"/>
      <c r="AT60" s="111" t="n"/>
      <c r="AU60" s="111" t="n"/>
      <c r="AV60" s="111" t="n"/>
      <c r="AW60" s="111" t="n"/>
      <c r="AX60" s="111" t="n"/>
      <c r="AY60" s="111" t="n"/>
      <c r="AZ60" s="111" t="n"/>
      <c r="BA60" s="111" t="n"/>
      <c r="BB60" s="111" t="n"/>
      <c r="BC60" s="111" t="n"/>
      <c r="BD60" s="111" t="n"/>
      <c r="BE60" s="111" t="n"/>
      <c r="BF60" s="111" t="n"/>
      <c r="BG60" s="111" t="n"/>
      <c r="BH60" s="111" t="n"/>
      <c r="BI60" s="111" t="n"/>
      <c r="BJ60" s="111" t="n"/>
      <c r="BK60" s="111" t="n"/>
      <c r="BL60" s="111" t="n"/>
      <c r="BM60" s="111" t="n"/>
      <c r="BN60" s="111" t="n"/>
      <c r="BO60" s="111" t="n"/>
      <c r="BP60" s="111" t="n"/>
      <c r="BQ60" s="111" t="n"/>
      <c r="BR60" s="111" t="n"/>
      <c r="BS60" s="111" t="n"/>
      <c r="BT60" s="111" t="n"/>
      <c r="BU60" s="111" t="n"/>
      <c r="BV60" s="111" t="n"/>
      <c r="BW60" s="111" t="n"/>
      <c r="BX60" s="111" t="n"/>
      <c r="BY60" s="111" t="n"/>
      <c r="BZ60" s="111" t="n"/>
      <c r="CA60" s="111" t="n"/>
      <c r="CB60" s="111" t="n"/>
      <c r="CC60" s="111" t="n"/>
      <c r="CD60" s="111" t="n"/>
      <c r="CE60" s="111" t="n"/>
      <c r="CF60" s="111" t="n"/>
      <c r="CG60" s="111" t="n"/>
      <c r="CH60" s="111" t="n"/>
      <c r="CI60" s="111" t="n"/>
      <c r="CJ60" s="111" t="n"/>
      <c r="CK60" s="111" t="n"/>
      <c r="CL60" s="111" t="n"/>
      <c r="CM60" s="111" t="n"/>
      <c r="CN60" s="111" t="n"/>
      <c r="CO60" s="111" t="n"/>
      <c r="CP60" s="111" t="n"/>
      <c r="CQ60" s="111" t="n"/>
      <c r="CR60" s="111" t="n"/>
      <c r="CS60" s="111" t="n"/>
      <c r="CT60" s="111" t="n"/>
      <c r="CU60" s="111" t="n"/>
      <c r="CV60" s="111" t="n"/>
      <c r="CW60" s="111" t="n"/>
      <c r="CX60" s="111" t="n"/>
      <c r="CY60" s="111" t="n"/>
      <c r="CZ60" s="111" t="n"/>
      <c r="DA60" s="111" t="n"/>
      <c r="DB60" s="111" t="n"/>
      <c r="DC60" s="111" t="n"/>
      <c r="DD60" s="111" t="n"/>
      <c r="DE60" s="111" t="n"/>
      <c r="DF60" s="111" t="n"/>
      <c r="DG60" s="111" t="n"/>
      <c r="DH60" s="111" t="n"/>
      <c r="DI60" s="111" t="n"/>
      <c r="DJ60" s="111" t="n"/>
      <c r="DK60" s="111" t="n"/>
      <c r="DL60" s="111" t="n"/>
      <c r="DM60" s="111" t="n"/>
      <c r="DN60" s="111" t="n"/>
      <c r="DO60" s="111" t="n"/>
      <c r="DP60" s="111" t="n"/>
      <c r="DQ60" s="111" t="n"/>
      <c r="DR60" s="111" t="n"/>
      <c r="DS60" s="111" t="n"/>
      <c r="DT60" s="111" t="n"/>
      <c r="DU60" s="111" t="n"/>
      <c r="DV60" s="111" t="n"/>
      <c r="DW60" s="111" t="n"/>
      <c r="DX60" s="111" t="n"/>
      <c r="DY60" s="111" t="n"/>
      <c r="DZ60" s="111" t="n"/>
      <c r="EA60" s="111" t="n"/>
      <c r="EB60" s="111" t="n"/>
      <c r="EC60" s="111" t="n"/>
      <c r="ED60" s="111" t="n"/>
      <c r="EE60" s="111" t="n"/>
      <c r="EF60" s="111" t="n"/>
      <c r="EG60" s="111" t="n"/>
      <c r="EH60" s="111" t="n"/>
      <c r="EI60" s="111" t="n"/>
      <c r="EJ60" s="111" t="n"/>
      <c r="EK60" s="111" t="n"/>
      <c r="EL60" s="111" t="n"/>
      <c r="EM60" s="111" t="n"/>
      <c r="EN60" s="111" t="n"/>
      <c r="EO60" s="111" t="n"/>
      <c r="EP60" s="111" t="n"/>
      <c r="EQ60" s="111" t="n"/>
      <c r="ER60" s="111" t="n"/>
      <c r="ES60" s="111" t="n"/>
      <c r="ET60" s="111" t="n"/>
      <c r="EU60" s="111" t="n"/>
      <c r="EV60" s="111" t="n"/>
      <c r="EW60" s="111" t="n"/>
      <c r="EX60" s="111" t="n"/>
      <c r="EY60" s="111" t="n"/>
      <c r="EZ60" s="111" t="n"/>
      <c r="FA60" s="111" t="n"/>
      <c r="FB60" s="111" t="n"/>
      <c r="FC60" s="111" t="n"/>
      <c r="FD60" s="111" t="n"/>
      <c r="FE60" s="111" t="n"/>
      <c r="FF60" s="111" t="n"/>
      <c r="FG60" s="111" t="n"/>
      <c r="FH60" s="111" t="n"/>
      <c r="FI60" s="111" t="n"/>
      <c r="FJ60" s="111" t="n"/>
      <c r="FK60" s="111" t="n"/>
      <c r="FL60" s="111" t="n"/>
      <c r="FM60" s="111" t="n"/>
      <c r="FN60" s="111" t="n"/>
      <c r="FO60" s="111" t="n"/>
      <c r="FP60" s="111" t="n"/>
      <c r="FQ60" s="111" t="n"/>
      <c r="FR60" s="111" t="n"/>
      <c r="FS60" s="111" t="n"/>
      <c r="FT60" s="111" t="n"/>
      <c r="FU60" s="111" t="n"/>
      <c r="FV60" s="111" t="n"/>
      <c r="FW60" s="111" t="n"/>
      <c r="FX60" s="111" t="n"/>
      <c r="FY60" s="111" t="n"/>
      <c r="FZ60" s="111" t="n"/>
      <c r="GA60" s="111" t="n"/>
      <c r="GB60" s="111" t="n"/>
      <c r="GC60" s="111" t="n"/>
      <c r="GD60" s="111" t="n"/>
      <c r="GE60" s="111" t="n"/>
      <c r="GF60" s="111" t="n"/>
      <c r="GG60" s="111" t="n"/>
      <c r="GH60" s="111" t="n"/>
      <c r="GI60" s="111" t="n"/>
      <c r="GJ60" s="111" t="n"/>
      <c r="GK60" s="111" t="n"/>
      <c r="GL60" s="111" t="n"/>
      <c r="GM60" s="111" t="n"/>
      <c r="GN60" s="111" t="n"/>
      <c r="GO60" s="111" t="n"/>
      <c r="GP60" s="111" t="n"/>
      <c r="GQ60" s="111" t="n"/>
      <c r="GR60" s="111" t="n"/>
      <c r="GS60" s="111" t="n"/>
      <c r="GT60" s="111" t="n"/>
      <c r="GU60" s="111" t="n"/>
      <c r="GV60" s="111" t="n"/>
      <c r="GW60" s="111" t="n"/>
      <c r="GX60" s="111" t="n"/>
      <c r="GY60" s="111" t="n"/>
      <c r="GZ60" s="111" t="n"/>
      <c r="HA60" s="111" t="n"/>
      <c r="HB60" s="111" t="n"/>
      <c r="HC60" s="111" t="n"/>
      <c r="HD60" s="111" t="n"/>
      <c r="HE60" s="111" t="n"/>
      <c r="HF60" s="111" t="n"/>
      <c r="HG60" s="111" t="n"/>
      <c r="HH60" s="111" t="n"/>
      <c r="HI60" s="111" t="n"/>
      <c r="HJ60" s="111" t="n"/>
      <c r="HK60" s="111" t="n"/>
      <c r="HL60" s="111" t="n"/>
      <c r="HM60" s="111" t="n"/>
      <c r="HN60" s="111" t="n"/>
      <c r="HO60" s="111" t="n"/>
      <c r="HP60" s="111" t="n"/>
      <c r="HQ60" s="111" t="n"/>
      <c r="HR60" s="111" t="n"/>
      <c r="HS60" s="111" t="n"/>
      <c r="HT60" s="111" t="n"/>
      <c r="HU60" s="111" t="n"/>
      <c r="HV60" s="111" t="n"/>
      <c r="HW60" s="111" t="n"/>
      <c r="HX60" s="111" t="n"/>
      <c r="HY60" s="111" t="n"/>
      <c r="HZ60" s="111" t="n"/>
      <c r="IA60" s="111" t="n"/>
      <c r="IB60" s="111" t="n"/>
      <c r="IC60" s="111" t="n"/>
      <c r="ID60" s="111" t="n"/>
      <c r="IE60" s="111" t="n"/>
      <c r="IF60" s="111" t="n"/>
      <c r="IG60" s="111" t="n"/>
      <c r="IH60" s="111" t="n"/>
      <c r="II60" s="111" t="n"/>
      <c r="IJ60" s="111" t="n"/>
      <c r="IK60" s="111" t="n"/>
      <c r="IL60" s="111" t="n"/>
      <c r="IM60" s="111" t="n"/>
      <c r="IN60" s="111" t="n"/>
      <c r="IO60" s="111" t="n"/>
      <c r="IP60" s="111" t="n"/>
      <c r="IQ60" s="111" t="n"/>
      <c r="IR60" s="111" t="n"/>
      <c r="IS60" s="111" t="n"/>
      <c r="IT60" s="111" t="n"/>
      <c r="IU60" s="111" t="n"/>
      <c r="IV60" s="111" t="n"/>
      <c r="IW60" s="111" t="n"/>
      <c r="IX60" s="111" t="n"/>
      <c r="IY60" s="111" t="n"/>
      <c r="IZ60" s="111" t="n"/>
      <c r="JA60" s="111" t="n"/>
      <c r="JB60" s="111" t="n"/>
      <c r="JC60" s="111" t="n"/>
      <c r="JD60" s="111" t="n"/>
      <c r="JE60" s="111" t="n"/>
      <c r="JF60" s="111" t="n"/>
      <c r="JG60" s="111" t="n"/>
      <c r="JH60" s="111" t="n"/>
      <c r="JI60" s="111" t="n"/>
      <c r="JJ60" s="111" t="n"/>
      <c r="JK60" s="111" t="n"/>
      <c r="JL60" s="111" t="n"/>
      <c r="JM60" s="111" t="n"/>
      <c r="JN60" s="111" t="n"/>
      <c r="JO60" s="111" t="n"/>
      <c r="JP60" s="111" t="n"/>
      <c r="JQ60" s="111" t="n"/>
      <c r="JR60" s="111" t="n"/>
      <c r="JS60" s="111" t="n"/>
      <c r="JT60" s="111" t="n"/>
      <c r="JU60" s="111" t="n"/>
      <c r="JV60" s="111" t="n"/>
      <c r="JW60" s="111" t="n"/>
      <c r="JX60" s="111" t="n"/>
      <c r="JY60" s="111" t="n"/>
      <c r="JZ60" s="111" t="n"/>
      <c r="KA60" s="111" t="n"/>
      <c r="KB60" s="111" t="n"/>
      <c r="KC60" s="111" t="n"/>
      <c r="KD60" s="111" t="n"/>
      <c r="KE60" s="111" t="n"/>
      <c r="KF60" s="111" t="n"/>
      <c r="KG60" s="111" t="n"/>
      <c r="KH60" s="111" t="n"/>
      <c r="KI60" s="111" t="n"/>
      <c r="KJ60" s="111" t="n"/>
      <c r="KK60" s="111" t="n"/>
      <c r="KL60" s="111" t="n"/>
      <c r="KM60" s="111" t="n"/>
      <c r="KN60" s="111" t="n"/>
      <c r="KO60" s="111" t="n"/>
      <c r="KP60" s="111" t="n"/>
      <c r="KQ60" s="111" t="n"/>
      <c r="KR60" s="111" t="n"/>
      <c r="KS60" s="111" t="n"/>
      <c r="KT60" s="111" t="n"/>
      <c r="KU60" s="111" t="n"/>
      <c r="KV60" s="111" t="n"/>
      <c r="KW60" s="111" t="n"/>
      <c r="KX60" s="111" t="n"/>
      <c r="KY60" s="111" t="n"/>
      <c r="KZ60" s="111" t="n"/>
      <c r="LA60" s="111" t="n"/>
      <c r="LB60" s="111" t="n"/>
      <c r="LC60" s="111" t="n"/>
      <c r="LD60" s="111" t="n"/>
      <c r="LE60" s="111" t="n"/>
      <c r="LF60" s="111" t="n"/>
      <c r="LG60" s="111" t="n"/>
      <c r="LH60" s="111" t="n"/>
      <c r="LI60" s="111" t="n"/>
      <c r="LJ60" s="111" t="n"/>
      <c r="LK60" s="111" t="n"/>
      <c r="LL60" s="111" t="n"/>
      <c r="LM60" s="111" t="n"/>
      <c r="LN60" s="111" t="n"/>
      <c r="LO60" s="111" t="n"/>
      <c r="LP60" s="111" t="n"/>
      <c r="LQ60" s="111" t="n"/>
      <c r="LR60" s="111" t="n"/>
      <c r="LS60" s="111" t="n"/>
      <c r="LT60" s="111" t="n"/>
      <c r="LU60" s="111" t="n"/>
      <c r="LV60" s="111" t="n"/>
      <c r="LW60" s="111" t="n"/>
      <c r="LX60" s="111" t="n"/>
      <c r="LY60" s="111" t="n"/>
      <c r="LZ60" s="111" t="n"/>
      <c r="MA60" s="111" t="n"/>
      <c r="MB60" s="111" t="n"/>
      <c r="MC60" s="111" t="n"/>
      <c r="MD60" s="111" t="n"/>
      <c r="ME60" s="111" t="n"/>
      <c r="MF60" s="111" t="n"/>
      <c r="MG60" s="111" t="n"/>
      <c r="MH60" s="111" t="n"/>
      <c r="MI60" s="111" t="n"/>
      <c r="MJ60" s="111" t="n"/>
      <c r="MK60" s="111" t="n"/>
      <c r="ML60" s="111" t="n"/>
      <c r="MM60" s="111" t="n"/>
      <c r="MN60" s="111" t="n"/>
      <c r="MO60" s="111" t="n"/>
      <c r="MP60" s="111" t="n"/>
      <c r="MQ60" s="111" t="n"/>
      <c r="MR60" s="111" t="n"/>
      <c r="MS60" s="111" t="n"/>
      <c r="MT60" s="111" t="n"/>
      <c r="MU60" s="111" t="n"/>
      <c r="MV60" s="111" t="n"/>
      <c r="MW60" s="111" t="n"/>
      <c r="MX60" s="111" t="n"/>
      <c r="MY60" s="111" t="n"/>
      <c r="MZ60" s="111" t="n"/>
      <c r="NA60" s="111" t="n"/>
      <c r="NB60" s="111" t="n"/>
      <c r="NC60" s="111" t="n"/>
      <c r="ND60" s="111" t="n"/>
      <c r="NE60" s="111" t="n"/>
      <c r="NF60" s="111" t="n"/>
      <c r="NG60" s="111" t="n"/>
      <c r="NH60" s="111" t="n"/>
      <c r="NI60" s="111" t="n"/>
      <c r="NJ60" s="111" t="n"/>
      <c r="NK60" s="111" t="n"/>
      <c r="NL60" s="111" t="n"/>
      <c r="NM60" s="111" t="n"/>
      <c r="NN60" s="111" t="n"/>
      <c r="NO60" s="111" t="n"/>
    </row>
    <row r="61" ht="12.75" customFormat="1" customHeight="1" s="17">
      <c r="A61" s="33">
        <f>IF(ISERROR(VALUE(SUBSTITUTE(OFFSET(A61,-1,0,1,1),".",""))),"0.1",IF(ISERROR(FIND("`",SUBSTITUTE(OFFSET(A61,-1,0,1,1),".","`",1))),OFFSET(A61,-1,0,1,1)&amp;".1",LEFT(OFFSET(A61,-1,0,1,1),FIND("`",SUBSTITUTE(OFFSET(A61,-1,0,1,1),".","`",1)))&amp;IF(ISERROR(FIND("`",SUBSTITUTE(OFFSET(A61,-1,0,1,1),".","`",2))),VALUE(RIGHT(OFFSET(A61,-1,0,1,1),LEN(OFFSET(A61,-1,0,1,1))-FIND("`",SUBSTITUTE(OFFSET(A61,-1,0,1,1),".","`",1))))+1,VALUE(MID(OFFSET(A61,-1,0,1,1),FIND("`",SUBSTITUTE(OFFSET(A61,-1,0,1,1),".","`",1))+1,(FIND("`",SUBSTITUTE(OFFSET(A61,-1,0,1,1),".","`",2))-FIND("`",SUBSTITUTE(OFFSET(A61,-1,0,1,1),".","`",1))-1)))+1)))</f>
        <v/>
      </c>
      <c r="B61" s="32" t="inlineStr">
        <is>
          <t>[Insert Rows above this one, then Hide or Delete this row]</t>
        </is>
      </c>
      <c r="C61" s="32" t="n"/>
      <c r="D61" s="37" t="n"/>
      <c r="E61" s="37" t="n"/>
      <c r="F61" s="37" t="n"/>
      <c r="G61" s="32" t="n"/>
      <c r="H61" s="32" t="n"/>
      <c r="I61" s="21" t="n"/>
      <c r="J61" s="22" t="n"/>
      <c r="K61" s="15" t="n"/>
      <c r="L61" s="15" t="n"/>
      <c r="M61" s="14" t="n"/>
      <c r="N61" s="14" t="n"/>
      <c r="P61" s="111" t="n"/>
      <c r="Q61" s="111" t="n"/>
      <c r="R61" s="111" t="n"/>
      <c r="S61" s="111" t="n"/>
      <c r="T61" s="111" t="n"/>
      <c r="U61" s="111" t="n"/>
      <c r="V61" s="111" t="n"/>
      <c r="W61" s="111" t="n"/>
      <c r="X61" s="111" t="n"/>
      <c r="Y61" s="111" t="n"/>
      <c r="Z61" s="111" t="n"/>
      <c r="AA61" s="111" t="n"/>
      <c r="AB61" s="111" t="n"/>
      <c r="AC61" s="111" t="n"/>
      <c r="AD61" s="111" t="n"/>
      <c r="AE61" s="111" t="n"/>
      <c r="AF61" s="111" t="n"/>
      <c r="AG61" s="111" t="n"/>
      <c r="AH61" s="111" t="n"/>
      <c r="AI61" s="111" t="n"/>
      <c r="AJ61" s="111" t="n"/>
      <c r="AK61" s="111" t="n"/>
      <c r="AL61" s="111" t="n"/>
      <c r="AM61" s="111" t="n"/>
      <c r="AN61" s="111" t="n"/>
      <c r="AO61" s="111" t="n"/>
      <c r="AP61" s="111" t="n"/>
      <c r="AQ61" s="111" t="n"/>
      <c r="AR61" s="111" t="n"/>
      <c r="AS61" s="111" t="n"/>
      <c r="AT61" s="111" t="n"/>
      <c r="AU61" s="111" t="n"/>
      <c r="AV61" s="111" t="n"/>
      <c r="AW61" s="111" t="n"/>
      <c r="AX61" s="111" t="n"/>
      <c r="AY61" s="111" t="n"/>
      <c r="AZ61" s="111" t="n"/>
      <c r="BA61" s="111" t="n"/>
      <c r="BB61" s="111" t="n"/>
      <c r="BC61" s="111" t="n"/>
      <c r="BD61" s="111" t="n"/>
      <c r="BE61" s="111" t="n"/>
      <c r="BF61" s="111" t="n"/>
      <c r="BG61" s="111" t="n"/>
      <c r="BH61" s="111" t="n"/>
      <c r="BI61" s="111" t="n"/>
      <c r="BJ61" s="111" t="n"/>
      <c r="BK61" s="111" t="n"/>
      <c r="BL61" s="111" t="n"/>
      <c r="BM61" s="111" t="n"/>
      <c r="BN61" s="111" t="n"/>
      <c r="BO61" s="111" t="n"/>
      <c r="BP61" s="111" t="n"/>
      <c r="BQ61" s="111" t="n"/>
      <c r="BR61" s="111" t="n"/>
      <c r="BS61" s="111" t="n"/>
      <c r="BT61" s="111" t="n"/>
      <c r="BU61" s="111" t="n"/>
      <c r="BV61" s="111" t="n"/>
      <c r="BW61" s="111" t="n"/>
      <c r="BX61" s="111" t="n"/>
      <c r="BY61" s="111" t="n"/>
      <c r="BZ61" s="111" t="n"/>
      <c r="CA61" s="111" t="n"/>
      <c r="CB61" s="111" t="n"/>
      <c r="CC61" s="111" t="n"/>
      <c r="CD61" s="111" t="n"/>
      <c r="CE61" s="111" t="n"/>
      <c r="CF61" s="111" t="n"/>
      <c r="CG61" s="111" t="n"/>
      <c r="CH61" s="111" t="n"/>
      <c r="CI61" s="111" t="n"/>
      <c r="CJ61" s="111" t="n"/>
      <c r="CK61" s="111" t="n"/>
      <c r="CL61" s="111" t="n"/>
      <c r="CM61" s="111" t="n"/>
      <c r="CN61" s="111" t="n"/>
      <c r="CO61" s="111" t="n"/>
      <c r="CP61" s="111" t="n"/>
      <c r="CQ61" s="111" t="n"/>
      <c r="CR61" s="111" t="n"/>
      <c r="CS61" s="111" t="n"/>
      <c r="CT61" s="111" t="n"/>
      <c r="CU61" s="111" t="n"/>
      <c r="CV61" s="111" t="n"/>
      <c r="CW61" s="111" t="n"/>
      <c r="CX61" s="111" t="n"/>
      <c r="CY61" s="111" t="n"/>
      <c r="CZ61" s="111" t="n"/>
      <c r="DA61" s="111" t="n"/>
      <c r="DB61" s="111" t="n"/>
      <c r="DC61" s="111" t="n"/>
      <c r="DD61" s="111" t="n"/>
      <c r="DE61" s="111" t="n"/>
      <c r="DF61" s="111" t="n"/>
      <c r="DG61" s="111" t="n"/>
      <c r="DH61" s="111" t="n"/>
      <c r="DI61" s="111" t="n"/>
      <c r="DJ61" s="111" t="n"/>
      <c r="DK61" s="111" t="n"/>
      <c r="DL61" s="111" t="n"/>
      <c r="DM61" s="111" t="n"/>
      <c r="DN61" s="111" t="n"/>
      <c r="DO61" s="111" t="n"/>
      <c r="DP61" s="111" t="n"/>
      <c r="DQ61" s="111" t="n"/>
      <c r="DR61" s="111" t="n"/>
      <c r="DS61" s="111" t="n"/>
      <c r="DT61" s="111" t="n"/>
      <c r="DU61" s="111" t="n"/>
      <c r="DV61" s="111" t="n"/>
      <c r="DW61" s="111" t="n"/>
      <c r="DX61" s="111" t="n"/>
      <c r="DY61" s="111" t="n"/>
      <c r="DZ61" s="111" t="n"/>
      <c r="EA61" s="111" t="n"/>
      <c r="EB61" s="111" t="n"/>
      <c r="EC61" s="111" t="n"/>
      <c r="ED61" s="111" t="n"/>
      <c r="EE61" s="111" t="n"/>
      <c r="EF61" s="111" t="n"/>
      <c r="EG61" s="111" t="n"/>
      <c r="EH61" s="111" t="n"/>
      <c r="EI61" s="111" t="n"/>
      <c r="EJ61" s="111" t="n"/>
      <c r="EK61" s="111" t="n"/>
      <c r="EL61" s="111" t="n"/>
      <c r="EM61" s="111" t="n"/>
      <c r="EN61" s="111" t="n"/>
      <c r="EO61" s="111" t="n"/>
      <c r="EP61" s="111" t="n"/>
      <c r="EQ61" s="111" t="n"/>
      <c r="ER61" s="111" t="n"/>
      <c r="ES61" s="111" t="n"/>
      <c r="ET61" s="111" t="n"/>
      <c r="EU61" s="111" t="n"/>
      <c r="EV61" s="111" t="n"/>
      <c r="EW61" s="111" t="n"/>
      <c r="EX61" s="111" t="n"/>
      <c r="EY61" s="111" t="n"/>
      <c r="EZ61" s="111" t="n"/>
      <c r="FA61" s="111" t="n"/>
      <c r="FB61" s="111" t="n"/>
      <c r="FC61" s="111" t="n"/>
      <c r="FD61" s="111" t="n"/>
      <c r="FE61" s="111" t="n"/>
      <c r="FF61" s="111" t="n"/>
      <c r="FG61" s="111" t="n"/>
      <c r="FH61" s="111" t="n"/>
      <c r="FI61" s="111" t="n"/>
      <c r="FJ61" s="111" t="n"/>
      <c r="FK61" s="111" t="n"/>
      <c r="FL61" s="111" t="n"/>
      <c r="FM61" s="111" t="n"/>
      <c r="FN61" s="111" t="n"/>
      <c r="FO61" s="111" t="n"/>
      <c r="FP61" s="111" t="n"/>
      <c r="FQ61" s="111" t="n"/>
      <c r="FR61" s="111" t="n"/>
      <c r="FS61" s="111" t="n"/>
      <c r="FT61" s="111" t="n"/>
      <c r="FU61" s="111" t="n"/>
      <c r="FV61" s="111" t="n"/>
      <c r="FW61" s="111" t="n"/>
      <c r="FX61" s="111" t="n"/>
      <c r="FY61" s="111" t="n"/>
      <c r="FZ61" s="111" t="n"/>
      <c r="GA61" s="111" t="n"/>
      <c r="GB61" s="111" t="n"/>
      <c r="GC61" s="111" t="n"/>
      <c r="GD61" s="111" t="n"/>
      <c r="GE61" s="111" t="n"/>
      <c r="GF61" s="111" t="n"/>
      <c r="GG61" s="111" t="n"/>
      <c r="GH61" s="111" t="n"/>
      <c r="GI61" s="111" t="n"/>
      <c r="GJ61" s="111" t="n"/>
      <c r="GK61" s="111" t="n"/>
      <c r="GL61" s="111" t="n"/>
      <c r="GM61" s="111" t="n"/>
      <c r="GN61" s="111" t="n"/>
      <c r="GO61" s="111" t="n"/>
      <c r="GP61" s="111" t="n"/>
      <c r="GQ61" s="111" t="n"/>
      <c r="GR61" s="111" t="n"/>
      <c r="GS61" s="111" t="n"/>
      <c r="GT61" s="111" t="n"/>
      <c r="GU61" s="111" t="n"/>
      <c r="GV61" s="111" t="n"/>
      <c r="GW61" s="111" t="n"/>
      <c r="GX61" s="111" t="n"/>
      <c r="GY61" s="111" t="n"/>
      <c r="GZ61" s="111" t="n"/>
      <c r="HA61" s="111" t="n"/>
      <c r="HB61" s="111" t="n"/>
      <c r="HC61" s="111" t="n"/>
      <c r="HD61" s="111" t="n"/>
      <c r="HE61" s="111" t="n"/>
      <c r="HF61" s="111" t="n"/>
      <c r="HG61" s="111" t="n"/>
      <c r="HH61" s="111" t="n"/>
      <c r="HI61" s="111" t="n"/>
      <c r="HJ61" s="111" t="n"/>
      <c r="HK61" s="111" t="n"/>
      <c r="HL61" s="111" t="n"/>
      <c r="HM61" s="111" t="n"/>
      <c r="HN61" s="111" t="n"/>
      <c r="HO61" s="111" t="n"/>
      <c r="HP61" s="111" t="n"/>
      <c r="HQ61" s="111" t="n"/>
      <c r="HR61" s="111" t="n"/>
      <c r="HS61" s="111" t="n"/>
      <c r="HT61" s="111" t="n"/>
      <c r="HU61" s="111" t="n"/>
      <c r="HV61" s="111" t="n"/>
      <c r="HW61" s="111" t="n"/>
      <c r="HX61" s="111" t="n"/>
      <c r="HY61" s="111" t="n"/>
      <c r="HZ61" s="111" t="n"/>
      <c r="IA61" s="111" t="n"/>
      <c r="IB61" s="111" t="n"/>
      <c r="IC61" s="111" t="n"/>
      <c r="ID61" s="111" t="n"/>
      <c r="IE61" s="111" t="n"/>
      <c r="IF61" s="111" t="n"/>
      <c r="IG61" s="111" t="n"/>
      <c r="IH61" s="111" t="n"/>
      <c r="II61" s="111" t="n"/>
      <c r="IJ61" s="111" t="n"/>
      <c r="IK61" s="111" t="n"/>
      <c r="IL61" s="111" t="n"/>
      <c r="IM61" s="111" t="n"/>
      <c r="IN61" s="111" t="n"/>
      <c r="IO61" s="111" t="n"/>
      <c r="IP61" s="111" t="n"/>
      <c r="IQ61" s="111" t="n"/>
      <c r="IR61" s="111" t="n"/>
      <c r="IS61" s="111" t="n"/>
      <c r="IT61" s="111" t="n"/>
      <c r="IU61" s="111" t="n"/>
      <c r="IV61" s="111" t="n"/>
      <c r="IW61" s="111" t="n"/>
      <c r="IX61" s="111" t="n"/>
      <c r="IY61" s="111" t="n"/>
      <c r="IZ61" s="111" t="n"/>
      <c r="JA61" s="111" t="n"/>
      <c r="JB61" s="111" t="n"/>
      <c r="JC61" s="111" t="n"/>
      <c r="JD61" s="111" t="n"/>
      <c r="JE61" s="111" t="n"/>
      <c r="JF61" s="111" t="n"/>
      <c r="JG61" s="111" t="n"/>
      <c r="JH61" s="111" t="n"/>
      <c r="JI61" s="111" t="n"/>
      <c r="JJ61" s="111" t="n"/>
      <c r="JK61" s="111" t="n"/>
      <c r="JL61" s="111" t="n"/>
      <c r="JM61" s="111" t="n"/>
      <c r="JN61" s="111" t="n"/>
      <c r="JO61" s="111" t="n"/>
      <c r="JP61" s="111" t="n"/>
      <c r="JQ61" s="111" t="n"/>
      <c r="JR61" s="111" t="n"/>
      <c r="JS61" s="111" t="n"/>
      <c r="JT61" s="111" t="n"/>
      <c r="JU61" s="111" t="n"/>
      <c r="JV61" s="111" t="n"/>
      <c r="JW61" s="111" t="n"/>
      <c r="JX61" s="111" t="n"/>
      <c r="JY61" s="111" t="n"/>
      <c r="JZ61" s="111" t="n"/>
      <c r="KA61" s="111" t="n"/>
      <c r="KB61" s="111" t="n"/>
      <c r="KC61" s="111" t="n"/>
      <c r="KD61" s="111" t="n"/>
      <c r="KE61" s="111" t="n"/>
      <c r="KF61" s="111" t="n"/>
      <c r="KG61" s="111" t="n"/>
      <c r="KH61" s="111" t="n"/>
      <c r="KI61" s="111" t="n"/>
      <c r="KJ61" s="111" t="n"/>
      <c r="KK61" s="111" t="n"/>
      <c r="KL61" s="111" t="n"/>
      <c r="KM61" s="111" t="n"/>
      <c r="KN61" s="111" t="n"/>
      <c r="KO61" s="111" t="n"/>
      <c r="KP61" s="111" t="n"/>
      <c r="KQ61" s="111" t="n"/>
      <c r="KR61" s="111" t="n"/>
      <c r="KS61" s="111" t="n"/>
      <c r="KT61" s="111" t="n"/>
      <c r="KU61" s="111" t="n"/>
      <c r="KV61" s="111" t="n"/>
      <c r="KW61" s="111" t="n"/>
      <c r="KX61" s="111" t="n"/>
      <c r="KY61" s="111" t="n"/>
      <c r="KZ61" s="111" t="n"/>
      <c r="LA61" s="111" t="n"/>
      <c r="LB61" s="111" t="n"/>
      <c r="LC61" s="111" t="n"/>
      <c r="LD61" s="111" t="n"/>
      <c r="LE61" s="111" t="n"/>
      <c r="LF61" s="111" t="n"/>
      <c r="LG61" s="111" t="n"/>
      <c r="LH61" s="111" t="n"/>
      <c r="LI61" s="111" t="n"/>
      <c r="LJ61" s="111" t="n"/>
      <c r="LK61" s="111" t="n"/>
      <c r="LL61" s="111" t="n"/>
      <c r="LM61" s="111" t="n"/>
      <c r="LN61" s="111" t="n"/>
      <c r="LO61" s="111" t="n"/>
      <c r="LP61" s="111" t="n"/>
      <c r="LQ61" s="111" t="n"/>
      <c r="LR61" s="111" t="n"/>
      <c r="LS61" s="111" t="n"/>
      <c r="LT61" s="111" t="n"/>
      <c r="LU61" s="111" t="n"/>
      <c r="LV61" s="111" t="n"/>
      <c r="LW61" s="111" t="n"/>
      <c r="LX61" s="111" t="n"/>
      <c r="LY61" s="111" t="n"/>
      <c r="LZ61" s="111" t="n"/>
      <c r="MA61" s="111" t="n"/>
      <c r="MB61" s="111" t="n"/>
      <c r="MC61" s="111" t="n"/>
      <c r="MD61" s="111" t="n"/>
      <c r="ME61" s="111" t="n"/>
      <c r="MF61" s="111" t="n"/>
      <c r="MG61" s="111" t="n"/>
      <c r="MH61" s="111" t="n"/>
      <c r="MI61" s="111" t="n"/>
      <c r="MJ61" s="111" t="n"/>
      <c r="MK61" s="111" t="n"/>
      <c r="ML61" s="111" t="n"/>
      <c r="MM61" s="111" t="n"/>
      <c r="MN61" s="111" t="n"/>
      <c r="MO61" s="111" t="n"/>
      <c r="MP61" s="111" t="n"/>
      <c r="MQ61" s="111" t="n"/>
      <c r="MR61" s="111" t="n"/>
      <c r="MS61" s="111" t="n"/>
      <c r="MT61" s="111" t="n"/>
      <c r="MU61" s="111" t="n"/>
      <c r="MV61" s="111" t="n"/>
      <c r="MW61" s="111" t="n"/>
      <c r="MX61" s="111" t="n"/>
      <c r="MY61" s="111" t="n"/>
      <c r="MZ61" s="111" t="n"/>
      <c r="NA61" s="111" t="n"/>
      <c r="NB61" s="111" t="n"/>
      <c r="NC61" s="111" t="n"/>
      <c r="ND61" s="111" t="n"/>
      <c r="NE61" s="111" t="n"/>
      <c r="NF61" s="111" t="n"/>
      <c r="NG61" s="111" t="n"/>
      <c r="NH61" s="111" t="n"/>
      <c r="NI61" s="111" t="n"/>
      <c r="NJ61" s="111" t="n"/>
      <c r="NK61" s="111" t="n"/>
      <c r="NL61" s="111" t="n"/>
      <c r="NM61" s="111" t="n"/>
      <c r="NN61" s="111" t="n"/>
      <c r="NO61" s="111" t="n"/>
    </row>
    <row r="62" ht="11.25" customFormat="1" customHeight="1" s="69">
      <c r="A62" s="69" t="n"/>
      <c r="B62" s="69" t="n"/>
      <c r="C62" s="69" t="n"/>
      <c r="D62" s="69" t="n"/>
      <c r="E62" s="69" t="n"/>
      <c r="F62" s="69" t="n"/>
      <c r="G62" s="69" t="n"/>
      <c r="H62" s="69" t="n"/>
      <c r="I62" s="69" t="n"/>
      <c r="J62" s="69" t="n"/>
      <c r="K62" s="69" t="n"/>
      <c r="L62" s="69" t="n"/>
      <c r="M62" s="69" t="n"/>
      <c r="N62" s="69" t="n"/>
      <c r="P62" s="111" t="n"/>
      <c r="Q62" s="111" t="n"/>
      <c r="R62" s="111" t="n"/>
      <c r="S62" s="111" t="n"/>
      <c r="T62" s="111" t="n"/>
      <c r="U62" s="111" t="n"/>
      <c r="V62" s="111" t="n"/>
      <c r="W62" s="111" t="n"/>
      <c r="X62" s="111" t="n"/>
      <c r="Y62" s="111" t="n"/>
      <c r="Z62" s="111" t="n"/>
      <c r="AA62" s="111" t="n"/>
      <c r="AB62" s="111" t="n"/>
      <c r="AC62" s="111" t="n"/>
      <c r="AD62" s="111" t="n"/>
      <c r="AE62" s="111" t="n"/>
      <c r="AF62" s="111" t="n"/>
      <c r="AG62" s="111" t="n"/>
      <c r="AH62" s="111" t="n"/>
      <c r="AI62" s="111" t="n"/>
      <c r="AJ62" s="111" t="n"/>
      <c r="AK62" s="111" t="n"/>
      <c r="AL62" s="111" t="n"/>
      <c r="AM62" s="111" t="n"/>
      <c r="AN62" s="111" t="n"/>
      <c r="AO62" s="111" t="n"/>
      <c r="AP62" s="111" t="n"/>
      <c r="AQ62" s="111" t="n"/>
      <c r="AR62" s="111" t="n"/>
      <c r="AS62" s="111" t="n"/>
      <c r="AT62" s="111" t="n"/>
      <c r="AU62" s="111" t="n"/>
      <c r="AV62" s="111" t="n"/>
      <c r="AW62" s="111" t="n"/>
      <c r="AX62" s="111" t="n"/>
      <c r="AY62" s="111" t="n"/>
      <c r="AZ62" s="111" t="n"/>
      <c r="BA62" s="111" t="n"/>
      <c r="BB62" s="111" t="n"/>
      <c r="BC62" s="111" t="n"/>
      <c r="BD62" s="111" t="n"/>
      <c r="BE62" s="111" t="n"/>
      <c r="BF62" s="111" t="n"/>
      <c r="BG62" s="111" t="n"/>
      <c r="BH62" s="111" t="n"/>
      <c r="BI62" s="111" t="n"/>
      <c r="BJ62" s="111" t="n"/>
      <c r="BK62" s="111" t="n"/>
      <c r="BL62" s="111" t="n"/>
      <c r="BM62" s="111" t="n"/>
      <c r="BN62" s="111" t="n"/>
      <c r="BO62" s="111" t="n"/>
      <c r="BP62" s="111" t="n"/>
      <c r="BQ62" s="111" t="n"/>
      <c r="BR62" s="111" t="n"/>
      <c r="BS62" s="111" t="n"/>
      <c r="BT62" s="111" t="n"/>
      <c r="BU62" s="111" t="n"/>
      <c r="BV62" s="111" t="n"/>
      <c r="BW62" s="111" t="n"/>
      <c r="BX62" s="111" t="n"/>
      <c r="BY62" s="111" t="n"/>
      <c r="BZ62" s="111" t="n"/>
      <c r="CA62" s="111" t="n"/>
      <c r="CB62" s="111" t="n"/>
      <c r="CC62" s="111" t="n"/>
      <c r="CD62" s="111" t="n"/>
      <c r="CE62" s="111" t="n"/>
      <c r="CF62" s="111" t="n"/>
      <c r="CG62" s="111" t="n"/>
      <c r="CH62" s="111" t="n"/>
      <c r="CI62" s="111" t="n"/>
      <c r="CJ62" s="111" t="n"/>
      <c r="CK62" s="111" t="n"/>
      <c r="CL62" s="111" t="n"/>
      <c r="CM62" s="111" t="n"/>
      <c r="CN62" s="111" t="n"/>
      <c r="CO62" s="111" t="n"/>
      <c r="CP62" s="111" t="n"/>
      <c r="CQ62" s="111" t="n"/>
      <c r="CR62" s="111" t="n"/>
      <c r="CS62" s="111" t="n"/>
      <c r="CT62" s="111" t="n"/>
      <c r="CU62" s="111" t="n"/>
      <c r="CV62" s="111" t="n"/>
      <c r="CW62" s="111" t="n"/>
      <c r="CX62" s="111" t="n"/>
      <c r="CY62" s="111" t="n"/>
      <c r="CZ62" s="111" t="n"/>
      <c r="DA62" s="111" t="n"/>
      <c r="DB62" s="111" t="n"/>
      <c r="DC62" s="111" t="n"/>
      <c r="DD62" s="111" t="n"/>
      <c r="DE62" s="111" t="n"/>
      <c r="DF62" s="111" t="n"/>
      <c r="DG62" s="111" t="n"/>
      <c r="DH62" s="111" t="n"/>
      <c r="DI62" s="111" t="n"/>
      <c r="DJ62" s="111" t="n"/>
      <c r="DK62" s="111" t="n"/>
      <c r="DL62" s="111" t="n"/>
      <c r="DM62" s="111" t="n"/>
      <c r="DN62" s="111" t="n"/>
      <c r="DO62" s="111" t="n"/>
      <c r="DP62" s="111" t="n"/>
      <c r="DQ62" s="111" t="n"/>
      <c r="DR62" s="111" t="n"/>
      <c r="DS62" s="111" t="n"/>
      <c r="DT62" s="111" t="n"/>
      <c r="DU62" s="111" t="n"/>
      <c r="DV62" s="111" t="n"/>
      <c r="DW62" s="111" t="n"/>
      <c r="DX62" s="111" t="n"/>
      <c r="DY62" s="111" t="n"/>
      <c r="DZ62" s="111" t="n"/>
      <c r="EA62" s="111" t="n"/>
      <c r="EB62" s="111" t="n"/>
      <c r="EC62" s="111" t="n"/>
      <c r="ED62" s="111" t="n"/>
      <c r="EE62" s="111" t="n"/>
      <c r="EF62" s="111" t="n"/>
      <c r="EG62" s="111" t="n"/>
      <c r="EH62" s="111" t="n"/>
      <c r="EI62" s="111" t="n"/>
      <c r="EJ62" s="111" t="n"/>
      <c r="EK62" s="111" t="n"/>
      <c r="EL62" s="111" t="n"/>
      <c r="EM62" s="111" t="n"/>
      <c r="EN62" s="111" t="n"/>
      <c r="EO62" s="111" t="n"/>
      <c r="EP62" s="111" t="n"/>
      <c r="EQ62" s="111" t="n"/>
      <c r="ER62" s="111" t="n"/>
      <c r="ES62" s="111" t="n"/>
      <c r="ET62" s="111" t="n"/>
      <c r="EU62" s="111" t="n"/>
      <c r="EV62" s="111" t="n"/>
      <c r="EW62" s="111" t="n"/>
      <c r="EX62" s="111" t="n"/>
      <c r="EY62" s="111" t="n"/>
      <c r="EZ62" s="111" t="n"/>
      <c r="FA62" s="111" t="n"/>
      <c r="FB62" s="111" t="n"/>
      <c r="FC62" s="111" t="n"/>
      <c r="FD62" s="111" t="n"/>
      <c r="FE62" s="111" t="n"/>
      <c r="FF62" s="111" t="n"/>
      <c r="FG62" s="111" t="n"/>
      <c r="FH62" s="111" t="n"/>
      <c r="FI62" s="111" t="n"/>
      <c r="FJ62" s="111" t="n"/>
      <c r="FK62" s="111" t="n"/>
      <c r="FL62" s="111" t="n"/>
      <c r="FM62" s="111" t="n"/>
      <c r="FN62" s="111" t="n"/>
      <c r="FO62" s="111" t="n"/>
      <c r="FP62" s="111" t="n"/>
      <c r="FQ62" s="111" t="n"/>
      <c r="FR62" s="111" t="n"/>
      <c r="FS62" s="111" t="n"/>
      <c r="FT62" s="111" t="n"/>
      <c r="FU62" s="111" t="n"/>
      <c r="FV62" s="111" t="n"/>
      <c r="FW62" s="111" t="n"/>
      <c r="FX62" s="111" t="n"/>
      <c r="FY62" s="111" t="n"/>
      <c r="FZ62" s="111" t="n"/>
      <c r="GA62" s="111" t="n"/>
      <c r="GB62" s="111" t="n"/>
      <c r="GC62" s="111" t="n"/>
      <c r="GD62" s="111" t="n"/>
      <c r="GE62" s="111" t="n"/>
      <c r="GF62" s="111" t="n"/>
      <c r="GG62" s="111" t="n"/>
      <c r="GH62" s="111" t="n"/>
      <c r="GI62" s="111" t="n"/>
      <c r="GJ62" s="111" t="n"/>
      <c r="GK62" s="111" t="n"/>
      <c r="GL62" s="111" t="n"/>
      <c r="GM62" s="111" t="n"/>
      <c r="GN62" s="111" t="n"/>
      <c r="GO62" s="111" t="n"/>
      <c r="GP62" s="111" t="n"/>
      <c r="GQ62" s="111" t="n"/>
      <c r="GR62" s="111" t="n"/>
      <c r="GS62" s="111" t="n"/>
      <c r="GT62" s="111" t="n"/>
      <c r="GU62" s="111" t="n"/>
      <c r="GV62" s="111" t="n"/>
      <c r="GW62" s="111" t="n"/>
      <c r="GX62" s="111" t="n"/>
      <c r="GY62" s="111" t="n"/>
      <c r="GZ62" s="111" t="n"/>
      <c r="HA62" s="111" t="n"/>
      <c r="HB62" s="111" t="n"/>
      <c r="HC62" s="111" t="n"/>
      <c r="HD62" s="111" t="n"/>
      <c r="HE62" s="111" t="n"/>
      <c r="HF62" s="111" t="n"/>
      <c r="HG62" s="111" t="n"/>
      <c r="HH62" s="111" t="n"/>
      <c r="HI62" s="111" t="n"/>
      <c r="HJ62" s="111" t="n"/>
      <c r="HK62" s="111" t="n"/>
      <c r="HL62" s="111" t="n"/>
      <c r="HM62" s="111" t="n"/>
      <c r="HN62" s="111" t="n"/>
      <c r="HO62" s="111" t="n"/>
      <c r="HP62" s="111" t="n"/>
      <c r="HQ62" s="111" t="n"/>
      <c r="HR62" s="111" t="n"/>
      <c r="HS62" s="111" t="n"/>
      <c r="HT62" s="111" t="n"/>
      <c r="HU62" s="111" t="n"/>
      <c r="HV62" s="111" t="n"/>
      <c r="HW62" s="111" t="n"/>
      <c r="HX62" s="111" t="n"/>
      <c r="HY62" s="111" t="n"/>
      <c r="HZ62" s="111" t="n"/>
      <c r="IA62" s="111" t="n"/>
      <c r="IB62" s="111" t="n"/>
      <c r="IC62" s="111" t="n"/>
      <c r="ID62" s="111" t="n"/>
      <c r="IE62" s="111" t="n"/>
      <c r="IF62" s="111" t="n"/>
      <c r="IG62" s="111" t="n"/>
      <c r="IH62" s="111" t="n"/>
      <c r="II62" s="111" t="n"/>
      <c r="IJ62" s="111" t="n"/>
      <c r="IK62" s="111" t="n"/>
      <c r="IL62" s="111" t="n"/>
      <c r="IM62" s="111" t="n"/>
      <c r="IN62" s="111" t="n"/>
      <c r="IO62" s="111" t="n"/>
      <c r="IP62" s="111" t="n"/>
      <c r="IQ62" s="111" t="n"/>
      <c r="IR62" s="111" t="n"/>
      <c r="IS62" s="111" t="n"/>
      <c r="IT62" s="111" t="n"/>
      <c r="IU62" s="111" t="n"/>
      <c r="IV62" s="111" t="n"/>
      <c r="IW62" s="111" t="n"/>
      <c r="IX62" s="111" t="n"/>
      <c r="IY62" s="111" t="n"/>
      <c r="IZ62" s="111" t="n"/>
      <c r="JA62" s="111" t="n"/>
      <c r="JB62" s="111" t="n"/>
      <c r="JC62" s="111" t="n"/>
      <c r="JD62" s="111" t="n"/>
      <c r="JE62" s="111" t="n"/>
      <c r="JF62" s="111" t="n"/>
      <c r="JG62" s="111" t="n"/>
      <c r="JH62" s="111" t="n"/>
      <c r="JI62" s="111" t="n"/>
      <c r="JJ62" s="111" t="n"/>
      <c r="JK62" s="111" t="n"/>
      <c r="JL62" s="111" t="n"/>
      <c r="JM62" s="111" t="n"/>
      <c r="JN62" s="111" t="n"/>
      <c r="JO62" s="111" t="n"/>
      <c r="JP62" s="111" t="n"/>
      <c r="JQ62" s="111" t="n"/>
      <c r="JR62" s="111" t="n"/>
      <c r="JS62" s="111" t="n"/>
      <c r="JT62" s="111" t="n"/>
      <c r="JU62" s="111" t="n"/>
      <c r="JV62" s="111" t="n"/>
      <c r="JW62" s="111" t="n"/>
      <c r="JX62" s="111" t="n"/>
      <c r="JY62" s="111" t="n"/>
      <c r="JZ62" s="111" t="n"/>
      <c r="KA62" s="111" t="n"/>
      <c r="KB62" s="111" t="n"/>
      <c r="KC62" s="111" t="n"/>
      <c r="KD62" s="111" t="n"/>
      <c r="KE62" s="111" t="n"/>
      <c r="KF62" s="111" t="n"/>
      <c r="KG62" s="111" t="n"/>
      <c r="KH62" s="111" t="n"/>
      <c r="KI62" s="111" t="n"/>
      <c r="KJ62" s="111" t="n"/>
      <c r="KK62" s="111" t="n"/>
      <c r="KL62" s="111" t="n"/>
      <c r="KM62" s="111" t="n"/>
      <c r="KN62" s="111" t="n"/>
      <c r="KO62" s="111" t="n"/>
      <c r="KP62" s="111" t="n"/>
      <c r="KQ62" s="111" t="n"/>
      <c r="KR62" s="111" t="n"/>
      <c r="KS62" s="111" t="n"/>
      <c r="KT62" s="111" t="n"/>
      <c r="KU62" s="111" t="n"/>
      <c r="KV62" s="111" t="n"/>
      <c r="KW62" s="111" t="n"/>
      <c r="KX62" s="111" t="n"/>
      <c r="KY62" s="111" t="n"/>
      <c r="KZ62" s="111" t="n"/>
      <c r="LA62" s="111" t="n"/>
      <c r="LB62" s="111" t="n"/>
      <c r="LC62" s="111" t="n"/>
      <c r="LD62" s="111" t="n"/>
      <c r="LE62" s="111" t="n"/>
      <c r="LF62" s="111" t="n"/>
      <c r="LG62" s="111" t="n"/>
      <c r="LH62" s="111" t="n"/>
      <c r="LI62" s="111" t="n"/>
      <c r="LJ62" s="111" t="n"/>
      <c r="LK62" s="111" t="n"/>
      <c r="LL62" s="111" t="n"/>
      <c r="LM62" s="111" t="n"/>
      <c r="LN62" s="111" t="n"/>
      <c r="LO62" s="111" t="n"/>
      <c r="LP62" s="111" t="n"/>
      <c r="LQ62" s="111" t="n"/>
      <c r="LR62" s="111" t="n"/>
      <c r="LS62" s="111" t="n"/>
      <c r="LT62" s="111" t="n"/>
      <c r="LU62" s="111" t="n"/>
      <c r="LV62" s="111" t="n"/>
      <c r="LW62" s="111" t="n"/>
      <c r="LX62" s="111" t="n"/>
      <c r="LY62" s="111" t="n"/>
      <c r="LZ62" s="111" t="n"/>
      <c r="MA62" s="111" t="n"/>
      <c r="MB62" s="111" t="n"/>
      <c r="MC62" s="111" t="n"/>
      <c r="MD62" s="111" t="n"/>
      <c r="ME62" s="111" t="n"/>
      <c r="MF62" s="111" t="n"/>
      <c r="MG62" s="111" t="n"/>
      <c r="MH62" s="111" t="n"/>
      <c r="MI62" s="111" t="n"/>
      <c r="MJ62" s="111" t="n"/>
      <c r="MK62" s="111" t="n"/>
      <c r="ML62" s="111" t="n"/>
      <c r="MM62" s="111" t="n"/>
      <c r="MN62" s="111" t="n"/>
      <c r="MO62" s="111" t="n"/>
      <c r="MP62" s="111" t="n"/>
      <c r="MQ62" s="111" t="n"/>
      <c r="MR62" s="111" t="n"/>
      <c r="MS62" s="111" t="n"/>
      <c r="MT62" s="111" t="n"/>
      <c r="MU62" s="111" t="n"/>
      <c r="MV62" s="111" t="n"/>
      <c r="MW62" s="111" t="n"/>
      <c r="MX62" s="111" t="n"/>
      <c r="MY62" s="111" t="n"/>
      <c r="MZ62" s="111" t="n"/>
      <c r="NA62" s="111" t="n"/>
      <c r="NB62" s="111" t="n"/>
      <c r="NC62" s="111" t="n"/>
      <c r="ND62" s="111" t="n"/>
      <c r="NE62" s="111" t="n"/>
      <c r="NF62" s="111" t="n"/>
      <c r="NG62" s="111" t="n"/>
      <c r="NH62" s="111" t="n"/>
      <c r="NI62" s="111" t="n"/>
      <c r="NJ62" s="111" t="n"/>
      <c r="NK62" s="111" t="n"/>
      <c r="NL62" s="111" t="n"/>
      <c r="NM62" s="111" t="n"/>
      <c r="NN62" s="111" t="n"/>
      <c r="NO62" s="111" t="n"/>
    </row>
    <row r="63" ht="11.25" customFormat="1" customHeight="1" s="69">
      <c r="A63" s="69" t="n"/>
      <c r="B63" s="69" t="n"/>
      <c r="C63" s="69" t="n"/>
      <c r="D63" s="69" t="n"/>
      <c r="E63" s="69" t="n"/>
      <c r="F63" s="69" t="n"/>
      <c r="G63" s="69" t="n"/>
      <c r="H63" s="69" t="n"/>
      <c r="I63" s="69" t="n"/>
      <c r="J63" s="69" t="n"/>
      <c r="K63" s="69" t="n"/>
      <c r="L63" s="69" t="n"/>
      <c r="M63" s="69" t="n"/>
      <c r="N63" s="69" t="n"/>
      <c r="P63" s="111" t="n"/>
      <c r="Q63" s="111" t="n"/>
      <c r="R63" s="111" t="n"/>
      <c r="S63" s="111" t="n"/>
      <c r="T63" s="111" t="n"/>
      <c r="U63" s="111" t="n"/>
      <c r="V63" s="111" t="n"/>
      <c r="W63" s="111" t="n"/>
      <c r="X63" s="111" t="n"/>
      <c r="Y63" s="111" t="n"/>
      <c r="Z63" s="111" t="n"/>
      <c r="AA63" s="111" t="n"/>
      <c r="AB63" s="111" t="n"/>
      <c r="AC63" s="111" t="n"/>
      <c r="AD63" s="111" t="n"/>
      <c r="AE63" s="111" t="n"/>
      <c r="AF63" s="111" t="n"/>
      <c r="AG63" s="111" t="n"/>
      <c r="AH63" s="111" t="n"/>
      <c r="AI63" s="111" t="n"/>
      <c r="AJ63" s="111" t="n"/>
      <c r="AK63" s="111" t="n"/>
      <c r="AL63" s="111" t="n"/>
      <c r="AM63" s="111" t="n"/>
      <c r="AN63" s="111" t="n"/>
      <c r="AO63" s="111" t="n"/>
      <c r="AP63" s="111" t="n"/>
      <c r="AQ63" s="111" t="n"/>
      <c r="AR63" s="111" t="n"/>
      <c r="AS63" s="111" t="n"/>
      <c r="AT63" s="111" t="n"/>
      <c r="AU63" s="111" t="n"/>
      <c r="AV63" s="111" t="n"/>
      <c r="AW63" s="111" t="n"/>
      <c r="AX63" s="111" t="n"/>
      <c r="AY63" s="111" t="n"/>
      <c r="AZ63" s="111" t="n"/>
      <c r="BA63" s="111" t="n"/>
      <c r="BB63" s="111" t="n"/>
      <c r="BC63" s="111" t="n"/>
      <c r="BD63" s="111" t="n"/>
      <c r="BE63" s="111" t="n"/>
      <c r="BF63" s="111" t="n"/>
      <c r="BG63" s="111" t="n"/>
      <c r="BH63" s="111" t="n"/>
      <c r="BI63" s="111" t="n"/>
      <c r="BJ63" s="111" t="n"/>
      <c r="BK63" s="111" t="n"/>
      <c r="BL63" s="111" t="n"/>
      <c r="BM63" s="111" t="n"/>
      <c r="BN63" s="111" t="n"/>
      <c r="BO63" s="111" t="n"/>
      <c r="BP63" s="111" t="n"/>
      <c r="BQ63" s="111" t="n"/>
      <c r="BR63" s="111" t="n"/>
      <c r="BS63" s="111" t="n"/>
      <c r="BT63" s="111" t="n"/>
      <c r="BU63" s="111" t="n"/>
      <c r="BV63" s="111" t="n"/>
      <c r="BW63" s="111" t="n"/>
      <c r="BX63" s="111" t="n"/>
      <c r="BY63" s="111" t="n"/>
      <c r="BZ63" s="111" t="n"/>
      <c r="CA63" s="111" t="n"/>
      <c r="CB63" s="111" t="n"/>
      <c r="CC63" s="111" t="n"/>
      <c r="CD63" s="111" t="n"/>
      <c r="CE63" s="111" t="n"/>
      <c r="CF63" s="111" t="n"/>
      <c r="CG63" s="111" t="n"/>
      <c r="CH63" s="111" t="n"/>
      <c r="CI63" s="111" t="n"/>
      <c r="CJ63" s="111" t="n"/>
      <c r="CK63" s="111" t="n"/>
      <c r="CL63" s="111" t="n"/>
      <c r="CM63" s="111" t="n"/>
      <c r="CN63" s="111" t="n"/>
      <c r="CO63" s="111" t="n"/>
      <c r="CP63" s="111" t="n"/>
      <c r="CQ63" s="111" t="n"/>
      <c r="CR63" s="111" t="n"/>
      <c r="CS63" s="111" t="n"/>
      <c r="CT63" s="111" t="n"/>
      <c r="CU63" s="111" t="n"/>
      <c r="CV63" s="111" t="n"/>
      <c r="CW63" s="111" t="n"/>
      <c r="CX63" s="111" t="n"/>
      <c r="CY63" s="111" t="n"/>
      <c r="CZ63" s="111" t="n"/>
      <c r="DA63" s="111" t="n"/>
      <c r="DB63" s="111" t="n"/>
      <c r="DC63" s="111" t="n"/>
      <c r="DD63" s="111" t="n"/>
      <c r="DE63" s="111" t="n"/>
      <c r="DF63" s="111" t="n"/>
      <c r="DG63" s="111" t="n"/>
      <c r="DH63" s="111" t="n"/>
      <c r="DI63" s="111" t="n"/>
      <c r="DJ63" s="111" t="n"/>
      <c r="DK63" s="111" t="n"/>
      <c r="DL63" s="111" t="n"/>
      <c r="DM63" s="111" t="n"/>
      <c r="DN63" s="111" t="n"/>
      <c r="DO63" s="111" t="n"/>
      <c r="DP63" s="111" t="n"/>
      <c r="DQ63" s="111" t="n"/>
      <c r="DR63" s="111" t="n"/>
      <c r="DS63" s="111" t="n"/>
      <c r="DT63" s="111" t="n"/>
      <c r="DU63" s="111" t="n"/>
      <c r="DV63" s="111" t="n"/>
      <c r="DW63" s="111" t="n"/>
      <c r="DX63" s="111" t="n"/>
      <c r="DY63" s="111" t="n"/>
      <c r="DZ63" s="111" t="n"/>
      <c r="EA63" s="111" t="n"/>
      <c r="EB63" s="111" t="n"/>
      <c r="EC63" s="111" t="n"/>
      <c r="ED63" s="111" t="n"/>
      <c r="EE63" s="111" t="n"/>
      <c r="EF63" s="111" t="n"/>
      <c r="EG63" s="111" t="n"/>
      <c r="EH63" s="111" t="n"/>
      <c r="EI63" s="111" t="n"/>
      <c r="EJ63" s="111" t="n"/>
      <c r="EK63" s="111" t="n"/>
      <c r="EL63" s="111" t="n"/>
      <c r="EM63" s="111" t="n"/>
      <c r="EN63" s="111" t="n"/>
      <c r="EO63" s="111" t="n"/>
      <c r="EP63" s="111" t="n"/>
      <c r="EQ63" s="111" t="n"/>
      <c r="ER63" s="111" t="n"/>
      <c r="ES63" s="111" t="n"/>
      <c r="ET63" s="111" t="n"/>
      <c r="EU63" s="111" t="n"/>
      <c r="EV63" s="111" t="n"/>
      <c r="EW63" s="111" t="n"/>
      <c r="EX63" s="111" t="n"/>
      <c r="EY63" s="111" t="n"/>
      <c r="EZ63" s="111" t="n"/>
      <c r="FA63" s="111" t="n"/>
      <c r="FB63" s="111" t="n"/>
      <c r="FC63" s="111" t="n"/>
      <c r="FD63" s="111" t="n"/>
      <c r="FE63" s="111" t="n"/>
      <c r="FF63" s="111" t="n"/>
      <c r="FG63" s="111" t="n"/>
      <c r="FH63" s="111" t="n"/>
      <c r="FI63" s="111" t="n"/>
      <c r="FJ63" s="111" t="n"/>
      <c r="FK63" s="111" t="n"/>
      <c r="FL63" s="111" t="n"/>
      <c r="FM63" s="111" t="n"/>
      <c r="FN63" s="111" t="n"/>
      <c r="FO63" s="111" t="n"/>
      <c r="FP63" s="111" t="n"/>
      <c r="FQ63" s="111" t="n"/>
      <c r="FR63" s="111" t="n"/>
      <c r="FS63" s="111" t="n"/>
      <c r="FT63" s="111" t="n"/>
      <c r="FU63" s="111" t="n"/>
      <c r="FV63" s="111" t="n"/>
      <c r="FW63" s="111" t="n"/>
      <c r="FX63" s="111" t="n"/>
      <c r="FY63" s="111" t="n"/>
      <c r="FZ63" s="111" t="n"/>
      <c r="GA63" s="111" t="n"/>
      <c r="GB63" s="111" t="n"/>
      <c r="GC63" s="111" t="n"/>
      <c r="GD63" s="111" t="n"/>
      <c r="GE63" s="111" t="n"/>
      <c r="GF63" s="111" t="n"/>
      <c r="GG63" s="111" t="n"/>
      <c r="GH63" s="111" t="n"/>
      <c r="GI63" s="111" t="n"/>
      <c r="GJ63" s="111" t="n"/>
      <c r="GK63" s="111" t="n"/>
      <c r="GL63" s="111" t="n"/>
      <c r="GM63" s="111" t="n"/>
      <c r="GN63" s="111" t="n"/>
      <c r="GO63" s="111" t="n"/>
      <c r="GP63" s="111" t="n"/>
      <c r="GQ63" s="111" t="n"/>
      <c r="GR63" s="111" t="n"/>
      <c r="GS63" s="111" t="n"/>
      <c r="GT63" s="111" t="n"/>
      <c r="GU63" s="111" t="n"/>
      <c r="GV63" s="111" t="n"/>
      <c r="GW63" s="111" t="n"/>
      <c r="GX63" s="111" t="n"/>
      <c r="GY63" s="111" t="n"/>
      <c r="GZ63" s="111" t="n"/>
      <c r="HA63" s="111" t="n"/>
      <c r="HB63" s="111" t="n"/>
      <c r="HC63" s="111" t="n"/>
      <c r="HD63" s="111" t="n"/>
      <c r="HE63" s="111" t="n"/>
      <c r="HF63" s="111" t="n"/>
      <c r="HG63" s="111" t="n"/>
      <c r="HH63" s="111" t="n"/>
      <c r="HI63" s="111" t="n"/>
      <c r="HJ63" s="111" t="n"/>
      <c r="HK63" s="111" t="n"/>
      <c r="HL63" s="111" t="n"/>
      <c r="HM63" s="111" t="n"/>
      <c r="HN63" s="111" t="n"/>
      <c r="HO63" s="111" t="n"/>
      <c r="HP63" s="111" t="n"/>
      <c r="HQ63" s="111" t="n"/>
      <c r="HR63" s="111" t="n"/>
      <c r="HS63" s="111" t="n"/>
      <c r="HT63" s="111" t="n"/>
      <c r="HU63" s="111" t="n"/>
      <c r="HV63" s="111" t="n"/>
      <c r="HW63" s="111" t="n"/>
      <c r="HX63" s="111" t="n"/>
      <c r="HY63" s="111" t="n"/>
      <c r="HZ63" s="111" t="n"/>
      <c r="IA63" s="111" t="n"/>
      <c r="IB63" s="111" t="n"/>
      <c r="IC63" s="111" t="n"/>
      <c r="ID63" s="111" t="n"/>
      <c r="IE63" s="111" t="n"/>
      <c r="IF63" s="111" t="n"/>
      <c r="IG63" s="111" t="n"/>
      <c r="IH63" s="111" t="n"/>
      <c r="II63" s="111" t="n"/>
      <c r="IJ63" s="111" t="n"/>
      <c r="IK63" s="111" t="n"/>
      <c r="IL63" s="111" t="n"/>
      <c r="IM63" s="111" t="n"/>
      <c r="IN63" s="111" t="n"/>
      <c r="IO63" s="111" t="n"/>
      <c r="IP63" s="111" t="n"/>
      <c r="IQ63" s="111" t="n"/>
      <c r="IR63" s="111" t="n"/>
      <c r="IS63" s="111" t="n"/>
      <c r="IT63" s="111" t="n"/>
      <c r="IU63" s="111" t="n"/>
      <c r="IV63" s="111" t="n"/>
      <c r="IW63" s="111" t="n"/>
      <c r="IX63" s="111" t="n"/>
      <c r="IY63" s="111" t="n"/>
      <c r="IZ63" s="111" t="n"/>
      <c r="JA63" s="111" t="n"/>
      <c r="JB63" s="111" t="n"/>
      <c r="JC63" s="111" t="n"/>
      <c r="JD63" s="111" t="n"/>
      <c r="JE63" s="111" t="n"/>
      <c r="JF63" s="111" t="n"/>
      <c r="JG63" s="111" t="n"/>
      <c r="JH63" s="111" t="n"/>
      <c r="JI63" s="111" t="n"/>
      <c r="JJ63" s="111" t="n"/>
      <c r="JK63" s="111" t="n"/>
      <c r="JL63" s="111" t="n"/>
      <c r="JM63" s="111" t="n"/>
      <c r="JN63" s="111" t="n"/>
      <c r="JO63" s="111" t="n"/>
      <c r="JP63" s="111" t="n"/>
      <c r="JQ63" s="111" t="n"/>
      <c r="JR63" s="111" t="n"/>
      <c r="JS63" s="111" t="n"/>
      <c r="JT63" s="111" t="n"/>
      <c r="JU63" s="111" t="n"/>
      <c r="JV63" s="111" t="n"/>
      <c r="JW63" s="111" t="n"/>
      <c r="JX63" s="111" t="n"/>
      <c r="JY63" s="111" t="n"/>
      <c r="JZ63" s="111" t="n"/>
      <c r="KA63" s="111" t="n"/>
      <c r="KB63" s="111" t="n"/>
      <c r="KC63" s="111" t="n"/>
      <c r="KD63" s="111" t="n"/>
      <c r="KE63" s="111" t="n"/>
      <c r="KF63" s="111" t="n"/>
      <c r="KG63" s="111" t="n"/>
      <c r="KH63" s="111" t="n"/>
      <c r="KI63" s="111" t="n"/>
      <c r="KJ63" s="111" t="n"/>
      <c r="KK63" s="111" t="n"/>
      <c r="KL63" s="111" t="n"/>
      <c r="KM63" s="111" t="n"/>
      <c r="KN63" s="111" t="n"/>
      <c r="KO63" s="111" t="n"/>
      <c r="KP63" s="111" t="n"/>
      <c r="KQ63" s="111" t="n"/>
      <c r="KR63" s="111" t="n"/>
      <c r="KS63" s="111" t="n"/>
      <c r="KT63" s="111" t="n"/>
      <c r="KU63" s="111" t="n"/>
      <c r="KV63" s="111" t="n"/>
      <c r="KW63" s="111" t="n"/>
      <c r="KX63" s="111" t="n"/>
      <c r="KY63" s="111" t="n"/>
      <c r="KZ63" s="111" t="n"/>
      <c r="LA63" s="111" t="n"/>
      <c r="LB63" s="111" t="n"/>
      <c r="LC63" s="111" t="n"/>
      <c r="LD63" s="111" t="n"/>
      <c r="LE63" s="111" t="n"/>
      <c r="LF63" s="111" t="n"/>
      <c r="LG63" s="111" t="n"/>
      <c r="LH63" s="111" t="n"/>
      <c r="LI63" s="111" t="n"/>
      <c r="LJ63" s="111" t="n"/>
      <c r="LK63" s="111" t="n"/>
      <c r="LL63" s="111" t="n"/>
      <c r="LM63" s="111" t="n"/>
      <c r="LN63" s="111" t="n"/>
      <c r="LO63" s="111" t="n"/>
      <c r="LP63" s="111" t="n"/>
      <c r="LQ63" s="111" t="n"/>
      <c r="LR63" s="111" t="n"/>
      <c r="LS63" s="111" t="n"/>
      <c r="LT63" s="111" t="n"/>
      <c r="LU63" s="111" t="n"/>
      <c r="LV63" s="111" t="n"/>
      <c r="LW63" s="111" t="n"/>
      <c r="LX63" s="111" t="n"/>
      <c r="LY63" s="111" t="n"/>
      <c r="LZ63" s="111" t="n"/>
      <c r="MA63" s="111" t="n"/>
      <c r="MB63" s="111" t="n"/>
      <c r="MC63" s="111" t="n"/>
      <c r="MD63" s="111" t="n"/>
      <c r="ME63" s="111" t="n"/>
      <c r="MF63" s="111" t="n"/>
      <c r="MG63" s="111" t="n"/>
      <c r="MH63" s="111" t="n"/>
      <c r="MI63" s="111" t="n"/>
      <c r="MJ63" s="111" t="n"/>
      <c r="MK63" s="111" t="n"/>
      <c r="ML63" s="111" t="n"/>
      <c r="MM63" s="111" t="n"/>
      <c r="MN63" s="111" t="n"/>
      <c r="MO63" s="111" t="n"/>
      <c r="MP63" s="111" t="n"/>
      <c r="MQ63" s="111" t="n"/>
      <c r="MR63" s="111" t="n"/>
      <c r="MS63" s="111" t="n"/>
      <c r="MT63" s="111" t="n"/>
      <c r="MU63" s="111" t="n"/>
      <c r="MV63" s="111" t="n"/>
      <c r="MW63" s="111" t="n"/>
      <c r="MX63" s="111" t="n"/>
      <c r="MY63" s="111" t="n"/>
      <c r="MZ63" s="111" t="n"/>
      <c r="NA63" s="111" t="n"/>
      <c r="NB63" s="111" t="n"/>
      <c r="NC63" s="111" t="n"/>
      <c r="ND63" s="111" t="n"/>
      <c r="NE63" s="111" t="n"/>
      <c r="NF63" s="111" t="n"/>
      <c r="NG63" s="111" t="n"/>
      <c r="NH63" s="111" t="n"/>
      <c r="NI63" s="111" t="n"/>
      <c r="NJ63" s="111" t="n"/>
      <c r="NK63" s="111" t="n"/>
      <c r="NL63" s="111" t="n"/>
      <c r="NM63" s="111" t="n"/>
      <c r="NN63" s="111" t="n"/>
      <c r="NO63" s="111" t="n"/>
    </row>
    <row r="64" ht="11.25" customFormat="1" customHeight="1" s="119">
      <c r="A64" s="35" t="inlineStr">
        <is>
          <t>TEMPLATE ROWS</t>
        </is>
      </c>
      <c r="B64" s="119" t="n"/>
      <c r="C64" s="119" t="n"/>
      <c r="D64" s="119" t="n"/>
      <c r="E64" s="119" t="n"/>
      <c r="F64" s="119" t="n"/>
      <c r="G64" s="119" t="n"/>
      <c r="H64" s="119" t="n"/>
      <c r="I64" s="119" t="n"/>
      <c r="J64" s="119" t="n"/>
      <c r="K64" s="119" t="n"/>
      <c r="L64" s="119" t="n"/>
      <c r="M64" s="119" t="n"/>
      <c r="N64" s="119" t="n"/>
      <c r="O64" s="69" t="n"/>
      <c r="P64" s="111" t="n"/>
      <c r="Q64" s="111" t="n"/>
      <c r="R64" s="111" t="n"/>
      <c r="S64" s="111" t="n"/>
      <c r="T64" s="111" t="n"/>
      <c r="U64" s="111" t="n"/>
      <c r="V64" s="111" t="n"/>
      <c r="W64" s="111" t="n"/>
      <c r="X64" s="111" t="n"/>
      <c r="Y64" s="111" t="n"/>
      <c r="Z64" s="111" t="n"/>
      <c r="AA64" s="111" t="n"/>
      <c r="AB64" s="111" t="n"/>
      <c r="AC64" s="111" t="n"/>
      <c r="AD64" s="111" t="n"/>
      <c r="AE64" s="111" t="n"/>
      <c r="AF64" s="111" t="n"/>
      <c r="AG64" s="111" t="n"/>
      <c r="AH64" s="111" t="n"/>
      <c r="AI64" s="111" t="n"/>
      <c r="AJ64" s="111" t="n"/>
      <c r="AK64" s="111" t="n"/>
      <c r="AL64" s="111" t="n"/>
      <c r="AM64" s="111" t="n"/>
      <c r="AN64" s="111" t="n"/>
      <c r="AO64" s="111" t="n"/>
      <c r="AP64" s="111" t="n"/>
      <c r="AQ64" s="111" t="n"/>
      <c r="AR64" s="111" t="n"/>
      <c r="AS64" s="111" t="n"/>
      <c r="AT64" s="111" t="n"/>
      <c r="AU64" s="111" t="n"/>
      <c r="AV64" s="111" t="n"/>
      <c r="AW64" s="111" t="n"/>
      <c r="AX64" s="111" t="n"/>
      <c r="AY64" s="111" t="n"/>
      <c r="AZ64" s="111" t="n"/>
      <c r="BA64" s="111" t="n"/>
      <c r="BB64" s="111" t="n"/>
      <c r="BC64" s="111" t="n"/>
      <c r="BD64" s="111" t="n"/>
      <c r="BE64" s="111" t="n"/>
      <c r="BF64" s="111" t="n"/>
      <c r="BG64" s="111" t="n"/>
      <c r="BH64" s="111" t="n"/>
      <c r="BI64" s="111" t="n"/>
      <c r="BJ64" s="111" t="n"/>
      <c r="BK64" s="111" t="n"/>
      <c r="BL64" s="111" t="n"/>
      <c r="BM64" s="111" t="n"/>
      <c r="BN64" s="111" t="n"/>
      <c r="BO64" s="111" t="n"/>
      <c r="BP64" s="111" t="n"/>
      <c r="BQ64" s="111" t="n"/>
      <c r="BR64" s="111" t="n"/>
      <c r="BS64" s="111" t="n"/>
      <c r="BT64" s="111" t="n"/>
      <c r="BU64" s="111" t="n"/>
      <c r="BV64" s="111" t="n"/>
      <c r="BW64" s="111" t="n"/>
      <c r="BX64" s="111" t="n"/>
      <c r="BY64" s="111" t="n"/>
      <c r="BZ64" s="111" t="n"/>
      <c r="CA64" s="111" t="n"/>
      <c r="CB64" s="111" t="n"/>
      <c r="CC64" s="111" t="n"/>
      <c r="CD64" s="111" t="n"/>
      <c r="CE64" s="111" t="n"/>
      <c r="CF64" s="111" t="n"/>
      <c r="CG64" s="111" t="n"/>
      <c r="CH64" s="111" t="n"/>
      <c r="CI64" s="111" t="n"/>
      <c r="CJ64" s="111" t="n"/>
      <c r="CK64" s="111" t="n"/>
      <c r="CL64" s="111" t="n"/>
      <c r="CM64" s="111" t="n"/>
      <c r="CN64" s="111" t="n"/>
      <c r="CO64" s="111" t="n"/>
      <c r="CP64" s="111" t="n"/>
      <c r="CQ64" s="111" t="n"/>
      <c r="CR64" s="111" t="n"/>
      <c r="CS64" s="111" t="n"/>
      <c r="CT64" s="111" t="n"/>
      <c r="CU64" s="111" t="n"/>
      <c r="CV64" s="111" t="n"/>
      <c r="CW64" s="111" t="n"/>
      <c r="CX64" s="111" t="n"/>
      <c r="CY64" s="111" t="n"/>
      <c r="CZ64" s="111" t="n"/>
      <c r="DA64" s="111" t="n"/>
      <c r="DB64" s="111" t="n"/>
      <c r="DC64" s="111" t="n"/>
      <c r="DD64" s="111" t="n"/>
      <c r="DE64" s="111" t="n"/>
      <c r="DF64" s="111" t="n"/>
      <c r="DG64" s="111" t="n"/>
      <c r="DH64" s="111" t="n"/>
      <c r="DI64" s="111" t="n"/>
      <c r="DJ64" s="111" t="n"/>
      <c r="DK64" s="111" t="n"/>
      <c r="DL64" s="111" t="n"/>
      <c r="DM64" s="111" t="n"/>
      <c r="DN64" s="111" t="n"/>
      <c r="DO64" s="111" t="n"/>
      <c r="DP64" s="111" t="n"/>
      <c r="DQ64" s="111" t="n"/>
      <c r="DR64" s="111" t="n"/>
      <c r="DS64" s="111" t="n"/>
      <c r="DT64" s="111" t="n"/>
      <c r="DU64" s="111" t="n"/>
      <c r="DV64" s="111" t="n"/>
      <c r="DW64" s="111" t="n"/>
      <c r="DX64" s="111" t="n"/>
      <c r="DY64" s="111" t="n"/>
      <c r="DZ64" s="111" t="n"/>
      <c r="EA64" s="111" t="n"/>
      <c r="EB64" s="111" t="n"/>
      <c r="EC64" s="111" t="n"/>
      <c r="ED64" s="111" t="n"/>
      <c r="EE64" s="111" t="n"/>
      <c r="EF64" s="111" t="n"/>
      <c r="EG64" s="111" t="n"/>
      <c r="EH64" s="111" t="n"/>
      <c r="EI64" s="111" t="n"/>
      <c r="EJ64" s="111" t="n"/>
      <c r="EK64" s="111" t="n"/>
      <c r="EL64" s="111" t="n"/>
      <c r="EM64" s="111" t="n"/>
      <c r="EN64" s="111" t="n"/>
      <c r="EO64" s="111" t="n"/>
      <c r="EP64" s="111" t="n"/>
      <c r="EQ64" s="111" t="n"/>
      <c r="ER64" s="111" t="n"/>
      <c r="ES64" s="111" t="n"/>
      <c r="ET64" s="111" t="n"/>
      <c r="EU64" s="111" t="n"/>
      <c r="EV64" s="111" t="n"/>
      <c r="EW64" s="111" t="n"/>
      <c r="EX64" s="111" t="n"/>
      <c r="EY64" s="111" t="n"/>
      <c r="EZ64" s="111" t="n"/>
      <c r="FA64" s="111" t="n"/>
      <c r="FB64" s="111" t="n"/>
      <c r="FC64" s="111" t="n"/>
      <c r="FD64" s="111" t="n"/>
      <c r="FE64" s="111" t="n"/>
      <c r="FF64" s="111" t="n"/>
      <c r="FG64" s="111" t="n"/>
      <c r="FH64" s="111" t="n"/>
      <c r="FI64" s="111" t="n"/>
      <c r="FJ64" s="111" t="n"/>
      <c r="FK64" s="111" t="n"/>
      <c r="FL64" s="111" t="n"/>
      <c r="FM64" s="111" t="n"/>
      <c r="FN64" s="111" t="n"/>
      <c r="FO64" s="111" t="n"/>
      <c r="FP64" s="111" t="n"/>
      <c r="FQ64" s="111" t="n"/>
      <c r="FR64" s="111" t="n"/>
      <c r="FS64" s="111" t="n"/>
      <c r="FT64" s="111" t="n"/>
      <c r="FU64" s="111" t="n"/>
      <c r="FV64" s="111" t="n"/>
      <c r="FW64" s="111" t="n"/>
      <c r="FX64" s="111" t="n"/>
      <c r="FY64" s="111" t="n"/>
      <c r="FZ64" s="111" t="n"/>
      <c r="GA64" s="111" t="n"/>
      <c r="GB64" s="111" t="n"/>
      <c r="GC64" s="111" t="n"/>
      <c r="GD64" s="111" t="n"/>
      <c r="GE64" s="111" t="n"/>
      <c r="GF64" s="111" t="n"/>
      <c r="GG64" s="111" t="n"/>
      <c r="GH64" s="111" t="n"/>
      <c r="GI64" s="111" t="n"/>
      <c r="GJ64" s="111" t="n"/>
      <c r="GK64" s="111" t="n"/>
      <c r="GL64" s="111" t="n"/>
      <c r="GM64" s="111" t="n"/>
      <c r="GN64" s="111" t="n"/>
      <c r="GO64" s="111" t="n"/>
      <c r="GP64" s="111" t="n"/>
      <c r="GQ64" s="111" t="n"/>
      <c r="GR64" s="111" t="n"/>
      <c r="GS64" s="111" t="n"/>
      <c r="GT64" s="111" t="n"/>
      <c r="GU64" s="111" t="n"/>
      <c r="GV64" s="111" t="n"/>
      <c r="GW64" s="111" t="n"/>
      <c r="GX64" s="111" t="n"/>
      <c r="GY64" s="111" t="n"/>
      <c r="GZ64" s="111" t="n"/>
      <c r="HA64" s="111" t="n"/>
      <c r="HB64" s="111" t="n"/>
      <c r="HC64" s="111" t="n"/>
      <c r="HD64" s="111" t="n"/>
      <c r="HE64" s="111" t="n"/>
      <c r="HF64" s="111" t="n"/>
      <c r="HG64" s="111" t="n"/>
      <c r="HH64" s="111" t="n"/>
      <c r="HI64" s="111" t="n"/>
      <c r="HJ64" s="111" t="n"/>
      <c r="HK64" s="111" t="n"/>
      <c r="HL64" s="111" t="n"/>
      <c r="HM64" s="111" t="n"/>
      <c r="HN64" s="111" t="n"/>
      <c r="HO64" s="111" t="n"/>
      <c r="HP64" s="111" t="n"/>
      <c r="HQ64" s="111" t="n"/>
      <c r="HR64" s="111" t="n"/>
      <c r="HS64" s="111" t="n"/>
      <c r="HT64" s="111" t="n"/>
      <c r="HU64" s="111" t="n"/>
      <c r="HV64" s="111" t="n"/>
      <c r="HW64" s="111" t="n"/>
      <c r="HX64" s="111" t="n"/>
      <c r="HY64" s="111" t="n"/>
      <c r="HZ64" s="111" t="n"/>
      <c r="IA64" s="111" t="n"/>
      <c r="IB64" s="111" t="n"/>
      <c r="IC64" s="111" t="n"/>
      <c r="ID64" s="111" t="n"/>
      <c r="IE64" s="111" t="n"/>
      <c r="IF64" s="111" t="n"/>
      <c r="IG64" s="111" t="n"/>
      <c r="IH64" s="111" t="n"/>
      <c r="II64" s="111" t="n"/>
      <c r="IJ64" s="111" t="n"/>
      <c r="IK64" s="111" t="n"/>
      <c r="IL64" s="111" t="n"/>
      <c r="IM64" s="111" t="n"/>
      <c r="IN64" s="111" t="n"/>
      <c r="IO64" s="111" t="n"/>
      <c r="IP64" s="111" t="n"/>
      <c r="IQ64" s="111" t="n"/>
      <c r="IR64" s="111" t="n"/>
      <c r="IS64" s="111" t="n"/>
      <c r="IT64" s="111" t="n"/>
      <c r="IU64" s="111" t="n"/>
      <c r="IV64" s="111" t="n"/>
      <c r="IW64" s="111" t="n"/>
      <c r="IX64" s="111" t="n"/>
      <c r="IY64" s="111" t="n"/>
      <c r="IZ64" s="111" t="n"/>
      <c r="JA64" s="111" t="n"/>
      <c r="JB64" s="111" t="n"/>
      <c r="JC64" s="111" t="n"/>
      <c r="JD64" s="111" t="n"/>
      <c r="JE64" s="111" t="n"/>
      <c r="JF64" s="111" t="n"/>
      <c r="JG64" s="111" t="n"/>
      <c r="JH64" s="111" t="n"/>
      <c r="JI64" s="111" t="n"/>
      <c r="JJ64" s="111" t="n"/>
      <c r="JK64" s="111" t="n"/>
      <c r="JL64" s="111" t="n"/>
      <c r="JM64" s="111" t="n"/>
      <c r="JN64" s="111" t="n"/>
      <c r="JO64" s="111" t="n"/>
      <c r="JP64" s="111" t="n"/>
      <c r="JQ64" s="111" t="n"/>
      <c r="JR64" s="111" t="n"/>
      <c r="JS64" s="111" t="n"/>
      <c r="JT64" s="111" t="n"/>
      <c r="JU64" s="111" t="n"/>
      <c r="JV64" s="111" t="n"/>
      <c r="JW64" s="111" t="n"/>
      <c r="JX64" s="111" t="n"/>
      <c r="JY64" s="111" t="n"/>
      <c r="JZ64" s="111" t="n"/>
      <c r="KA64" s="111" t="n"/>
      <c r="KB64" s="111" t="n"/>
      <c r="KC64" s="111" t="n"/>
      <c r="KD64" s="111" t="n"/>
      <c r="KE64" s="111" t="n"/>
      <c r="KF64" s="111" t="n"/>
      <c r="KG64" s="111" t="n"/>
      <c r="KH64" s="111" t="n"/>
      <c r="KI64" s="111" t="n"/>
      <c r="KJ64" s="111" t="n"/>
      <c r="KK64" s="111" t="n"/>
      <c r="KL64" s="111" t="n"/>
      <c r="KM64" s="111" t="n"/>
      <c r="KN64" s="111" t="n"/>
      <c r="KO64" s="111" t="n"/>
      <c r="KP64" s="111" t="n"/>
      <c r="KQ64" s="111" t="n"/>
      <c r="KR64" s="111" t="n"/>
      <c r="KS64" s="111" t="n"/>
      <c r="KT64" s="111" t="n"/>
      <c r="KU64" s="111" t="n"/>
      <c r="KV64" s="111" t="n"/>
      <c r="KW64" s="111" t="n"/>
      <c r="KX64" s="111" t="n"/>
      <c r="KY64" s="111" t="n"/>
      <c r="KZ64" s="111" t="n"/>
      <c r="LA64" s="111" t="n"/>
      <c r="LB64" s="111" t="n"/>
      <c r="LC64" s="111" t="n"/>
      <c r="LD64" s="111" t="n"/>
      <c r="LE64" s="111" t="n"/>
      <c r="LF64" s="111" t="n"/>
      <c r="LG64" s="111" t="n"/>
      <c r="LH64" s="111" t="n"/>
      <c r="LI64" s="111" t="n"/>
      <c r="LJ64" s="111" t="n"/>
      <c r="LK64" s="111" t="n"/>
      <c r="LL64" s="111" t="n"/>
      <c r="LM64" s="111" t="n"/>
      <c r="LN64" s="111" t="n"/>
      <c r="LO64" s="111" t="n"/>
      <c r="LP64" s="111" t="n"/>
      <c r="LQ64" s="111" t="n"/>
      <c r="LR64" s="111" t="n"/>
      <c r="LS64" s="111" t="n"/>
      <c r="LT64" s="111" t="n"/>
      <c r="LU64" s="111" t="n"/>
      <c r="LV64" s="111" t="n"/>
      <c r="LW64" s="111" t="n"/>
      <c r="LX64" s="111" t="n"/>
      <c r="LY64" s="111" t="n"/>
      <c r="LZ64" s="111" t="n"/>
      <c r="MA64" s="111" t="n"/>
      <c r="MB64" s="111" t="n"/>
      <c r="MC64" s="111" t="n"/>
      <c r="MD64" s="111" t="n"/>
      <c r="ME64" s="111" t="n"/>
      <c r="MF64" s="111" t="n"/>
      <c r="MG64" s="111" t="n"/>
      <c r="MH64" s="111" t="n"/>
      <c r="MI64" s="111" t="n"/>
      <c r="MJ64" s="111" t="n"/>
      <c r="MK64" s="111" t="n"/>
      <c r="ML64" s="111" t="n"/>
      <c r="MM64" s="111" t="n"/>
      <c r="MN64" s="111" t="n"/>
      <c r="MO64" s="111" t="n"/>
      <c r="MP64" s="111" t="n"/>
      <c r="MQ64" s="111" t="n"/>
      <c r="MR64" s="111" t="n"/>
      <c r="MS64" s="111" t="n"/>
      <c r="MT64" s="111" t="n"/>
      <c r="MU64" s="111" t="n"/>
      <c r="MV64" s="111" t="n"/>
      <c r="MW64" s="111" t="n"/>
      <c r="MX64" s="111" t="n"/>
      <c r="MY64" s="111" t="n"/>
      <c r="MZ64" s="111" t="n"/>
      <c r="NA64" s="111" t="n"/>
      <c r="NB64" s="111" t="n"/>
      <c r="NC64" s="111" t="n"/>
      <c r="ND64" s="111" t="n"/>
      <c r="NE64" s="111" t="n"/>
      <c r="NF64" s="111" t="n"/>
      <c r="NG64" s="111" t="n"/>
      <c r="NH64" s="111" t="n"/>
      <c r="NI64" s="111" t="n"/>
      <c r="NJ64" s="111" t="n"/>
      <c r="NK64" s="111" t="n"/>
      <c r="NL64" s="111" t="n"/>
      <c r="NM64" s="111" t="n"/>
      <c r="NN64" s="111" t="n"/>
      <c r="NO64" s="111" t="n"/>
    </row>
    <row r="65" ht="11.25" customFormat="1" customHeight="1" s="119">
      <c r="A65" s="119" t="inlineStr">
        <is>
          <t>Use the rows listed below by Copying/Pasting the entire row, or the cells from columns C through O.</t>
        </is>
      </c>
      <c r="B65" s="119" t="n"/>
      <c r="C65" s="119" t="n"/>
      <c r="D65" s="119" t="n"/>
      <c r="E65" s="119" t="n"/>
      <c r="F65" s="119" t="n"/>
      <c r="G65" s="119" t="n"/>
      <c r="H65" s="119" t="n"/>
      <c r="I65" s="119" t="n"/>
      <c r="J65" s="119" t="n"/>
      <c r="K65" s="119" t="n"/>
      <c r="L65" s="119" t="n"/>
      <c r="M65" s="119" t="n"/>
      <c r="N65" s="119" t="n"/>
      <c r="O65" s="69" t="n"/>
      <c r="P65" s="111" t="n"/>
      <c r="Q65" s="111" t="n"/>
      <c r="R65" s="111" t="n"/>
      <c r="S65" s="111" t="n"/>
      <c r="T65" s="111" t="n"/>
      <c r="U65" s="111" t="n"/>
      <c r="V65" s="111" t="n"/>
      <c r="W65" s="111" t="n"/>
      <c r="X65" s="111" t="n"/>
      <c r="Y65" s="111" t="n"/>
      <c r="Z65" s="111" t="n"/>
      <c r="AA65" s="111" t="n"/>
      <c r="AB65" s="111" t="n"/>
      <c r="AC65" s="111" t="n"/>
      <c r="AD65" s="111" t="n"/>
      <c r="AE65" s="111" t="n"/>
      <c r="AF65" s="111" t="n"/>
      <c r="AG65" s="111" t="n"/>
      <c r="AH65" s="111" t="n"/>
      <c r="AI65" s="111" t="n"/>
      <c r="AJ65" s="111" t="n"/>
      <c r="AK65" s="111" t="n"/>
      <c r="AL65" s="111" t="n"/>
      <c r="AM65" s="111" t="n"/>
      <c r="AN65" s="111" t="n"/>
      <c r="AO65" s="111" t="n"/>
      <c r="AP65" s="111" t="n"/>
      <c r="AQ65" s="111" t="n"/>
      <c r="AR65" s="111" t="n"/>
      <c r="AS65" s="111" t="n"/>
      <c r="AT65" s="111" t="n"/>
      <c r="AU65" s="111" t="n"/>
      <c r="AV65" s="111" t="n"/>
      <c r="AW65" s="111" t="n"/>
      <c r="AX65" s="111" t="n"/>
      <c r="AY65" s="111" t="n"/>
      <c r="AZ65" s="111" t="n"/>
      <c r="BA65" s="111" t="n"/>
      <c r="BB65" s="111" t="n"/>
      <c r="BC65" s="111" t="n"/>
      <c r="BD65" s="111" t="n"/>
      <c r="BE65" s="111" t="n"/>
      <c r="BF65" s="111" t="n"/>
      <c r="BG65" s="111" t="n"/>
      <c r="BH65" s="111" t="n"/>
      <c r="BI65" s="111" t="n"/>
      <c r="BJ65" s="111" t="n"/>
      <c r="BK65" s="111" t="n"/>
      <c r="BL65" s="111" t="n"/>
      <c r="BM65" s="111" t="n"/>
      <c r="BN65" s="111" t="n"/>
      <c r="BO65" s="111" t="n"/>
      <c r="BP65" s="111" t="n"/>
      <c r="BQ65" s="111" t="n"/>
      <c r="BR65" s="111" t="n"/>
      <c r="BS65" s="111" t="n"/>
      <c r="BT65" s="111" t="n"/>
      <c r="BU65" s="111" t="n"/>
      <c r="BV65" s="111" t="n"/>
      <c r="BW65" s="111" t="n"/>
      <c r="BX65" s="111" t="n"/>
      <c r="BY65" s="111" t="n"/>
      <c r="BZ65" s="111" t="n"/>
      <c r="CA65" s="111" t="n"/>
      <c r="CB65" s="111" t="n"/>
      <c r="CC65" s="111" t="n"/>
      <c r="CD65" s="111" t="n"/>
      <c r="CE65" s="111" t="n"/>
      <c r="CF65" s="111" t="n"/>
      <c r="CG65" s="111" t="n"/>
      <c r="CH65" s="111" t="n"/>
      <c r="CI65" s="111" t="n"/>
      <c r="CJ65" s="111" t="n"/>
      <c r="CK65" s="111" t="n"/>
      <c r="CL65" s="111" t="n"/>
      <c r="CM65" s="111" t="n"/>
      <c r="CN65" s="111" t="n"/>
      <c r="CO65" s="111" t="n"/>
      <c r="CP65" s="111" t="n"/>
      <c r="CQ65" s="111" t="n"/>
      <c r="CR65" s="111" t="n"/>
      <c r="CS65" s="111" t="n"/>
      <c r="CT65" s="111" t="n"/>
      <c r="CU65" s="111" t="n"/>
      <c r="CV65" s="111" t="n"/>
      <c r="CW65" s="111" t="n"/>
      <c r="CX65" s="111" t="n"/>
      <c r="CY65" s="111" t="n"/>
      <c r="CZ65" s="111" t="n"/>
      <c r="DA65" s="111" t="n"/>
      <c r="DB65" s="111" t="n"/>
      <c r="DC65" s="111" t="n"/>
      <c r="DD65" s="111" t="n"/>
      <c r="DE65" s="111" t="n"/>
      <c r="DF65" s="111" t="n"/>
      <c r="DG65" s="111" t="n"/>
      <c r="DH65" s="111" t="n"/>
      <c r="DI65" s="111" t="n"/>
      <c r="DJ65" s="111" t="n"/>
      <c r="DK65" s="111" t="n"/>
      <c r="DL65" s="111" t="n"/>
      <c r="DM65" s="111" t="n"/>
      <c r="DN65" s="111" t="n"/>
      <c r="DO65" s="111" t="n"/>
      <c r="DP65" s="111" t="n"/>
      <c r="DQ65" s="111" t="n"/>
      <c r="DR65" s="111" t="n"/>
      <c r="DS65" s="111" t="n"/>
      <c r="DT65" s="111" t="n"/>
      <c r="DU65" s="111" t="n"/>
      <c r="DV65" s="111" t="n"/>
      <c r="DW65" s="111" t="n"/>
      <c r="DX65" s="111" t="n"/>
      <c r="DY65" s="111" t="n"/>
      <c r="DZ65" s="111" t="n"/>
      <c r="EA65" s="111" t="n"/>
      <c r="EB65" s="111" t="n"/>
      <c r="EC65" s="111" t="n"/>
      <c r="ED65" s="111" t="n"/>
      <c r="EE65" s="111" t="n"/>
      <c r="EF65" s="111" t="n"/>
      <c r="EG65" s="111" t="n"/>
      <c r="EH65" s="111" t="n"/>
      <c r="EI65" s="111" t="n"/>
      <c r="EJ65" s="111" t="n"/>
      <c r="EK65" s="111" t="n"/>
      <c r="EL65" s="111" t="n"/>
      <c r="EM65" s="111" t="n"/>
      <c r="EN65" s="111" t="n"/>
      <c r="EO65" s="111" t="n"/>
      <c r="EP65" s="111" t="n"/>
      <c r="EQ65" s="111" t="n"/>
      <c r="ER65" s="111" t="n"/>
      <c r="ES65" s="111" t="n"/>
      <c r="ET65" s="111" t="n"/>
      <c r="EU65" s="111" t="n"/>
      <c r="EV65" s="111" t="n"/>
      <c r="EW65" s="111" t="n"/>
      <c r="EX65" s="111" t="n"/>
      <c r="EY65" s="111" t="n"/>
      <c r="EZ65" s="111" t="n"/>
      <c r="FA65" s="111" t="n"/>
      <c r="FB65" s="111" t="n"/>
      <c r="FC65" s="111" t="n"/>
      <c r="FD65" s="111" t="n"/>
      <c r="FE65" s="111" t="n"/>
      <c r="FF65" s="111" t="n"/>
      <c r="FG65" s="111" t="n"/>
      <c r="FH65" s="111" t="n"/>
      <c r="FI65" s="111" t="n"/>
      <c r="FJ65" s="111" t="n"/>
      <c r="FK65" s="111" t="n"/>
      <c r="FL65" s="111" t="n"/>
      <c r="FM65" s="111" t="n"/>
      <c r="FN65" s="111" t="n"/>
      <c r="FO65" s="111" t="n"/>
      <c r="FP65" s="111" t="n"/>
      <c r="FQ65" s="111" t="n"/>
      <c r="FR65" s="111" t="n"/>
      <c r="FS65" s="111" t="n"/>
      <c r="FT65" s="111" t="n"/>
      <c r="FU65" s="111" t="n"/>
      <c r="FV65" s="111" t="n"/>
      <c r="FW65" s="111" t="n"/>
      <c r="FX65" s="111" t="n"/>
      <c r="FY65" s="111" t="n"/>
      <c r="FZ65" s="111" t="n"/>
      <c r="GA65" s="111" t="n"/>
      <c r="GB65" s="111" t="n"/>
      <c r="GC65" s="111" t="n"/>
      <c r="GD65" s="111" t="n"/>
      <c r="GE65" s="111" t="n"/>
      <c r="GF65" s="111" t="n"/>
      <c r="GG65" s="111" t="n"/>
      <c r="GH65" s="111" t="n"/>
      <c r="GI65" s="111" t="n"/>
      <c r="GJ65" s="111" t="n"/>
      <c r="GK65" s="111" t="n"/>
      <c r="GL65" s="111" t="n"/>
      <c r="GM65" s="111" t="n"/>
      <c r="GN65" s="111" t="n"/>
      <c r="GO65" s="111" t="n"/>
      <c r="GP65" s="111" t="n"/>
      <c r="GQ65" s="111" t="n"/>
      <c r="GR65" s="111" t="n"/>
      <c r="GS65" s="111" t="n"/>
      <c r="GT65" s="111" t="n"/>
      <c r="GU65" s="111" t="n"/>
      <c r="GV65" s="111" t="n"/>
      <c r="GW65" s="111" t="n"/>
      <c r="GX65" s="111" t="n"/>
      <c r="GY65" s="111" t="n"/>
      <c r="GZ65" s="111" t="n"/>
      <c r="HA65" s="111" t="n"/>
      <c r="HB65" s="111" t="n"/>
      <c r="HC65" s="111" t="n"/>
      <c r="HD65" s="111" t="n"/>
      <c r="HE65" s="111" t="n"/>
      <c r="HF65" s="111" t="n"/>
      <c r="HG65" s="111" t="n"/>
      <c r="HH65" s="111" t="n"/>
      <c r="HI65" s="111" t="n"/>
      <c r="HJ65" s="111" t="n"/>
      <c r="HK65" s="111" t="n"/>
      <c r="HL65" s="111" t="n"/>
      <c r="HM65" s="111" t="n"/>
      <c r="HN65" s="111" t="n"/>
      <c r="HO65" s="111" t="n"/>
      <c r="HP65" s="111" t="n"/>
      <c r="HQ65" s="111" t="n"/>
      <c r="HR65" s="111" t="n"/>
      <c r="HS65" s="111" t="n"/>
      <c r="HT65" s="111" t="n"/>
      <c r="HU65" s="111" t="n"/>
      <c r="HV65" s="111" t="n"/>
      <c r="HW65" s="111" t="n"/>
      <c r="HX65" s="111" t="n"/>
      <c r="HY65" s="111" t="n"/>
      <c r="HZ65" s="111" t="n"/>
      <c r="IA65" s="111" t="n"/>
      <c r="IB65" s="111" t="n"/>
      <c r="IC65" s="111" t="n"/>
      <c r="ID65" s="111" t="n"/>
      <c r="IE65" s="111" t="n"/>
      <c r="IF65" s="111" t="n"/>
      <c r="IG65" s="111" t="n"/>
      <c r="IH65" s="111" t="n"/>
      <c r="II65" s="111" t="n"/>
      <c r="IJ65" s="111" t="n"/>
      <c r="IK65" s="111" t="n"/>
      <c r="IL65" s="111" t="n"/>
      <c r="IM65" s="111" t="n"/>
      <c r="IN65" s="111" t="n"/>
      <c r="IO65" s="111" t="n"/>
      <c r="IP65" s="111" t="n"/>
      <c r="IQ65" s="111" t="n"/>
      <c r="IR65" s="111" t="n"/>
      <c r="IS65" s="111" t="n"/>
      <c r="IT65" s="111" t="n"/>
      <c r="IU65" s="111" t="n"/>
      <c r="IV65" s="111" t="n"/>
      <c r="IW65" s="111" t="n"/>
      <c r="IX65" s="111" t="n"/>
      <c r="IY65" s="111" t="n"/>
      <c r="IZ65" s="111" t="n"/>
      <c r="JA65" s="111" t="n"/>
      <c r="JB65" s="111" t="n"/>
      <c r="JC65" s="111" t="n"/>
      <c r="JD65" s="111" t="n"/>
      <c r="JE65" s="111" t="n"/>
      <c r="JF65" s="111" t="n"/>
      <c r="JG65" s="111" t="n"/>
      <c r="JH65" s="111" t="n"/>
      <c r="JI65" s="111" t="n"/>
      <c r="JJ65" s="111" t="n"/>
      <c r="JK65" s="111" t="n"/>
      <c r="JL65" s="111" t="n"/>
      <c r="JM65" s="111" t="n"/>
      <c r="JN65" s="111" t="n"/>
      <c r="JO65" s="111" t="n"/>
      <c r="JP65" s="111" t="n"/>
      <c r="JQ65" s="111" t="n"/>
      <c r="JR65" s="111" t="n"/>
      <c r="JS65" s="111" t="n"/>
      <c r="JT65" s="111" t="n"/>
      <c r="JU65" s="111" t="n"/>
      <c r="JV65" s="111" t="n"/>
      <c r="JW65" s="111" t="n"/>
      <c r="JX65" s="111" t="n"/>
      <c r="JY65" s="111" t="n"/>
      <c r="JZ65" s="111" t="n"/>
      <c r="KA65" s="111" t="n"/>
      <c r="KB65" s="111" t="n"/>
      <c r="KC65" s="111" t="n"/>
      <c r="KD65" s="111" t="n"/>
      <c r="KE65" s="111" t="n"/>
      <c r="KF65" s="111" t="n"/>
      <c r="KG65" s="111" t="n"/>
      <c r="KH65" s="111" t="n"/>
      <c r="KI65" s="111" t="n"/>
      <c r="KJ65" s="111" t="n"/>
      <c r="KK65" s="111" t="n"/>
      <c r="KL65" s="111" t="n"/>
      <c r="KM65" s="111" t="n"/>
      <c r="KN65" s="111" t="n"/>
      <c r="KO65" s="111" t="n"/>
      <c r="KP65" s="111" t="n"/>
      <c r="KQ65" s="111" t="n"/>
      <c r="KR65" s="111" t="n"/>
      <c r="KS65" s="111" t="n"/>
      <c r="KT65" s="111" t="n"/>
      <c r="KU65" s="111" t="n"/>
      <c r="KV65" s="111" t="n"/>
      <c r="KW65" s="111" t="n"/>
      <c r="KX65" s="111" t="n"/>
      <c r="KY65" s="111" t="n"/>
      <c r="KZ65" s="111" t="n"/>
      <c r="LA65" s="111" t="n"/>
      <c r="LB65" s="111" t="n"/>
      <c r="LC65" s="111" t="n"/>
      <c r="LD65" s="111" t="n"/>
      <c r="LE65" s="111" t="n"/>
      <c r="LF65" s="111" t="n"/>
      <c r="LG65" s="111" t="n"/>
      <c r="LH65" s="111" t="n"/>
      <c r="LI65" s="111" t="n"/>
      <c r="LJ65" s="111" t="n"/>
      <c r="LK65" s="111" t="n"/>
      <c r="LL65" s="111" t="n"/>
      <c r="LM65" s="111" t="n"/>
      <c r="LN65" s="111" t="n"/>
      <c r="LO65" s="111" t="n"/>
      <c r="LP65" s="111" t="n"/>
      <c r="LQ65" s="111" t="n"/>
      <c r="LR65" s="111" t="n"/>
      <c r="LS65" s="111" t="n"/>
      <c r="LT65" s="111" t="n"/>
      <c r="LU65" s="111" t="n"/>
      <c r="LV65" s="111" t="n"/>
      <c r="LW65" s="111" t="n"/>
      <c r="LX65" s="111" t="n"/>
      <c r="LY65" s="111" t="n"/>
      <c r="LZ65" s="111" t="n"/>
      <c r="MA65" s="111" t="n"/>
      <c r="MB65" s="111" t="n"/>
      <c r="MC65" s="111" t="n"/>
      <c r="MD65" s="111" t="n"/>
      <c r="ME65" s="111" t="n"/>
      <c r="MF65" s="111" t="n"/>
      <c r="MG65" s="111" t="n"/>
      <c r="MH65" s="111" t="n"/>
      <c r="MI65" s="111" t="n"/>
      <c r="MJ65" s="111" t="n"/>
      <c r="MK65" s="111" t="n"/>
      <c r="ML65" s="111" t="n"/>
      <c r="MM65" s="111" t="n"/>
      <c r="MN65" s="111" t="n"/>
      <c r="MO65" s="111" t="n"/>
      <c r="MP65" s="111" t="n"/>
      <c r="MQ65" s="111" t="n"/>
      <c r="MR65" s="111" t="n"/>
      <c r="MS65" s="111" t="n"/>
      <c r="MT65" s="111" t="n"/>
      <c r="MU65" s="111" t="n"/>
      <c r="MV65" s="111" t="n"/>
      <c r="MW65" s="111" t="n"/>
      <c r="MX65" s="111" t="n"/>
      <c r="MY65" s="111" t="n"/>
      <c r="MZ65" s="111" t="n"/>
      <c r="NA65" s="111" t="n"/>
      <c r="NB65" s="111" t="n"/>
      <c r="NC65" s="111" t="n"/>
      <c r="ND65" s="111" t="n"/>
      <c r="NE65" s="111" t="n"/>
      <c r="NF65" s="111" t="n"/>
      <c r="NG65" s="111" t="n"/>
      <c r="NH65" s="111" t="n"/>
      <c r="NI65" s="111" t="n"/>
      <c r="NJ65" s="111" t="n"/>
      <c r="NK65" s="111" t="n"/>
      <c r="NL65" s="111" t="n"/>
      <c r="NM65" s="111" t="n"/>
      <c r="NN65" s="111" t="n"/>
      <c r="NO65" s="111" t="n"/>
    </row>
    <row r="66" ht="11.25" customFormat="1" customHeight="1" s="119">
      <c r="A66" s="119" t="inlineStr">
        <is>
          <t>To change the WBS level, you only need to copy &amp; paste the relevant WBS cell in column A.</t>
        </is>
      </c>
      <c r="B66" s="119" t="n"/>
      <c r="C66" s="119" t="n"/>
      <c r="D66" s="119" t="n"/>
      <c r="E66" s="119" t="n"/>
      <c r="F66" s="119" t="n"/>
      <c r="G66" s="119" t="n"/>
      <c r="H66" s="119" t="n"/>
      <c r="I66" s="119" t="n"/>
      <c r="J66" s="119" t="n"/>
      <c r="K66" s="119" t="n"/>
      <c r="L66" s="119" t="n"/>
      <c r="M66" s="119" t="n"/>
      <c r="N66" s="119" t="n"/>
      <c r="O66" s="69" t="n"/>
      <c r="P66" s="111" t="n"/>
      <c r="Q66" s="111" t="n"/>
      <c r="R66" s="111" t="n"/>
      <c r="S66" s="111" t="n"/>
      <c r="T66" s="111" t="n"/>
      <c r="U66" s="111" t="n"/>
      <c r="V66" s="111" t="n"/>
      <c r="W66" s="111" t="n"/>
      <c r="X66" s="111" t="n"/>
      <c r="Y66" s="111" t="n"/>
      <c r="Z66" s="111" t="n"/>
      <c r="AA66" s="111" t="n"/>
      <c r="AB66" s="111" t="n"/>
      <c r="AC66" s="111" t="n"/>
      <c r="AD66" s="111" t="n"/>
      <c r="AE66" s="111" t="n"/>
      <c r="AF66" s="111" t="n"/>
      <c r="AG66" s="111" t="n"/>
      <c r="AH66" s="111" t="n"/>
      <c r="AI66" s="111" t="n"/>
      <c r="AJ66" s="111" t="n"/>
      <c r="AK66" s="111" t="n"/>
      <c r="AL66" s="111" t="n"/>
      <c r="AM66" s="111" t="n"/>
      <c r="AN66" s="111" t="n"/>
      <c r="AO66" s="111" t="n"/>
      <c r="AP66" s="111" t="n"/>
      <c r="AQ66" s="111" t="n"/>
      <c r="AR66" s="111" t="n"/>
      <c r="AS66" s="111" t="n"/>
      <c r="AT66" s="111" t="n"/>
      <c r="AU66" s="111" t="n"/>
      <c r="AV66" s="111" t="n"/>
      <c r="AW66" s="111" t="n"/>
      <c r="AX66" s="111" t="n"/>
      <c r="AY66" s="111" t="n"/>
      <c r="AZ66" s="111" t="n"/>
      <c r="BA66" s="111" t="n"/>
      <c r="BB66" s="111" t="n"/>
      <c r="BC66" s="111" t="n"/>
      <c r="BD66" s="111" t="n"/>
      <c r="BE66" s="111" t="n"/>
      <c r="BF66" s="111" t="n"/>
      <c r="BG66" s="111" t="n"/>
      <c r="BH66" s="111" t="n"/>
      <c r="BI66" s="111" t="n"/>
      <c r="BJ66" s="111" t="n"/>
      <c r="BK66" s="111" t="n"/>
      <c r="BL66" s="111" t="n"/>
      <c r="BM66" s="111" t="n"/>
      <c r="BN66" s="111" t="n"/>
      <c r="BO66" s="111" t="n"/>
      <c r="BP66" s="111" t="n"/>
      <c r="BQ66" s="111" t="n"/>
      <c r="BR66" s="111" t="n"/>
      <c r="BS66" s="111" t="n"/>
      <c r="BT66" s="111" t="n"/>
      <c r="BU66" s="111" t="n"/>
      <c r="BV66" s="111" t="n"/>
      <c r="BW66" s="111" t="n"/>
      <c r="BX66" s="111" t="n"/>
      <c r="BY66" s="111" t="n"/>
      <c r="BZ66" s="111" t="n"/>
      <c r="CA66" s="111" t="n"/>
      <c r="CB66" s="111" t="n"/>
      <c r="CC66" s="111" t="n"/>
      <c r="CD66" s="111" t="n"/>
      <c r="CE66" s="111" t="n"/>
      <c r="CF66" s="111" t="n"/>
      <c r="CG66" s="111" t="n"/>
      <c r="CH66" s="111" t="n"/>
      <c r="CI66" s="111" t="n"/>
      <c r="CJ66" s="111" t="n"/>
      <c r="CK66" s="111" t="n"/>
      <c r="CL66" s="111" t="n"/>
      <c r="CM66" s="111" t="n"/>
      <c r="CN66" s="111" t="n"/>
      <c r="CO66" s="111" t="n"/>
      <c r="CP66" s="111" t="n"/>
      <c r="CQ66" s="111" t="n"/>
      <c r="CR66" s="111" t="n"/>
      <c r="CS66" s="111" t="n"/>
      <c r="CT66" s="111" t="n"/>
      <c r="CU66" s="111" t="n"/>
      <c r="CV66" s="111" t="n"/>
      <c r="CW66" s="111" t="n"/>
      <c r="CX66" s="111" t="n"/>
      <c r="CY66" s="111" t="n"/>
      <c r="CZ66" s="111" t="n"/>
      <c r="DA66" s="111" t="n"/>
      <c r="DB66" s="111" t="n"/>
      <c r="DC66" s="111" t="n"/>
      <c r="DD66" s="111" t="n"/>
      <c r="DE66" s="111" t="n"/>
      <c r="DF66" s="111" t="n"/>
      <c r="DG66" s="111" t="n"/>
      <c r="DH66" s="111" t="n"/>
      <c r="DI66" s="111" t="n"/>
      <c r="DJ66" s="111" t="n"/>
      <c r="DK66" s="111" t="n"/>
      <c r="DL66" s="111" t="n"/>
      <c r="DM66" s="111" t="n"/>
      <c r="DN66" s="111" t="n"/>
      <c r="DO66" s="111" t="n"/>
      <c r="DP66" s="111" t="n"/>
      <c r="DQ66" s="111" t="n"/>
      <c r="DR66" s="111" t="n"/>
      <c r="DS66" s="111" t="n"/>
      <c r="DT66" s="111" t="n"/>
      <c r="DU66" s="111" t="n"/>
      <c r="DV66" s="111" t="n"/>
      <c r="DW66" s="111" t="n"/>
      <c r="DX66" s="111" t="n"/>
      <c r="DY66" s="111" t="n"/>
      <c r="DZ66" s="111" t="n"/>
      <c r="EA66" s="111" t="n"/>
      <c r="EB66" s="111" t="n"/>
      <c r="EC66" s="111" t="n"/>
      <c r="ED66" s="111" t="n"/>
      <c r="EE66" s="111" t="n"/>
      <c r="EF66" s="111" t="n"/>
      <c r="EG66" s="111" t="n"/>
      <c r="EH66" s="111" t="n"/>
      <c r="EI66" s="111" t="n"/>
      <c r="EJ66" s="111" t="n"/>
      <c r="EK66" s="111" t="n"/>
      <c r="EL66" s="111" t="n"/>
      <c r="EM66" s="111" t="n"/>
      <c r="EN66" s="111" t="n"/>
      <c r="EO66" s="111" t="n"/>
      <c r="EP66" s="111" t="n"/>
      <c r="EQ66" s="111" t="n"/>
      <c r="ER66" s="111" t="n"/>
      <c r="ES66" s="111" t="n"/>
      <c r="ET66" s="111" t="n"/>
      <c r="EU66" s="111" t="n"/>
      <c r="EV66" s="111" t="n"/>
      <c r="EW66" s="111" t="n"/>
      <c r="EX66" s="111" t="n"/>
      <c r="EY66" s="111" t="n"/>
      <c r="EZ66" s="111" t="n"/>
      <c r="FA66" s="111" t="n"/>
      <c r="FB66" s="111" t="n"/>
      <c r="FC66" s="111" t="n"/>
      <c r="FD66" s="111" t="n"/>
      <c r="FE66" s="111" t="n"/>
      <c r="FF66" s="111" t="n"/>
      <c r="FG66" s="111" t="n"/>
      <c r="FH66" s="111" t="n"/>
      <c r="FI66" s="111" t="n"/>
      <c r="FJ66" s="111" t="n"/>
      <c r="FK66" s="111" t="n"/>
      <c r="FL66" s="111" t="n"/>
      <c r="FM66" s="111" t="n"/>
      <c r="FN66" s="111" t="n"/>
      <c r="FO66" s="111" t="n"/>
      <c r="FP66" s="111" t="n"/>
      <c r="FQ66" s="111" t="n"/>
      <c r="FR66" s="111" t="n"/>
      <c r="FS66" s="111" t="n"/>
      <c r="FT66" s="111" t="n"/>
      <c r="FU66" s="111" t="n"/>
      <c r="FV66" s="111" t="n"/>
      <c r="FW66" s="111" t="n"/>
      <c r="FX66" s="111" t="n"/>
      <c r="FY66" s="111" t="n"/>
      <c r="FZ66" s="111" t="n"/>
      <c r="GA66" s="111" t="n"/>
      <c r="GB66" s="111" t="n"/>
      <c r="GC66" s="111" t="n"/>
      <c r="GD66" s="111" t="n"/>
      <c r="GE66" s="111" t="n"/>
      <c r="GF66" s="111" t="n"/>
      <c r="GG66" s="111" t="n"/>
      <c r="GH66" s="111" t="n"/>
      <c r="GI66" s="111" t="n"/>
      <c r="GJ66" s="111" t="n"/>
      <c r="GK66" s="111" t="n"/>
      <c r="GL66" s="111" t="n"/>
      <c r="GM66" s="111" t="n"/>
      <c r="GN66" s="111" t="n"/>
      <c r="GO66" s="111" t="n"/>
      <c r="GP66" s="111" t="n"/>
      <c r="GQ66" s="111" t="n"/>
      <c r="GR66" s="111" t="n"/>
      <c r="GS66" s="111" t="n"/>
      <c r="GT66" s="111" t="n"/>
      <c r="GU66" s="111" t="n"/>
      <c r="GV66" s="111" t="n"/>
      <c r="GW66" s="111" t="n"/>
      <c r="GX66" s="111" t="n"/>
      <c r="GY66" s="111" t="n"/>
      <c r="GZ66" s="111" t="n"/>
      <c r="HA66" s="111" t="n"/>
      <c r="HB66" s="111" t="n"/>
      <c r="HC66" s="111" t="n"/>
      <c r="HD66" s="111" t="n"/>
      <c r="HE66" s="111" t="n"/>
      <c r="HF66" s="111" t="n"/>
      <c r="HG66" s="111" t="n"/>
      <c r="HH66" s="111" t="n"/>
      <c r="HI66" s="111" t="n"/>
      <c r="HJ66" s="111" t="n"/>
      <c r="HK66" s="111" t="n"/>
      <c r="HL66" s="111" t="n"/>
      <c r="HM66" s="111" t="n"/>
      <c r="HN66" s="111" t="n"/>
      <c r="HO66" s="111" t="n"/>
      <c r="HP66" s="111" t="n"/>
      <c r="HQ66" s="111" t="n"/>
      <c r="HR66" s="111" t="n"/>
      <c r="HS66" s="111" t="n"/>
      <c r="HT66" s="111" t="n"/>
      <c r="HU66" s="111" t="n"/>
      <c r="HV66" s="111" t="n"/>
      <c r="HW66" s="111" t="n"/>
      <c r="HX66" s="111" t="n"/>
      <c r="HY66" s="111" t="n"/>
      <c r="HZ66" s="111" t="n"/>
      <c r="IA66" s="111" t="n"/>
      <c r="IB66" s="111" t="n"/>
      <c r="IC66" s="111" t="n"/>
      <c r="ID66" s="111" t="n"/>
      <c r="IE66" s="111" t="n"/>
      <c r="IF66" s="111" t="n"/>
      <c r="IG66" s="111" t="n"/>
      <c r="IH66" s="111" t="n"/>
      <c r="II66" s="111" t="n"/>
      <c r="IJ66" s="111" t="n"/>
      <c r="IK66" s="111" t="n"/>
      <c r="IL66" s="111" t="n"/>
      <c r="IM66" s="111" t="n"/>
      <c r="IN66" s="111" t="n"/>
      <c r="IO66" s="111" t="n"/>
      <c r="IP66" s="111" t="n"/>
      <c r="IQ66" s="111" t="n"/>
      <c r="IR66" s="111" t="n"/>
      <c r="IS66" s="111" t="n"/>
      <c r="IT66" s="111" t="n"/>
      <c r="IU66" s="111" t="n"/>
      <c r="IV66" s="111" t="n"/>
      <c r="IW66" s="111" t="n"/>
      <c r="IX66" s="111" t="n"/>
      <c r="IY66" s="111" t="n"/>
      <c r="IZ66" s="111" t="n"/>
      <c r="JA66" s="111" t="n"/>
      <c r="JB66" s="111" t="n"/>
      <c r="JC66" s="111" t="n"/>
      <c r="JD66" s="111" t="n"/>
      <c r="JE66" s="111" t="n"/>
      <c r="JF66" s="111" t="n"/>
      <c r="JG66" s="111" t="n"/>
      <c r="JH66" s="111" t="n"/>
      <c r="JI66" s="111" t="n"/>
      <c r="JJ66" s="111" t="n"/>
      <c r="JK66" s="111" t="n"/>
      <c r="JL66" s="111" t="n"/>
      <c r="JM66" s="111" t="n"/>
      <c r="JN66" s="111" t="n"/>
      <c r="JO66" s="111" t="n"/>
      <c r="JP66" s="111" t="n"/>
      <c r="JQ66" s="111" t="n"/>
      <c r="JR66" s="111" t="n"/>
      <c r="JS66" s="111" t="n"/>
      <c r="JT66" s="111" t="n"/>
      <c r="JU66" s="111" t="n"/>
      <c r="JV66" s="111" t="n"/>
      <c r="JW66" s="111" t="n"/>
      <c r="JX66" s="111" t="n"/>
      <c r="JY66" s="111" t="n"/>
      <c r="JZ66" s="111" t="n"/>
      <c r="KA66" s="111" t="n"/>
      <c r="KB66" s="111" t="n"/>
      <c r="KC66" s="111" t="n"/>
      <c r="KD66" s="111" t="n"/>
      <c r="KE66" s="111" t="n"/>
      <c r="KF66" s="111" t="n"/>
      <c r="KG66" s="111" t="n"/>
      <c r="KH66" s="111" t="n"/>
      <c r="KI66" s="111" t="n"/>
      <c r="KJ66" s="111" t="n"/>
      <c r="KK66" s="111" t="n"/>
      <c r="KL66" s="111" t="n"/>
      <c r="KM66" s="111" t="n"/>
      <c r="KN66" s="111" t="n"/>
      <c r="KO66" s="111" t="n"/>
      <c r="KP66" s="111" t="n"/>
      <c r="KQ66" s="111" t="n"/>
      <c r="KR66" s="111" t="n"/>
      <c r="KS66" s="111" t="n"/>
      <c r="KT66" s="111" t="n"/>
      <c r="KU66" s="111" t="n"/>
      <c r="KV66" s="111" t="n"/>
      <c r="KW66" s="111" t="n"/>
      <c r="KX66" s="111" t="n"/>
      <c r="KY66" s="111" t="n"/>
      <c r="KZ66" s="111" t="n"/>
      <c r="LA66" s="111" t="n"/>
      <c r="LB66" s="111" t="n"/>
      <c r="LC66" s="111" t="n"/>
      <c r="LD66" s="111" t="n"/>
      <c r="LE66" s="111" t="n"/>
      <c r="LF66" s="111" t="n"/>
      <c r="LG66" s="111" t="n"/>
      <c r="LH66" s="111" t="n"/>
      <c r="LI66" s="111" t="n"/>
      <c r="LJ66" s="111" t="n"/>
      <c r="LK66" s="111" t="n"/>
      <c r="LL66" s="111" t="n"/>
      <c r="LM66" s="111" t="n"/>
      <c r="LN66" s="111" t="n"/>
      <c r="LO66" s="111" t="n"/>
      <c r="LP66" s="111" t="n"/>
      <c r="LQ66" s="111" t="n"/>
      <c r="LR66" s="111" t="n"/>
      <c r="LS66" s="111" t="n"/>
      <c r="LT66" s="111" t="n"/>
      <c r="LU66" s="111" t="n"/>
      <c r="LV66" s="111" t="n"/>
      <c r="LW66" s="111" t="n"/>
      <c r="LX66" s="111" t="n"/>
      <c r="LY66" s="111" t="n"/>
      <c r="LZ66" s="111" t="n"/>
      <c r="MA66" s="111" t="n"/>
      <c r="MB66" s="111" t="n"/>
      <c r="MC66" s="111" t="n"/>
      <c r="MD66" s="111" t="n"/>
      <c r="ME66" s="111" t="n"/>
      <c r="MF66" s="111" t="n"/>
      <c r="MG66" s="111" t="n"/>
      <c r="MH66" s="111" t="n"/>
      <c r="MI66" s="111" t="n"/>
      <c r="MJ66" s="111" t="n"/>
      <c r="MK66" s="111" t="n"/>
      <c r="ML66" s="111" t="n"/>
      <c r="MM66" s="111" t="n"/>
      <c r="MN66" s="111" t="n"/>
      <c r="MO66" s="111" t="n"/>
      <c r="MP66" s="111" t="n"/>
      <c r="MQ66" s="111" t="n"/>
      <c r="MR66" s="111" t="n"/>
      <c r="MS66" s="111" t="n"/>
      <c r="MT66" s="111" t="n"/>
      <c r="MU66" s="111" t="n"/>
      <c r="MV66" s="111" t="n"/>
      <c r="MW66" s="111" t="n"/>
      <c r="MX66" s="111" t="n"/>
      <c r="MY66" s="111" t="n"/>
      <c r="MZ66" s="111" t="n"/>
      <c r="NA66" s="111" t="n"/>
      <c r="NB66" s="111" t="n"/>
      <c r="NC66" s="111" t="n"/>
      <c r="ND66" s="111" t="n"/>
      <c r="NE66" s="111" t="n"/>
      <c r="NF66" s="111" t="n"/>
      <c r="NG66" s="111" t="n"/>
      <c r="NH66" s="111" t="n"/>
      <c r="NI66" s="111" t="n"/>
      <c r="NJ66" s="111" t="n"/>
      <c r="NK66" s="111" t="n"/>
      <c r="NL66" s="111" t="n"/>
      <c r="NM66" s="111" t="n"/>
      <c r="NN66" s="111" t="n"/>
      <c r="NO66" s="111" t="n"/>
    </row>
    <row r="67" ht="11.25" customFormat="1" customHeight="1" s="119">
      <c r="A67" s="119" t="inlineStr">
        <is>
          <t>To use the rows with Predecessors as the inputs, unhide columns D through F</t>
        </is>
      </c>
      <c r="B67" s="119" t="n"/>
      <c r="C67" s="119" t="n"/>
      <c r="D67" s="119" t="n"/>
      <c r="E67" s="119" t="n"/>
      <c r="F67" s="119" t="n"/>
      <c r="G67" s="119" t="n"/>
      <c r="H67" s="119" t="n"/>
      <c r="I67" s="119" t="n"/>
      <c r="J67" s="119" t="n"/>
      <c r="K67" s="119" t="n"/>
      <c r="L67" s="119" t="n"/>
      <c r="M67" s="119" t="n"/>
      <c r="N67" s="119" t="n"/>
      <c r="O67" s="69" t="n"/>
      <c r="P67" s="111" t="n"/>
      <c r="Q67" s="111" t="n"/>
      <c r="R67" s="111" t="n"/>
      <c r="S67" s="111" t="n"/>
      <c r="T67" s="111" t="n"/>
      <c r="U67" s="111" t="n"/>
      <c r="V67" s="111" t="n"/>
      <c r="W67" s="111" t="n"/>
      <c r="X67" s="111" t="n"/>
      <c r="Y67" s="111" t="n"/>
      <c r="Z67" s="111" t="n"/>
      <c r="AA67" s="111" t="n"/>
      <c r="AB67" s="111" t="n"/>
      <c r="AC67" s="111" t="n"/>
      <c r="AD67" s="111" t="n"/>
      <c r="AE67" s="111" t="n"/>
      <c r="AF67" s="111" t="n"/>
      <c r="AG67" s="111" t="n"/>
      <c r="AH67" s="111" t="n"/>
      <c r="AI67" s="111" t="n"/>
      <c r="AJ67" s="111" t="n"/>
      <c r="AK67" s="111" t="n"/>
      <c r="AL67" s="111" t="n"/>
      <c r="AM67" s="111" t="n"/>
      <c r="AN67" s="111" t="n"/>
      <c r="AO67" s="111" t="n"/>
      <c r="AP67" s="111" t="n"/>
      <c r="AQ67" s="111" t="n"/>
      <c r="AR67" s="111" t="n"/>
      <c r="AS67" s="111" t="n"/>
      <c r="AT67" s="111" t="n"/>
      <c r="AU67" s="111" t="n"/>
      <c r="AV67" s="111" t="n"/>
      <c r="AW67" s="111" t="n"/>
      <c r="AX67" s="111" t="n"/>
      <c r="AY67" s="111" t="n"/>
      <c r="AZ67" s="111" t="n"/>
      <c r="BA67" s="111" t="n"/>
      <c r="BB67" s="111" t="n"/>
      <c r="BC67" s="111" t="n"/>
      <c r="BD67" s="111" t="n"/>
      <c r="BE67" s="111" t="n"/>
      <c r="BF67" s="111" t="n"/>
      <c r="BG67" s="111" t="n"/>
      <c r="BH67" s="111" t="n"/>
      <c r="BI67" s="111" t="n"/>
      <c r="BJ67" s="111" t="n"/>
      <c r="BK67" s="111" t="n"/>
      <c r="BL67" s="111" t="n"/>
      <c r="BM67" s="111" t="n"/>
      <c r="BN67" s="111" t="n"/>
      <c r="BO67" s="111" t="n"/>
      <c r="BP67" s="111" t="n"/>
      <c r="BQ67" s="111" t="n"/>
      <c r="BR67" s="111" t="n"/>
      <c r="BS67" s="111" t="n"/>
      <c r="BT67" s="111" t="n"/>
      <c r="BU67" s="111" t="n"/>
      <c r="BV67" s="111" t="n"/>
      <c r="BW67" s="111" t="n"/>
      <c r="BX67" s="111" t="n"/>
      <c r="BY67" s="111" t="n"/>
      <c r="BZ67" s="111" t="n"/>
      <c r="CA67" s="111" t="n"/>
      <c r="CB67" s="111" t="n"/>
      <c r="CC67" s="111" t="n"/>
      <c r="CD67" s="111" t="n"/>
      <c r="CE67" s="111" t="n"/>
      <c r="CF67" s="111" t="n"/>
      <c r="CG67" s="111" t="n"/>
      <c r="CH67" s="111" t="n"/>
      <c r="CI67" s="111" t="n"/>
      <c r="CJ67" s="111" t="n"/>
      <c r="CK67" s="111" t="n"/>
      <c r="CL67" s="111" t="n"/>
      <c r="CM67" s="111" t="n"/>
      <c r="CN67" s="111" t="n"/>
      <c r="CO67" s="111" t="n"/>
      <c r="CP67" s="111" t="n"/>
      <c r="CQ67" s="111" t="n"/>
      <c r="CR67" s="111" t="n"/>
      <c r="CS67" s="111" t="n"/>
      <c r="CT67" s="111" t="n"/>
      <c r="CU67" s="111" t="n"/>
      <c r="CV67" s="111" t="n"/>
      <c r="CW67" s="111" t="n"/>
      <c r="CX67" s="111" t="n"/>
      <c r="CY67" s="111" t="n"/>
      <c r="CZ67" s="111" t="n"/>
      <c r="DA67" s="111" t="n"/>
      <c r="DB67" s="111" t="n"/>
      <c r="DC67" s="111" t="n"/>
      <c r="DD67" s="111" t="n"/>
      <c r="DE67" s="111" t="n"/>
      <c r="DF67" s="111" t="n"/>
      <c r="DG67" s="111" t="n"/>
      <c r="DH67" s="111" t="n"/>
      <c r="DI67" s="111" t="n"/>
      <c r="DJ67" s="111" t="n"/>
      <c r="DK67" s="111" t="n"/>
      <c r="DL67" s="111" t="n"/>
      <c r="DM67" s="111" t="n"/>
      <c r="DN67" s="111" t="n"/>
      <c r="DO67" s="111" t="n"/>
      <c r="DP67" s="111" t="n"/>
      <c r="DQ67" s="111" t="n"/>
      <c r="DR67" s="111" t="n"/>
      <c r="DS67" s="111" t="n"/>
      <c r="DT67" s="111" t="n"/>
      <c r="DU67" s="111" t="n"/>
      <c r="DV67" s="111" t="n"/>
      <c r="DW67" s="111" t="n"/>
      <c r="DX67" s="111" t="n"/>
      <c r="DY67" s="111" t="n"/>
      <c r="DZ67" s="111" t="n"/>
      <c r="EA67" s="111" t="n"/>
      <c r="EB67" s="111" t="n"/>
      <c r="EC67" s="111" t="n"/>
      <c r="ED67" s="111" t="n"/>
      <c r="EE67" s="111" t="n"/>
      <c r="EF67" s="111" t="n"/>
      <c r="EG67" s="111" t="n"/>
      <c r="EH67" s="111" t="n"/>
      <c r="EI67" s="111" t="n"/>
      <c r="EJ67" s="111" t="n"/>
      <c r="EK67" s="111" t="n"/>
      <c r="EL67" s="111" t="n"/>
      <c r="EM67" s="111" t="n"/>
      <c r="EN67" s="111" t="n"/>
      <c r="EO67" s="111" t="n"/>
      <c r="EP67" s="111" t="n"/>
      <c r="EQ67" s="111" t="n"/>
      <c r="ER67" s="111" t="n"/>
      <c r="ES67" s="111" t="n"/>
      <c r="ET67" s="111" t="n"/>
      <c r="EU67" s="111" t="n"/>
      <c r="EV67" s="111" t="n"/>
      <c r="EW67" s="111" t="n"/>
      <c r="EX67" s="111" t="n"/>
      <c r="EY67" s="111" t="n"/>
      <c r="EZ67" s="111" t="n"/>
      <c r="FA67" s="111" t="n"/>
      <c r="FB67" s="111" t="n"/>
      <c r="FC67" s="111" t="n"/>
      <c r="FD67" s="111" t="n"/>
      <c r="FE67" s="111" t="n"/>
      <c r="FF67" s="111" t="n"/>
      <c r="FG67" s="111" t="n"/>
      <c r="FH67" s="111" t="n"/>
      <c r="FI67" s="111" t="n"/>
      <c r="FJ67" s="111" t="n"/>
      <c r="FK67" s="111" t="n"/>
      <c r="FL67" s="111" t="n"/>
      <c r="FM67" s="111" t="n"/>
      <c r="FN67" s="111" t="n"/>
      <c r="FO67" s="111" t="n"/>
      <c r="FP67" s="111" t="n"/>
      <c r="FQ67" s="111" t="n"/>
      <c r="FR67" s="111" t="n"/>
      <c r="FS67" s="111" t="n"/>
      <c r="FT67" s="111" t="n"/>
      <c r="FU67" s="111" t="n"/>
      <c r="FV67" s="111" t="n"/>
      <c r="FW67" s="111" t="n"/>
      <c r="FX67" s="111" t="n"/>
      <c r="FY67" s="111" t="n"/>
      <c r="FZ67" s="111" t="n"/>
      <c r="GA67" s="111" t="n"/>
      <c r="GB67" s="111" t="n"/>
      <c r="GC67" s="111" t="n"/>
      <c r="GD67" s="111" t="n"/>
      <c r="GE67" s="111" t="n"/>
      <c r="GF67" s="111" t="n"/>
      <c r="GG67" s="111" t="n"/>
      <c r="GH67" s="111" t="n"/>
      <c r="GI67" s="111" t="n"/>
      <c r="GJ67" s="111" t="n"/>
      <c r="GK67" s="111" t="n"/>
      <c r="GL67" s="111" t="n"/>
      <c r="GM67" s="111" t="n"/>
      <c r="GN67" s="111" t="n"/>
      <c r="GO67" s="111" t="n"/>
      <c r="GP67" s="111" t="n"/>
      <c r="GQ67" s="111" t="n"/>
      <c r="GR67" s="111" t="n"/>
      <c r="GS67" s="111" t="n"/>
      <c r="GT67" s="111" t="n"/>
      <c r="GU67" s="111" t="n"/>
      <c r="GV67" s="111" t="n"/>
      <c r="GW67" s="111" t="n"/>
      <c r="GX67" s="111" t="n"/>
      <c r="GY67" s="111" t="n"/>
      <c r="GZ67" s="111" t="n"/>
      <c r="HA67" s="111" t="n"/>
      <c r="HB67" s="111" t="n"/>
      <c r="HC67" s="111" t="n"/>
      <c r="HD67" s="111" t="n"/>
      <c r="HE67" s="111" t="n"/>
      <c r="HF67" s="111" t="n"/>
      <c r="HG67" s="111" t="n"/>
      <c r="HH67" s="111" t="n"/>
      <c r="HI67" s="111" t="n"/>
      <c r="HJ67" s="111" t="n"/>
      <c r="HK67" s="111" t="n"/>
      <c r="HL67" s="111" t="n"/>
      <c r="HM67" s="111" t="n"/>
      <c r="HN67" s="111" t="n"/>
      <c r="HO67" s="111" t="n"/>
      <c r="HP67" s="111" t="n"/>
      <c r="HQ67" s="111" t="n"/>
      <c r="HR67" s="111" t="n"/>
      <c r="HS67" s="111" t="n"/>
      <c r="HT67" s="111" t="n"/>
      <c r="HU67" s="111" t="n"/>
      <c r="HV67" s="111" t="n"/>
      <c r="HW67" s="111" t="n"/>
      <c r="HX67" s="111" t="n"/>
      <c r="HY67" s="111" t="n"/>
      <c r="HZ67" s="111" t="n"/>
      <c r="IA67" s="111" t="n"/>
      <c r="IB67" s="111" t="n"/>
      <c r="IC67" s="111" t="n"/>
      <c r="ID67" s="111" t="n"/>
      <c r="IE67" s="111" t="n"/>
      <c r="IF67" s="111" t="n"/>
      <c r="IG67" s="111" t="n"/>
      <c r="IH67" s="111" t="n"/>
      <c r="II67" s="111" t="n"/>
      <c r="IJ67" s="111" t="n"/>
      <c r="IK67" s="111" t="n"/>
      <c r="IL67" s="111" t="n"/>
      <c r="IM67" s="111" t="n"/>
      <c r="IN67" s="111" t="n"/>
      <c r="IO67" s="111" t="n"/>
      <c r="IP67" s="111" t="n"/>
      <c r="IQ67" s="111" t="n"/>
      <c r="IR67" s="111" t="n"/>
      <c r="IS67" s="111" t="n"/>
      <c r="IT67" s="111" t="n"/>
      <c r="IU67" s="111" t="n"/>
      <c r="IV67" s="111" t="n"/>
      <c r="IW67" s="111" t="n"/>
      <c r="IX67" s="111" t="n"/>
      <c r="IY67" s="111" t="n"/>
      <c r="IZ67" s="111" t="n"/>
      <c r="JA67" s="111" t="n"/>
      <c r="JB67" s="111" t="n"/>
      <c r="JC67" s="111" t="n"/>
      <c r="JD67" s="111" t="n"/>
      <c r="JE67" s="111" t="n"/>
      <c r="JF67" s="111" t="n"/>
      <c r="JG67" s="111" t="n"/>
      <c r="JH67" s="111" t="n"/>
      <c r="JI67" s="111" t="n"/>
      <c r="JJ67" s="111" t="n"/>
      <c r="JK67" s="111" t="n"/>
      <c r="JL67" s="111" t="n"/>
      <c r="JM67" s="111" t="n"/>
      <c r="JN67" s="111" t="n"/>
      <c r="JO67" s="111" t="n"/>
      <c r="JP67" s="111" t="n"/>
      <c r="JQ67" s="111" t="n"/>
      <c r="JR67" s="111" t="n"/>
      <c r="JS67" s="111" t="n"/>
      <c r="JT67" s="111" t="n"/>
      <c r="JU67" s="111" t="n"/>
      <c r="JV67" s="111" t="n"/>
      <c r="JW67" s="111" t="n"/>
      <c r="JX67" s="111" t="n"/>
      <c r="JY67" s="111" t="n"/>
      <c r="JZ67" s="111" t="n"/>
      <c r="KA67" s="111" t="n"/>
      <c r="KB67" s="111" t="n"/>
      <c r="KC67" s="111" t="n"/>
      <c r="KD67" s="111" t="n"/>
      <c r="KE67" s="111" t="n"/>
      <c r="KF67" s="111" t="n"/>
      <c r="KG67" s="111" t="n"/>
      <c r="KH67" s="111" t="n"/>
      <c r="KI67" s="111" t="n"/>
      <c r="KJ67" s="111" t="n"/>
      <c r="KK67" s="111" t="n"/>
      <c r="KL67" s="111" t="n"/>
      <c r="KM67" s="111" t="n"/>
      <c r="KN67" s="111" t="n"/>
      <c r="KO67" s="111" t="n"/>
      <c r="KP67" s="111" t="n"/>
      <c r="KQ67" s="111" t="n"/>
      <c r="KR67" s="111" t="n"/>
      <c r="KS67" s="111" t="n"/>
      <c r="KT67" s="111" t="n"/>
      <c r="KU67" s="111" t="n"/>
      <c r="KV67" s="111" t="n"/>
      <c r="KW67" s="111" t="n"/>
      <c r="KX67" s="111" t="n"/>
      <c r="KY67" s="111" t="n"/>
      <c r="KZ67" s="111" t="n"/>
      <c r="LA67" s="111" t="n"/>
      <c r="LB67" s="111" t="n"/>
      <c r="LC67" s="111" t="n"/>
      <c r="LD67" s="111" t="n"/>
      <c r="LE67" s="111" t="n"/>
      <c r="LF67" s="111" t="n"/>
      <c r="LG67" s="111" t="n"/>
      <c r="LH67" s="111" t="n"/>
      <c r="LI67" s="111" t="n"/>
      <c r="LJ67" s="111" t="n"/>
      <c r="LK67" s="111" t="n"/>
      <c r="LL67" s="111" t="n"/>
      <c r="LM67" s="111" t="n"/>
      <c r="LN67" s="111" t="n"/>
      <c r="LO67" s="111" t="n"/>
      <c r="LP67" s="111" t="n"/>
      <c r="LQ67" s="111" t="n"/>
      <c r="LR67" s="111" t="n"/>
      <c r="LS67" s="111" t="n"/>
      <c r="LT67" s="111" t="n"/>
      <c r="LU67" s="111" t="n"/>
      <c r="LV67" s="111" t="n"/>
      <c r="LW67" s="111" t="n"/>
      <c r="LX67" s="111" t="n"/>
      <c r="LY67" s="111" t="n"/>
      <c r="LZ67" s="111" t="n"/>
      <c r="MA67" s="111" t="n"/>
      <c r="MB67" s="111" t="n"/>
      <c r="MC67" s="111" t="n"/>
      <c r="MD67" s="111" t="n"/>
      <c r="ME67" s="111" t="n"/>
      <c r="MF67" s="111" t="n"/>
      <c r="MG67" s="111" t="n"/>
      <c r="MH67" s="111" t="n"/>
      <c r="MI67" s="111" t="n"/>
      <c r="MJ67" s="111" t="n"/>
      <c r="MK67" s="111" t="n"/>
      <c r="ML67" s="111" t="n"/>
      <c r="MM67" s="111" t="n"/>
      <c r="MN67" s="111" t="n"/>
      <c r="MO67" s="111" t="n"/>
      <c r="MP67" s="111" t="n"/>
      <c r="MQ67" s="111" t="n"/>
      <c r="MR67" s="111" t="n"/>
      <c r="MS67" s="111" t="n"/>
      <c r="MT67" s="111" t="n"/>
      <c r="MU67" s="111" t="n"/>
      <c r="MV67" s="111" t="n"/>
      <c r="MW67" s="111" t="n"/>
      <c r="MX67" s="111" t="n"/>
      <c r="MY67" s="111" t="n"/>
      <c r="MZ67" s="111" t="n"/>
      <c r="NA67" s="111" t="n"/>
      <c r="NB67" s="111" t="n"/>
      <c r="NC67" s="111" t="n"/>
      <c r="ND67" s="111" t="n"/>
      <c r="NE67" s="111" t="n"/>
      <c r="NF67" s="111" t="n"/>
      <c r="NG67" s="111" t="n"/>
      <c r="NH67" s="111" t="n"/>
      <c r="NI67" s="111" t="n"/>
      <c r="NJ67" s="111" t="n"/>
      <c r="NK67" s="111" t="n"/>
      <c r="NL67" s="111" t="n"/>
      <c r="NM67" s="111" t="n"/>
      <c r="NN67" s="111" t="n"/>
      <c r="NO67" s="111" t="n"/>
    </row>
    <row r="68" ht="11.25" customFormat="1" customHeight="1" s="69">
      <c r="A68" s="36" t="inlineStr">
        <is>
          <t>{42}</t>
        </is>
      </c>
      <c r="B68" s="69" t="n"/>
      <c r="C68" s="69" t="n"/>
      <c r="D68" s="69" t="n"/>
      <c r="E68" s="69" t="n"/>
      <c r="F68" s="69" t="n"/>
      <c r="G68" s="69" t="n"/>
      <c r="H68" s="69" t="n"/>
      <c r="I68" s="69" t="n"/>
      <c r="J68" s="69" t="n"/>
      <c r="K68" s="69" t="n"/>
      <c r="L68" s="69" t="n"/>
      <c r="M68" s="69" t="n"/>
      <c r="N68" s="69" t="n"/>
      <c r="P68" s="111" t="n"/>
      <c r="Q68" s="111" t="n"/>
      <c r="R68" s="111" t="n"/>
      <c r="S68" s="111" t="n"/>
      <c r="T68" s="111" t="n"/>
      <c r="U68" s="111" t="n"/>
      <c r="V68" s="111" t="n"/>
      <c r="W68" s="111" t="n"/>
      <c r="X68" s="111" t="n"/>
      <c r="Y68" s="111" t="n"/>
      <c r="Z68" s="111" t="n"/>
      <c r="AA68" s="111" t="n"/>
      <c r="AB68" s="111" t="n"/>
      <c r="AC68" s="111" t="n"/>
      <c r="AD68" s="111" t="n"/>
      <c r="AE68" s="111" t="n"/>
      <c r="AF68" s="111" t="n"/>
      <c r="AG68" s="111" t="n"/>
      <c r="AH68" s="111" t="n"/>
      <c r="AI68" s="111" t="n"/>
      <c r="AJ68" s="111" t="n"/>
      <c r="AK68" s="111" t="n"/>
      <c r="AL68" s="111" t="n"/>
      <c r="AM68" s="111" t="n"/>
      <c r="AN68" s="111" t="n"/>
      <c r="AO68" s="111" t="n"/>
      <c r="AP68" s="111" t="n"/>
      <c r="AQ68" s="111" t="n"/>
      <c r="AR68" s="111" t="n"/>
      <c r="AS68" s="111" t="n"/>
      <c r="AT68" s="111" t="n"/>
      <c r="AU68" s="111" t="n"/>
      <c r="AV68" s="111" t="n"/>
      <c r="AW68" s="111" t="n"/>
      <c r="AX68" s="111" t="n"/>
      <c r="AY68" s="111" t="n"/>
      <c r="AZ68" s="111" t="n"/>
      <c r="BA68" s="111" t="n"/>
      <c r="BB68" s="111" t="n"/>
      <c r="BC68" s="111" t="n"/>
      <c r="BD68" s="111" t="n"/>
      <c r="BE68" s="111" t="n"/>
      <c r="BF68" s="111" t="n"/>
      <c r="BG68" s="111" t="n"/>
      <c r="BH68" s="111" t="n"/>
      <c r="BI68" s="111" t="n"/>
      <c r="BJ68" s="111" t="n"/>
      <c r="BK68" s="111" t="n"/>
      <c r="BL68" s="111" t="n"/>
      <c r="BM68" s="111" t="n"/>
      <c r="BN68" s="111" t="n"/>
      <c r="BO68" s="111" t="n"/>
      <c r="BP68" s="111" t="n"/>
      <c r="BQ68" s="111" t="n"/>
      <c r="BR68" s="111" t="n"/>
      <c r="BS68" s="111" t="n"/>
      <c r="BT68" s="111" t="n"/>
      <c r="BU68" s="111" t="n"/>
      <c r="BV68" s="111" t="n"/>
      <c r="BW68" s="111" t="n"/>
      <c r="BX68" s="111" t="n"/>
      <c r="BY68" s="111" t="n"/>
      <c r="BZ68" s="111" t="n"/>
      <c r="CA68" s="111" t="n"/>
      <c r="CB68" s="111" t="n"/>
      <c r="CC68" s="111" t="n"/>
      <c r="CD68" s="111" t="n"/>
      <c r="CE68" s="111" t="n"/>
      <c r="CF68" s="111" t="n"/>
      <c r="CG68" s="111" t="n"/>
      <c r="CH68" s="111" t="n"/>
      <c r="CI68" s="111" t="n"/>
      <c r="CJ68" s="111" t="n"/>
      <c r="CK68" s="111" t="n"/>
      <c r="CL68" s="111" t="n"/>
      <c r="CM68" s="111" t="n"/>
      <c r="CN68" s="111" t="n"/>
      <c r="CO68" s="111" t="n"/>
      <c r="CP68" s="111" t="n"/>
      <c r="CQ68" s="111" t="n"/>
      <c r="CR68" s="111" t="n"/>
      <c r="CS68" s="111" t="n"/>
      <c r="CT68" s="111" t="n"/>
      <c r="CU68" s="111" t="n"/>
      <c r="CV68" s="111" t="n"/>
      <c r="CW68" s="111" t="n"/>
      <c r="CX68" s="111" t="n"/>
      <c r="CY68" s="111" t="n"/>
      <c r="CZ68" s="111" t="n"/>
      <c r="DA68" s="111" t="n"/>
      <c r="DB68" s="111" t="n"/>
      <c r="DC68" s="111" t="n"/>
      <c r="DD68" s="111" t="n"/>
      <c r="DE68" s="111" t="n"/>
      <c r="DF68" s="111" t="n"/>
      <c r="DG68" s="111" t="n"/>
      <c r="DH68" s="111" t="n"/>
      <c r="DI68" s="111" t="n"/>
      <c r="DJ68" s="111" t="n"/>
      <c r="DK68" s="111" t="n"/>
      <c r="DL68" s="111" t="n"/>
      <c r="DM68" s="111" t="n"/>
      <c r="DN68" s="111" t="n"/>
      <c r="DO68" s="111" t="n"/>
      <c r="DP68" s="111" t="n"/>
      <c r="DQ68" s="111" t="n"/>
      <c r="DR68" s="111" t="n"/>
      <c r="DS68" s="111" t="n"/>
      <c r="DT68" s="111" t="n"/>
      <c r="DU68" s="111" t="n"/>
      <c r="DV68" s="111" t="n"/>
      <c r="DW68" s="111" t="n"/>
      <c r="DX68" s="111" t="n"/>
      <c r="DY68" s="111" t="n"/>
      <c r="DZ68" s="111" t="n"/>
      <c r="EA68" s="111" t="n"/>
      <c r="EB68" s="111" t="n"/>
      <c r="EC68" s="111" t="n"/>
      <c r="ED68" s="111" t="n"/>
      <c r="EE68" s="111" t="n"/>
      <c r="EF68" s="111" t="n"/>
      <c r="EG68" s="111" t="n"/>
      <c r="EH68" s="111" t="n"/>
      <c r="EI68" s="111" t="n"/>
      <c r="EJ68" s="111" t="n"/>
      <c r="EK68" s="111" t="n"/>
      <c r="EL68" s="111" t="n"/>
      <c r="EM68" s="111" t="n"/>
      <c r="EN68" s="111" t="n"/>
      <c r="EO68" s="111" t="n"/>
      <c r="EP68" s="111" t="n"/>
      <c r="EQ68" s="111" t="n"/>
      <c r="ER68" s="111" t="n"/>
      <c r="ES68" s="111" t="n"/>
      <c r="ET68" s="111" t="n"/>
      <c r="EU68" s="111" t="n"/>
      <c r="EV68" s="111" t="n"/>
      <c r="EW68" s="111" t="n"/>
      <c r="EX68" s="111" t="n"/>
      <c r="EY68" s="111" t="n"/>
      <c r="EZ68" s="111" t="n"/>
      <c r="FA68" s="111" t="n"/>
      <c r="FB68" s="111" t="n"/>
      <c r="FC68" s="111" t="n"/>
      <c r="FD68" s="111" t="n"/>
      <c r="FE68" s="111" t="n"/>
      <c r="FF68" s="111" t="n"/>
      <c r="FG68" s="111" t="n"/>
      <c r="FH68" s="111" t="n"/>
      <c r="FI68" s="111" t="n"/>
      <c r="FJ68" s="111" t="n"/>
      <c r="FK68" s="111" t="n"/>
      <c r="FL68" s="111" t="n"/>
      <c r="FM68" s="111" t="n"/>
      <c r="FN68" s="111" t="n"/>
      <c r="FO68" s="111" t="n"/>
      <c r="FP68" s="111" t="n"/>
      <c r="FQ68" s="111" t="n"/>
      <c r="FR68" s="111" t="n"/>
      <c r="FS68" s="111" t="n"/>
      <c r="FT68" s="111" t="n"/>
      <c r="FU68" s="111" t="n"/>
      <c r="FV68" s="111" t="n"/>
      <c r="FW68" s="111" t="n"/>
      <c r="FX68" s="111" t="n"/>
      <c r="FY68" s="111" t="n"/>
      <c r="FZ68" s="111" t="n"/>
      <c r="GA68" s="111" t="n"/>
      <c r="GB68" s="111" t="n"/>
      <c r="GC68" s="111" t="n"/>
      <c r="GD68" s="111" t="n"/>
      <c r="GE68" s="111" t="n"/>
      <c r="GF68" s="111" t="n"/>
      <c r="GG68" s="111" t="n"/>
      <c r="GH68" s="111" t="n"/>
      <c r="GI68" s="111" t="n"/>
      <c r="GJ68" s="111" t="n"/>
      <c r="GK68" s="111" t="n"/>
      <c r="GL68" s="111" t="n"/>
      <c r="GM68" s="111" t="n"/>
      <c r="GN68" s="111" t="n"/>
      <c r="GO68" s="111" t="n"/>
      <c r="GP68" s="111" t="n"/>
      <c r="GQ68" s="111" t="n"/>
      <c r="GR68" s="111" t="n"/>
      <c r="GS68" s="111" t="n"/>
      <c r="GT68" s="111" t="n"/>
      <c r="GU68" s="111" t="n"/>
      <c r="GV68" s="111" t="n"/>
      <c r="GW68" s="111" t="n"/>
      <c r="GX68" s="111" t="n"/>
      <c r="GY68" s="111" t="n"/>
      <c r="GZ68" s="111" t="n"/>
      <c r="HA68" s="111" t="n"/>
      <c r="HB68" s="111" t="n"/>
      <c r="HC68" s="111" t="n"/>
      <c r="HD68" s="111" t="n"/>
      <c r="HE68" s="111" t="n"/>
      <c r="HF68" s="111" t="n"/>
      <c r="HG68" s="111" t="n"/>
      <c r="HH68" s="111" t="n"/>
      <c r="HI68" s="111" t="n"/>
      <c r="HJ68" s="111" t="n"/>
      <c r="HK68" s="111" t="n"/>
      <c r="HL68" s="111" t="n"/>
      <c r="HM68" s="111" t="n"/>
      <c r="HN68" s="111" t="n"/>
      <c r="HO68" s="111" t="n"/>
      <c r="HP68" s="111" t="n"/>
      <c r="HQ68" s="111" t="n"/>
      <c r="HR68" s="111" t="n"/>
      <c r="HS68" s="111" t="n"/>
      <c r="HT68" s="111" t="n"/>
      <c r="HU68" s="111" t="n"/>
      <c r="HV68" s="111" t="n"/>
      <c r="HW68" s="111" t="n"/>
      <c r="HX68" s="111" t="n"/>
      <c r="HY68" s="111" t="n"/>
      <c r="HZ68" s="111" t="n"/>
      <c r="IA68" s="111" t="n"/>
      <c r="IB68" s="111" t="n"/>
      <c r="IC68" s="111" t="n"/>
      <c r="ID68" s="111" t="n"/>
      <c r="IE68" s="111" t="n"/>
      <c r="IF68" s="111" t="n"/>
      <c r="IG68" s="111" t="n"/>
      <c r="IH68" s="111" t="n"/>
      <c r="II68" s="111" t="n"/>
      <c r="IJ68" s="111" t="n"/>
      <c r="IK68" s="111" t="n"/>
      <c r="IL68" s="111" t="n"/>
      <c r="IM68" s="111" t="n"/>
      <c r="IN68" s="111" t="n"/>
      <c r="IO68" s="111" t="n"/>
      <c r="IP68" s="111" t="n"/>
      <c r="IQ68" s="111" t="n"/>
      <c r="IR68" s="111" t="n"/>
      <c r="IS68" s="111" t="n"/>
      <c r="IT68" s="111" t="n"/>
      <c r="IU68" s="111" t="n"/>
      <c r="IV68" s="111" t="n"/>
      <c r="IW68" s="111" t="n"/>
      <c r="IX68" s="111" t="n"/>
      <c r="IY68" s="111" t="n"/>
      <c r="IZ68" s="111" t="n"/>
      <c r="JA68" s="111" t="n"/>
      <c r="JB68" s="111" t="n"/>
      <c r="JC68" s="111" t="n"/>
      <c r="JD68" s="111" t="n"/>
      <c r="JE68" s="111" t="n"/>
      <c r="JF68" s="111" t="n"/>
      <c r="JG68" s="111" t="n"/>
      <c r="JH68" s="111" t="n"/>
      <c r="JI68" s="111" t="n"/>
      <c r="JJ68" s="111" t="n"/>
      <c r="JK68" s="111" t="n"/>
      <c r="JL68" s="111" t="n"/>
      <c r="JM68" s="111" t="n"/>
      <c r="JN68" s="111" t="n"/>
      <c r="JO68" s="111" t="n"/>
      <c r="JP68" s="111" t="n"/>
      <c r="JQ68" s="111" t="n"/>
      <c r="JR68" s="111" t="n"/>
      <c r="JS68" s="111" t="n"/>
      <c r="JT68" s="111" t="n"/>
      <c r="JU68" s="111" t="n"/>
      <c r="JV68" s="111" t="n"/>
      <c r="JW68" s="111" t="n"/>
      <c r="JX68" s="111" t="n"/>
      <c r="JY68" s="111" t="n"/>
      <c r="JZ68" s="111" t="n"/>
      <c r="KA68" s="111" t="n"/>
      <c r="KB68" s="111" t="n"/>
      <c r="KC68" s="111" t="n"/>
      <c r="KD68" s="111" t="n"/>
      <c r="KE68" s="111" t="n"/>
      <c r="KF68" s="111" t="n"/>
      <c r="KG68" s="111" t="n"/>
      <c r="KH68" s="111" t="n"/>
      <c r="KI68" s="111" t="n"/>
      <c r="KJ68" s="111" t="n"/>
      <c r="KK68" s="111" t="n"/>
      <c r="KL68" s="111" t="n"/>
      <c r="KM68" s="111" t="n"/>
      <c r="KN68" s="111" t="n"/>
      <c r="KO68" s="111" t="n"/>
      <c r="KP68" s="111" t="n"/>
      <c r="KQ68" s="111" t="n"/>
      <c r="KR68" s="111" t="n"/>
      <c r="KS68" s="111" t="n"/>
      <c r="KT68" s="111" t="n"/>
      <c r="KU68" s="111" t="n"/>
      <c r="KV68" s="111" t="n"/>
      <c r="KW68" s="111" t="n"/>
      <c r="KX68" s="111" t="n"/>
      <c r="KY68" s="111" t="n"/>
      <c r="KZ68" s="111" t="n"/>
      <c r="LA68" s="111" t="n"/>
      <c r="LB68" s="111" t="n"/>
      <c r="LC68" s="111" t="n"/>
      <c r="LD68" s="111" t="n"/>
      <c r="LE68" s="111" t="n"/>
      <c r="LF68" s="111" t="n"/>
      <c r="LG68" s="111" t="n"/>
      <c r="LH68" s="111" t="n"/>
      <c r="LI68" s="111" t="n"/>
      <c r="LJ68" s="111" t="n"/>
      <c r="LK68" s="111" t="n"/>
      <c r="LL68" s="111" t="n"/>
      <c r="LM68" s="111" t="n"/>
      <c r="LN68" s="111" t="n"/>
      <c r="LO68" s="111" t="n"/>
      <c r="LP68" s="111" t="n"/>
      <c r="LQ68" s="111" t="n"/>
      <c r="LR68" s="111" t="n"/>
      <c r="LS68" s="111" t="n"/>
      <c r="LT68" s="111" t="n"/>
      <c r="LU68" s="111" t="n"/>
      <c r="LV68" s="111" t="n"/>
      <c r="LW68" s="111" t="n"/>
      <c r="LX68" s="111" t="n"/>
      <c r="LY68" s="111" t="n"/>
      <c r="LZ68" s="111" t="n"/>
      <c r="MA68" s="111" t="n"/>
      <c r="MB68" s="111" t="n"/>
      <c r="MC68" s="111" t="n"/>
      <c r="MD68" s="111" t="n"/>
      <c r="ME68" s="111" t="n"/>
      <c r="MF68" s="111" t="n"/>
      <c r="MG68" s="111" t="n"/>
      <c r="MH68" s="111" t="n"/>
      <c r="MI68" s="111" t="n"/>
      <c r="MJ68" s="111" t="n"/>
      <c r="MK68" s="111" t="n"/>
      <c r="ML68" s="111" t="n"/>
      <c r="MM68" s="111" t="n"/>
      <c r="MN68" s="111" t="n"/>
      <c r="MO68" s="111" t="n"/>
      <c r="MP68" s="111" t="n"/>
      <c r="MQ68" s="111" t="n"/>
      <c r="MR68" s="111" t="n"/>
      <c r="MS68" s="111" t="n"/>
      <c r="MT68" s="111" t="n"/>
      <c r="MU68" s="111" t="n"/>
      <c r="MV68" s="111" t="n"/>
      <c r="MW68" s="111" t="n"/>
      <c r="MX68" s="111" t="n"/>
      <c r="MY68" s="111" t="n"/>
      <c r="MZ68" s="111" t="n"/>
      <c r="NA68" s="111" t="n"/>
      <c r="NB68" s="111" t="n"/>
      <c r="NC68" s="111" t="n"/>
      <c r="ND68" s="111" t="n"/>
      <c r="NE68" s="111" t="n"/>
      <c r="NF68" s="111" t="n"/>
      <c r="NG68" s="111" t="n"/>
      <c r="NH68" s="111" t="n"/>
      <c r="NI68" s="111" t="n"/>
      <c r="NJ68" s="111" t="n"/>
      <c r="NK68" s="111" t="n"/>
      <c r="NL68" s="111" t="n"/>
      <c r="NM68" s="111" t="n"/>
      <c r="NN68" s="111" t="n"/>
      <c r="NO68" s="111" t="n"/>
    </row>
    <row r="69" ht="11.25" customFormat="1" customHeight="1" s="69">
      <c r="A69" s="86" t="inlineStr">
        <is>
          <t>WBS Numbering &amp; Label-only Rows</t>
        </is>
      </c>
      <c r="B69" s="88" t="n"/>
      <c r="C69" s="88" t="n"/>
      <c r="D69" s="88" t="n"/>
      <c r="E69" s="88" t="n"/>
      <c r="F69" s="88" t="n"/>
      <c r="G69" s="88" t="n"/>
      <c r="H69" s="88" t="n"/>
      <c r="I69" s="88" t="n"/>
      <c r="J69" s="88" t="n"/>
      <c r="K69" s="88" t="n"/>
      <c r="L69" s="88" t="n"/>
      <c r="M69" s="88" t="n"/>
      <c r="N69" s="88" t="n"/>
      <c r="O69" s="69" t="n"/>
      <c r="P69" s="111" t="n"/>
      <c r="Q69" s="111" t="n"/>
      <c r="R69" s="111" t="n"/>
      <c r="S69" s="111" t="n"/>
      <c r="T69" s="111" t="n"/>
      <c r="U69" s="111" t="n"/>
      <c r="V69" s="111" t="n"/>
      <c r="W69" s="111" t="n"/>
      <c r="X69" s="111" t="n"/>
      <c r="Y69" s="111" t="n"/>
      <c r="Z69" s="111" t="n"/>
      <c r="AA69" s="111" t="n"/>
      <c r="AB69" s="111" t="n"/>
      <c r="AC69" s="111" t="n"/>
      <c r="AD69" s="111" t="n"/>
      <c r="AE69" s="111" t="n"/>
      <c r="AF69" s="111" t="n"/>
      <c r="AG69" s="111" t="n"/>
      <c r="AH69" s="111" t="n"/>
      <c r="AI69" s="111" t="n"/>
      <c r="AJ69" s="111" t="n"/>
      <c r="AK69" s="111" t="n"/>
      <c r="AL69" s="111" t="n"/>
      <c r="AM69" s="111" t="n"/>
      <c r="AN69" s="111" t="n"/>
      <c r="AO69" s="111" t="n"/>
      <c r="AP69" s="111" t="n"/>
      <c r="AQ69" s="111" t="n"/>
      <c r="AR69" s="111" t="n"/>
      <c r="AS69" s="111" t="n"/>
      <c r="AT69" s="111" t="n"/>
      <c r="AU69" s="111" t="n"/>
      <c r="AV69" s="111" t="n"/>
      <c r="AW69" s="111" t="n"/>
      <c r="AX69" s="111" t="n"/>
      <c r="AY69" s="111" t="n"/>
      <c r="AZ69" s="111" t="n"/>
      <c r="BA69" s="111" t="n"/>
      <c r="BB69" s="111" t="n"/>
      <c r="BC69" s="111" t="n"/>
      <c r="BD69" s="111" t="n"/>
      <c r="BE69" s="111" t="n"/>
      <c r="BF69" s="111" t="n"/>
      <c r="BG69" s="111" t="n"/>
      <c r="BH69" s="111" t="n"/>
      <c r="BI69" s="111" t="n"/>
      <c r="BJ69" s="111" t="n"/>
      <c r="BK69" s="111" t="n"/>
      <c r="BL69" s="111" t="n"/>
      <c r="BM69" s="111" t="n"/>
      <c r="BN69" s="111" t="n"/>
      <c r="BO69" s="111" t="n"/>
      <c r="BP69" s="111" t="n"/>
      <c r="BQ69" s="111" t="n"/>
      <c r="BR69" s="111" t="n"/>
      <c r="BS69" s="111" t="n"/>
      <c r="BT69" s="111" t="n"/>
      <c r="BU69" s="111" t="n"/>
      <c r="BV69" s="111" t="n"/>
      <c r="BW69" s="111" t="n"/>
      <c r="BX69" s="111" t="n"/>
      <c r="BY69" s="111" t="n"/>
      <c r="BZ69" s="111" t="n"/>
      <c r="CA69" s="111" t="n"/>
      <c r="CB69" s="111" t="n"/>
      <c r="CC69" s="111" t="n"/>
      <c r="CD69" s="111" t="n"/>
      <c r="CE69" s="111" t="n"/>
      <c r="CF69" s="111" t="n"/>
      <c r="CG69" s="111" t="n"/>
      <c r="CH69" s="111" t="n"/>
      <c r="CI69" s="111" t="n"/>
      <c r="CJ69" s="111" t="n"/>
      <c r="CK69" s="111" t="n"/>
      <c r="CL69" s="111" t="n"/>
      <c r="CM69" s="111" t="n"/>
      <c r="CN69" s="111" t="n"/>
      <c r="CO69" s="111" t="n"/>
      <c r="CP69" s="111" t="n"/>
      <c r="CQ69" s="111" t="n"/>
      <c r="CR69" s="111" t="n"/>
      <c r="CS69" s="111" t="n"/>
      <c r="CT69" s="111" t="n"/>
      <c r="CU69" s="111" t="n"/>
      <c r="CV69" s="111" t="n"/>
      <c r="CW69" s="111" t="n"/>
      <c r="CX69" s="111" t="n"/>
      <c r="CY69" s="111" t="n"/>
      <c r="CZ69" s="111" t="n"/>
      <c r="DA69" s="111" t="n"/>
      <c r="DB69" s="111" t="n"/>
      <c r="DC69" s="111" t="n"/>
      <c r="DD69" s="111" t="n"/>
      <c r="DE69" s="111" t="n"/>
      <c r="DF69" s="111" t="n"/>
      <c r="DG69" s="111" t="n"/>
      <c r="DH69" s="111" t="n"/>
      <c r="DI69" s="111" t="n"/>
      <c r="DJ69" s="111" t="n"/>
      <c r="DK69" s="111" t="n"/>
      <c r="DL69" s="111" t="n"/>
      <c r="DM69" s="111" t="n"/>
      <c r="DN69" s="111" t="n"/>
      <c r="DO69" s="111" t="n"/>
      <c r="DP69" s="111" t="n"/>
      <c r="DQ69" s="111" t="n"/>
      <c r="DR69" s="111" t="n"/>
      <c r="DS69" s="111" t="n"/>
      <c r="DT69" s="111" t="n"/>
      <c r="DU69" s="111" t="n"/>
      <c r="DV69" s="111" t="n"/>
      <c r="DW69" s="111" t="n"/>
      <c r="DX69" s="111" t="n"/>
      <c r="DY69" s="111" t="n"/>
      <c r="DZ69" s="111" t="n"/>
      <c r="EA69" s="111" t="n"/>
      <c r="EB69" s="111" t="n"/>
      <c r="EC69" s="111" t="n"/>
      <c r="ED69" s="111" t="n"/>
      <c r="EE69" s="111" t="n"/>
      <c r="EF69" s="111" t="n"/>
      <c r="EG69" s="111" t="n"/>
      <c r="EH69" s="111" t="n"/>
      <c r="EI69" s="111" t="n"/>
      <c r="EJ69" s="111" t="n"/>
      <c r="EK69" s="111" t="n"/>
      <c r="EL69" s="111" t="n"/>
      <c r="EM69" s="111" t="n"/>
      <c r="EN69" s="111" t="n"/>
      <c r="EO69" s="111" t="n"/>
      <c r="EP69" s="111" t="n"/>
      <c r="EQ69" s="111" t="n"/>
      <c r="ER69" s="111" t="n"/>
      <c r="ES69" s="111" t="n"/>
      <c r="ET69" s="111" t="n"/>
      <c r="EU69" s="111" t="n"/>
      <c r="EV69" s="111" t="n"/>
      <c r="EW69" s="111" t="n"/>
      <c r="EX69" s="111" t="n"/>
      <c r="EY69" s="111" t="n"/>
      <c r="EZ69" s="111" t="n"/>
      <c r="FA69" s="111" t="n"/>
      <c r="FB69" s="111" t="n"/>
      <c r="FC69" s="111" t="n"/>
      <c r="FD69" s="111" t="n"/>
      <c r="FE69" s="111" t="n"/>
      <c r="FF69" s="111" t="n"/>
      <c r="FG69" s="111" t="n"/>
      <c r="FH69" s="111" t="n"/>
      <c r="FI69" s="111" t="n"/>
      <c r="FJ69" s="111" t="n"/>
      <c r="FK69" s="111" t="n"/>
      <c r="FL69" s="111" t="n"/>
      <c r="FM69" s="111" t="n"/>
      <c r="FN69" s="111" t="n"/>
      <c r="FO69" s="111" t="n"/>
      <c r="FP69" s="111" t="n"/>
      <c r="FQ69" s="111" t="n"/>
      <c r="FR69" s="111" t="n"/>
      <c r="FS69" s="111" t="n"/>
      <c r="FT69" s="111" t="n"/>
      <c r="FU69" s="111" t="n"/>
      <c r="FV69" s="111" t="n"/>
      <c r="FW69" s="111" t="n"/>
      <c r="FX69" s="111" t="n"/>
      <c r="FY69" s="111" t="n"/>
      <c r="FZ69" s="111" t="n"/>
      <c r="GA69" s="111" t="n"/>
      <c r="GB69" s="111" t="n"/>
      <c r="GC69" s="111" t="n"/>
      <c r="GD69" s="111" t="n"/>
      <c r="GE69" s="111" t="n"/>
      <c r="GF69" s="111" t="n"/>
      <c r="GG69" s="111" t="n"/>
      <c r="GH69" s="111" t="n"/>
      <c r="GI69" s="111" t="n"/>
      <c r="GJ69" s="111" t="n"/>
      <c r="GK69" s="111" t="n"/>
      <c r="GL69" s="111" t="n"/>
      <c r="GM69" s="111" t="n"/>
      <c r="GN69" s="111" t="n"/>
      <c r="GO69" s="111" t="n"/>
      <c r="GP69" s="111" t="n"/>
      <c r="GQ69" s="111" t="n"/>
      <c r="GR69" s="111" t="n"/>
      <c r="GS69" s="111" t="n"/>
      <c r="GT69" s="111" t="n"/>
      <c r="GU69" s="111" t="n"/>
      <c r="GV69" s="111" t="n"/>
      <c r="GW69" s="111" t="n"/>
      <c r="GX69" s="111" t="n"/>
      <c r="GY69" s="111" t="n"/>
      <c r="GZ69" s="111" t="n"/>
      <c r="HA69" s="111" t="n"/>
      <c r="HB69" s="111" t="n"/>
      <c r="HC69" s="111" t="n"/>
      <c r="HD69" s="111" t="n"/>
      <c r="HE69" s="111" t="n"/>
      <c r="HF69" s="111" t="n"/>
      <c r="HG69" s="111" t="n"/>
      <c r="HH69" s="111" t="n"/>
      <c r="HI69" s="111" t="n"/>
      <c r="HJ69" s="111" t="n"/>
      <c r="HK69" s="111" t="n"/>
      <c r="HL69" s="111" t="n"/>
      <c r="HM69" s="111" t="n"/>
      <c r="HN69" s="111" t="n"/>
      <c r="HO69" s="111" t="n"/>
      <c r="HP69" s="111" t="n"/>
      <c r="HQ69" s="111" t="n"/>
      <c r="HR69" s="111" t="n"/>
      <c r="HS69" s="111" t="n"/>
      <c r="HT69" s="111" t="n"/>
      <c r="HU69" s="111" t="n"/>
      <c r="HV69" s="111" t="n"/>
      <c r="HW69" s="111" t="n"/>
      <c r="HX69" s="111" t="n"/>
      <c r="HY69" s="111" t="n"/>
      <c r="HZ69" s="111" t="n"/>
      <c r="IA69" s="111" t="n"/>
      <c r="IB69" s="111" t="n"/>
      <c r="IC69" s="111" t="n"/>
      <c r="ID69" s="111" t="n"/>
      <c r="IE69" s="111" t="n"/>
      <c r="IF69" s="111" t="n"/>
      <c r="IG69" s="111" t="n"/>
      <c r="IH69" s="111" t="n"/>
      <c r="II69" s="111" t="n"/>
      <c r="IJ69" s="111" t="n"/>
      <c r="IK69" s="111" t="n"/>
      <c r="IL69" s="111" t="n"/>
      <c r="IM69" s="111" t="n"/>
      <c r="IN69" s="111" t="n"/>
      <c r="IO69" s="111" t="n"/>
      <c r="IP69" s="111" t="n"/>
      <c r="IQ69" s="111" t="n"/>
      <c r="IR69" s="111" t="n"/>
      <c r="IS69" s="111" t="n"/>
      <c r="IT69" s="111" t="n"/>
      <c r="IU69" s="111" t="n"/>
      <c r="IV69" s="111" t="n"/>
      <c r="IW69" s="111" t="n"/>
      <c r="IX69" s="111" t="n"/>
      <c r="IY69" s="111" t="n"/>
      <c r="IZ69" s="111" t="n"/>
      <c r="JA69" s="111" t="n"/>
      <c r="JB69" s="111" t="n"/>
      <c r="JC69" s="111" t="n"/>
      <c r="JD69" s="111" t="n"/>
      <c r="JE69" s="111" t="n"/>
      <c r="JF69" s="111" t="n"/>
      <c r="JG69" s="111" t="n"/>
      <c r="JH69" s="111" t="n"/>
      <c r="JI69" s="111" t="n"/>
      <c r="JJ69" s="111" t="n"/>
      <c r="JK69" s="111" t="n"/>
      <c r="JL69" s="111" t="n"/>
      <c r="JM69" s="111" t="n"/>
      <c r="JN69" s="111" t="n"/>
      <c r="JO69" s="111" t="n"/>
      <c r="JP69" s="111" t="n"/>
      <c r="JQ69" s="111" t="n"/>
      <c r="JR69" s="111" t="n"/>
      <c r="JS69" s="111" t="n"/>
      <c r="JT69" s="111" t="n"/>
      <c r="JU69" s="111" t="n"/>
      <c r="JV69" s="111" t="n"/>
      <c r="JW69" s="111" t="n"/>
      <c r="JX69" s="111" t="n"/>
      <c r="JY69" s="111" t="n"/>
      <c r="JZ69" s="111" t="n"/>
      <c r="KA69" s="111" t="n"/>
      <c r="KB69" s="111" t="n"/>
      <c r="KC69" s="111" t="n"/>
      <c r="KD69" s="111" t="n"/>
      <c r="KE69" s="111" t="n"/>
      <c r="KF69" s="111" t="n"/>
      <c r="KG69" s="111" t="n"/>
      <c r="KH69" s="111" t="n"/>
      <c r="KI69" s="111" t="n"/>
      <c r="KJ69" s="111" t="n"/>
      <c r="KK69" s="111" t="n"/>
      <c r="KL69" s="111" t="n"/>
      <c r="KM69" s="111" t="n"/>
      <c r="KN69" s="111" t="n"/>
      <c r="KO69" s="111" t="n"/>
      <c r="KP69" s="111" t="n"/>
      <c r="KQ69" s="111" t="n"/>
      <c r="KR69" s="111" t="n"/>
      <c r="KS69" s="111" t="n"/>
      <c r="KT69" s="111" t="n"/>
      <c r="KU69" s="111" t="n"/>
      <c r="KV69" s="111" t="n"/>
      <c r="KW69" s="111" t="n"/>
      <c r="KX69" s="111" t="n"/>
      <c r="KY69" s="111" t="n"/>
      <c r="KZ69" s="111" t="n"/>
      <c r="LA69" s="111" t="n"/>
      <c r="LB69" s="111" t="n"/>
      <c r="LC69" s="111" t="n"/>
      <c r="LD69" s="111" t="n"/>
      <c r="LE69" s="111" t="n"/>
      <c r="LF69" s="111" t="n"/>
      <c r="LG69" s="111" t="n"/>
      <c r="LH69" s="111" t="n"/>
      <c r="LI69" s="111" t="n"/>
      <c r="LJ69" s="111" t="n"/>
      <c r="LK69" s="111" t="n"/>
      <c r="LL69" s="111" t="n"/>
      <c r="LM69" s="111" t="n"/>
      <c r="LN69" s="111" t="n"/>
      <c r="LO69" s="111" t="n"/>
      <c r="LP69" s="111" t="n"/>
      <c r="LQ69" s="111" t="n"/>
      <c r="LR69" s="111" t="n"/>
      <c r="LS69" s="111" t="n"/>
      <c r="LT69" s="111" t="n"/>
      <c r="LU69" s="111" t="n"/>
      <c r="LV69" s="111" t="n"/>
      <c r="LW69" s="111" t="n"/>
      <c r="LX69" s="111" t="n"/>
      <c r="LY69" s="111" t="n"/>
      <c r="LZ69" s="111" t="n"/>
      <c r="MA69" s="111" t="n"/>
      <c r="MB69" s="111" t="n"/>
      <c r="MC69" s="111" t="n"/>
      <c r="MD69" s="111" t="n"/>
      <c r="ME69" s="111" t="n"/>
      <c r="MF69" s="111" t="n"/>
      <c r="MG69" s="111" t="n"/>
      <c r="MH69" s="111" t="n"/>
      <c r="MI69" s="111" t="n"/>
      <c r="MJ69" s="111" t="n"/>
      <c r="MK69" s="111" t="n"/>
      <c r="ML69" s="111" t="n"/>
      <c r="MM69" s="111" t="n"/>
      <c r="MN69" s="111" t="n"/>
      <c r="MO69" s="111" t="n"/>
      <c r="MP69" s="111" t="n"/>
      <c r="MQ69" s="111" t="n"/>
      <c r="MR69" s="111" t="n"/>
      <c r="MS69" s="111" t="n"/>
      <c r="MT69" s="111" t="n"/>
      <c r="MU69" s="111" t="n"/>
      <c r="MV69" s="111" t="n"/>
      <c r="MW69" s="111" t="n"/>
      <c r="MX69" s="111" t="n"/>
      <c r="MY69" s="111" t="n"/>
      <c r="MZ69" s="111" t="n"/>
      <c r="NA69" s="111" t="n"/>
      <c r="NB69" s="111" t="n"/>
      <c r="NC69" s="111" t="n"/>
      <c r="ND69" s="111" t="n"/>
      <c r="NE69" s="111" t="n"/>
      <c r="NF69" s="111" t="n"/>
      <c r="NG69" s="111" t="n"/>
      <c r="NH69" s="111" t="n"/>
      <c r="NI69" s="111" t="n"/>
      <c r="NJ69" s="111" t="n"/>
      <c r="NK69" s="111" t="n"/>
      <c r="NL69" s="111" t="n"/>
      <c r="NM69" s="111" t="n"/>
      <c r="NN69" s="111" t="n"/>
      <c r="NO69" s="111" t="n"/>
    </row>
    <row r="70" customFormat="1" s="17">
      <c r="A70" s="77">
        <f>IF(ISERROR(VALUE(SUBSTITUTE(OFFSET(A70,-1,0,1,1),".",""))),"1",IF(ISERROR(FIND("`",SUBSTITUTE(OFFSET(A70,-1,0,1,1),".","`",1))),TEXT(VALUE(OFFSET(A70,-1,0,1,1))+1,"#"),TEXT(VALUE(LEFT(OFFSET(A70,-1,0,1,1),FIND("`",SUBSTITUTE(OFFSET(A70,-1,0,1,1),".","`",1))-1))+1,"#")))</f>
        <v/>
      </c>
      <c r="B70" s="85" t="inlineStr">
        <is>
          <t>[ Task Category ]</t>
        </is>
      </c>
      <c r="C70" s="11" t="n"/>
      <c r="D70" s="37" t="n"/>
      <c r="E70" s="37" t="n"/>
      <c r="F70" s="37" t="n"/>
      <c r="G70" s="275" t="n"/>
      <c r="H70" s="275" t="n"/>
      <c r="I70" s="21" t="n"/>
      <c r="J70" s="22" t="n"/>
      <c r="K70" s="15" t="n"/>
      <c r="L70" s="15" t="n"/>
      <c r="M70" s="14" t="n"/>
      <c r="N70" s="14" t="n"/>
      <c r="P70" s="111" t="n"/>
      <c r="Q70" s="111" t="n"/>
      <c r="R70" s="111" t="n"/>
      <c r="S70" s="111" t="n"/>
      <c r="T70" s="111" t="n"/>
      <c r="U70" s="111" t="n"/>
      <c r="V70" s="111" t="n"/>
      <c r="W70" s="111" t="n"/>
      <c r="X70" s="111" t="n"/>
      <c r="Y70" s="111" t="n"/>
      <c r="Z70" s="111" t="n"/>
      <c r="AA70" s="111" t="n"/>
      <c r="AB70" s="111" t="n"/>
      <c r="AC70" s="111" t="n"/>
      <c r="AD70" s="111" t="n"/>
      <c r="AE70" s="111" t="n"/>
      <c r="AF70" s="111" t="n"/>
      <c r="AG70" s="111" t="n"/>
      <c r="AH70" s="111" t="n"/>
      <c r="AI70" s="111" t="n"/>
      <c r="AJ70" s="111" t="n"/>
      <c r="AK70" s="111" t="n"/>
      <c r="AL70" s="111" t="n"/>
      <c r="AM70" s="111" t="n"/>
      <c r="AN70" s="111" t="n"/>
      <c r="AO70" s="111" t="n"/>
      <c r="AP70" s="111" t="n"/>
      <c r="AQ70" s="111" t="n"/>
      <c r="AR70" s="111" t="n"/>
      <c r="AS70" s="111" t="n"/>
      <c r="AT70" s="111" t="n"/>
      <c r="AU70" s="111" t="n"/>
      <c r="AV70" s="111" t="n"/>
      <c r="AW70" s="111" t="n"/>
      <c r="AX70" s="111" t="n"/>
      <c r="AY70" s="111" t="n"/>
      <c r="AZ70" s="111" t="n"/>
      <c r="BA70" s="111" t="n"/>
      <c r="BB70" s="111" t="n"/>
      <c r="BC70" s="111" t="n"/>
      <c r="BD70" s="111" t="n"/>
      <c r="BE70" s="111" t="n"/>
      <c r="BF70" s="111" t="n"/>
      <c r="BG70" s="111" t="n"/>
      <c r="BH70" s="111" t="n"/>
      <c r="BI70" s="111" t="n"/>
      <c r="BJ70" s="111" t="n"/>
      <c r="BK70" s="111" t="n"/>
      <c r="BL70" s="111" t="n"/>
      <c r="BM70" s="111" t="n"/>
      <c r="BN70" s="111" t="n"/>
      <c r="BO70" s="111" t="n"/>
      <c r="BP70" s="111" t="n"/>
      <c r="BQ70" s="111" t="n"/>
      <c r="BR70" s="111" t="n"/>
      <c r="BS70" s="111" t="n"/>
      <c r="BT70" s="111" t="n"/>
      <c r="BU70" s="111" t="n"/>
      <c r="BV70" s="111" t="n"/>
      <c r="BW70" s="111" t="n"/>
      <c r="BX70" s="111" t="n"/>
      <c r="BY70" s="111" t="n"/>
      <c r="BZ70" s="111" t="n"/>
      <c r="CA70" s="111" t="n"/>
      <c r="CB70" s="111" t="n"/>
      <c r="CC70" s="111" t="n"/>
      <c r="CD70" s="111" t="n"/>
      <c r="CE70" s="111" t="n"/>
      <c r="CF70" s="111" t="n"/>
      <c r="CG70" s="111" t="n"/>
      <c r="CH70" s="111" t="n"/>
      <c r="CI70" s="111" t="n"/>
      <c r="CJ70" s="111" t="n"/>
      <c r="CK70" s="111" t="n"/>
      <c r="CL70" s="111" t="n"/>
      <c r="CM70" s="111" t="n"/>
      <c r="CN70" s="111" t="n"/>
      <c r="CO70" s="111" t="n"/>
      <c r="CP70" s="111" t="n"/>
      <c r="CQ70" s="111" t="n"/>
      <c r="CR70" s="111" t="n"/>
      <c r="CS70" s="111" t="n"/>
      <c r="CT70" s="111" t="n"/>
      <c r="CU70" s="111" t="n"/>
      <c r="CV70" s="111" t="n"/>
      <c r="CW70" s="111" t="n"/>
      <c r="CX70" s="111" t="n"/>
      <c r="CY70" s="111" t="n"/>
      <c r="CZ70" s="111" t="n"/>
      <c r="DA70" s="111" t="n"/>
      <c r="DB70" s="111" t="n"/>
      <c r="DC70" s="111" t="n"/>
      <c r="DD70" s="111" t="n"/>
      <c r="DE70" s="111" t="n"/>
      <c r="DF70" s="111" t="n"/>
      <c r="DG70" s="111" t="n"/>
      <c r="DH70" s="111" t="n"/>
      <c r="DI70" s="111" t="n"/>
      <c r="DJ70" s="111" t="n"/>
      <c r="DK70" s="111" t="n"/>
      <c r="DL70" s="111" t="n"/>
      <c r="DM70" s="111" t="n"/>
      <c r="DN70" s="111" t="n"/>
      <c r="DO70" s="111" t="n"/>
      <c r="DP70" s="111" t="n"/>
      <c r="DQ70" s="111" t="n"/>
      <c r="DR70" s="111" t="n"/>
      <c r="DS70" s="111" t="n"/>
      <c r="DT70" s="111" t="n"/>
      <c r="DU70" s="111" t="n"/>
      <c r="DV70" s="111" t="n"/>
      <c r="DW70" s="111" t="n"/>
      <c r="DX70" s="111" t="n"/>
      <c r="DY70" s="111" t="n"/>
      <c r="DZ70" s="111" t="n"/>
      <c r="EA70" s="111" t="n"/>
      <c r="EB70" s="111" t="n"/>
      <c r="EC70" s="111" t="n"/>
      <c r="ED70" s="111" t="n"/>
      <c r="EE70" s="111" t="n"/>
      <c r="EF70" s="111" t="n"/>
      <c r="EG70" s="111" t="n"/>
      <c r="EH70" s="111" t="n"/>
      <c r="EI70" s="111" t="n"/>
      <c r="EJ70" s="111" t="n"/>
      <c r="EK70" s="111" t="n"/>
      <c r="EL70" s="111" t="n"/>
      <c r="EM70" s="111" t="n"/>
      <c r="EN70" s="111" t="n"/>
      <c r="EO70" s="111" t="n"/>
      <c r="EP70" s="111" t="n"/>
      <c r="EQ70" s="111" t="n"/>
      <c r="ER70" s="111" t="n"/>
      <c r="ES70" s="111" t="n"/>
      <c r="ET70" s="111" t="n"/>
      <c r="EU70" s="111" t="n"/>
      <c r="EV70" s="111" t="n"/>
      <c r="EW70" s="111" t="n"/>
      <c r="EX70" s="111" t="n"/>
      <c r="EY70" s="111" t="n"/>
      <c r="EZ70" s="111" t="n"/>
      <c r="FA70" s="111" t="n"/>
      <c r="FB70" s="111" t="n"/>
      <c r="FC70" s="111" t="n"/>
      <c r="FD70" s="111" t="n"/>
      <c r="FE70" s="111" t="n"/>
      <c r="FF70" s="111" t="n"/>
      <c r="FG70" s="111" t="n"/>
      <c r="FH70" s="111" t="n"/>
      <c r="FI70" s="111" t="n"/>
      <c r="FJ70" s="111" t="n"/>
      <c r="FK70" s="111" t="n"/>
      <c r="FL70" s="111" t="n"/>
      <c r="FM70" s="111" t="n"/>
      <c r="FN70" s="111" t="n"/>
      <c r="FO70" s="111" t="n"/>
      <c r="FP70" s="111" t="n"/>
      <c r="FQ70" s="111" t="n"/>
      <c r="FR70" s="111" t="n"/>
      <c r="FS70" s="111" t="n"/>
      <c r="FT70" s="111" t="n"/>
      <c r="FU70" s="111" t="n"/>
      <c r="FV70" s="111" t="n"/>
      <c r="FW70" s="111" t="n"/>
      <c r="FX70" s="111" t="n"/>
      <c r="FY70" s="111" t="n"/>
      <c r="FZ70" s="111" t="n"/>
      <c r="GA70" s="111" t="n"/>
      <c r="GB70" s="111" t="n"/>
      <c r="GC70" s="111" t="n"/>
      <c r="GD70" s="111" t="n"/>
      <c r="GE70" s="111" t="n"/>
      <c r="GF70" s="111" t="n"/>
      <c r="GG70" s="111" t="n"/>
      <c r="GH70" s="111" t="n"/>
      <c r="GI70" s="111" t="n"/>
      <c r="GJ70" s="111" t="n"/>
      <c r="GK70" s="111" t="n"/>
      <c r="GL70" s="111" t="n"/>
      <c r="GM70" s="111" t="n"/>
      <c r="GN70" s="111" t="n"/>
      <c r="GO70" s="111" t="n"/>
      <c r="GP70" s="111" t="n"/>
      <c r="GQ70" s="111" t="n"/>
      <c r="GR70" s="111" t="n"/>
      <c r="GS70" s="111" t="n"/>
      <c r="GT70" s="111" t="n"/>
      <c r="GU70" s="111" t="n"/>
      <c r="GV70" s="111" t="n"/>
      <c r="GW70" s="111" t="n"/>
      <c r="GX70" s="111" t="n"/>
      <c r="GY70" s="111" t="n"/>
      <c r="GZ70" s="111" t="n"/>
      <c r="HA70" s="111" t="n"/>
      <c r="HB70" s="111" t="n"/>
      <c r="HC70" s="111" t="n"/>
      <c r="HD70" s="111" t="n"/>
      <c r="HE70" s="111" t="n"/>
      <c r="HF70" s="111" t="n"/>
      <c r="HG70" s="111" t="n"/>
      <c r="HH70" s="111" t="n"/>
      <c r="HI70" s="111" t="n"/>
      <c r="HJ70" s="111" t="n"/>
      <c r="HK70" s="111" t="n"/>
      <c r="HL70" s="111" t="n"/>
      <c r="HM70" s="111" t="n"/>
      <c r="HN70" s="111" t="n"/>
      <c r="HO70" s="111" t="n"/>
      <c r="HP70" s="111" t="n"/>
      <c r="HQ70" s="111" t="n"/>
      <c r="HR70" s="111" t="n"/>
      <c r="HS70" s="111" t="n"/>
      <c r="HT70" s="111" t="n"/>
      <c r="HU70" s="111" t="n"/>
      <c r="HV70" s="111" t="n"/>
      <c r="HW70" s="111" t="n"/>
      <c r="HX70" s="111" t="n"/>
      <c r="HY70" s="111" t="n"/>
      <c r="HZ70" s="111" t="n"/>
      <c r="IA70" s="111" t="n"/>
      <c r="IB70" s="111" t="n"/>
      <c r="IC70" s="111" t="n"/>
      <c r="ID70" s="111" t="n"/>
      <c r="IE70" s="111" t="n"/>
      <c r="IF70" s="111" t="n"/>
      <c r="IG70" s="111" t="n"/>
      <c r="IH70" s="111" t="n"/>
      <c r="II70" s="111" t="n"/>
      <c r="IJ70" s="111" t="n"/>
      <c r="IK70" s="111" t="n"/>
      <c r="IL70" s="111" t="n"/>
      <c r="IM70" s="111" t="n"/>
      <c r="IN70" s="111" t="n"/>
      <c r="IO70" s="111" t="n"/>
      <c r="IP70" s="111" t="n"/>
      <c r="IQ70" s="111" t="n"/>
      <c r="IR70" s="111" t="n"/>
      <c r="IS70" s="111" t="n"/>
      <c r="IT70" s="111" t="n"/>
      <c r="IU70" s="111" t="n"/>
      <c r="IV70" s="111" t="n"/>
      <c r="IW70" s="111" t="n"/>
      <c r="IX70" s="111" t="n"/>
      <c r="IY70" s="111" t="n"/>
      <c r="IZ70" s="111" t="n"/>
      <c r="JA70" s="111" t="n"/>
      <c r="JB70" s="111" t="n"/>
      <c r="JC70" s="111" t="n"/>
      <c r="JD70" s="111" t="n"/>
      <c r="JE70" s="111" t="n"/>
      <c r="JF70" s="111" t="n"/>
      <c r="JG70" s="111" t="n"/>
      <c r="JH70" s="111" t="n"/>
      <c r="JI70" s="111" t="n"/>
      <c r="JJ70" s="111" t="n"/>
      <c r="JK70" s="111" t="n"/>
      <c r="JL70" s="111" t="n"/>
      <c r="JM70" s="111" t="n"/>
      <c r="JN70" s="111" t="n"/>
      <c r="JO70" s="111" t="n"/>
      <c r="JP70" s="111" t="n"/>
      <c r="JQ70" s="111" t="n"/>
      <c r="JR70" s="111" t="n"/>
      <c r="JS70" s="111" t="n"/>
      <c r="JT70" s="111" t="n"/>
      <c r="JU70" s="111" t="n"/>
      <c r="JV70" s="111" t="n"/>
      <c r="JW70" s="111" t="n"/>
      <c r="JX70" s="111" t="n"/>
      <c r="JY70" s="111" t="n"/>
      <c r="JZ70" s="111" t="n"/>
      <c r="KA70" s="111" t="n"/>
      <c r="KB70" s="111" t="n"/>
      <c r="KC70" s="111" t="n"/>
      <c r="KD70" s="111" t="n"/>
      <c r="KE70" s="111" t="n"/>
      <c r="KF70" s="111" t="n"/>
      <c r="KG70" s="111" t="n"/>
      <c r="KH70" s="111" t="n"/>
      <c r="KI70" s="111" t="n"/>
      <c r="KJ70" s="111" t="n"/>
      <c r="KK70" s="111" t="n"/>
      <c r="KL70" s="111" t="n"/>
      <c r="KM70" s="111" t="n"/>
      <c r="KN70" s="111" t="n"/>
      <c r="KO70" s="111" t="n"/>
      <c r="KP70" s="111" t="n"/>
      <c r="KQ70" s="111" t="n"/>
      <c r="KR70" s="111" t="n"/>
      <c r="KS70" s="111" t="n"/>
      <c r="KT70" s="111" t="n"/>
      <c r="KU70" s="111" t="n"/>
      <c r="KV70" s="111" t="n"/>
      <c r="KW70" s="111" t="n"/>
      <c r="KX70" s="111" t="n"/>
      <c r="KY70" s="111" t="n"/>
      <c r="KZ70" s="111" t="n"/>
      <c r="LA70" s="111" t="n"/>
      <c r="LB70" s="111" t="n"/>
      <c r="LC70" s="111" t="n"/>
      <c r="LD70" s="111" t="n"/>
      <c r="LE70" s="111" t="n"/>
      <c r="LF70" s="111" t="n"/>
      <c r="LG70" s="111" t="n"/>
      <c r="LH70" s="111" t="n"/>
      <c r="LI70" s="111" t="n"/>
      <c r="LJ70" s="111" t="n"/>
      <c r="LK70" s="111" t="n"/>
      <c r="LL70" s="111" t="n"/>
      <c r="LM70" s="111" t="n"/>
      <c r="LN70" s="111" t="n"/>
      <c r="LO70" s="111" t="n"/>
      <c r="LP70" s="111" t="n"/>
      <c r="LQ70" s="111" t="n"/>
      <c r="LR70" s="111" t="n"/>
      <c r="LS70" s="111" t="n"/>
      <c r="LT70" s="111" t="n"/>
      <c r="LU70" s="111" t="n"/>
      <c r="LV70" s="111" t="n"/>
      <c r="LW70" s="111" t="n"/>
      <c r="LX70" s="111" t="n"/>
      <c r="LY70" s="111" t="n"/>
      <c r="LZ70" s="111" t="n"/>
      <c r="MA70" s="111" t="n"/>
      <c r="MB70" s="111" t="n"/>
      <c r="MC70" s="111" t="n"/>
      <c r="MD70" s="111" t="n"/>
      <c r="ME70" s="111" t="n"/>
      <c r="MF70" s="111" t="n"/>
      <c r="MG70" s="111" t="n"/>
      <c r="MH70" s="111" t="n"/>
      <c r="MI70" s="111" t="n"/>
      <c r="MJ70" s="111" t="n"/>
      <c r="MK70" s="111" t="n"/>
      <c r="ML70" s="111" t="n"/>
      <c r="MM70" s="111" t="n"/>
      <c r="MN70" s="111" t="n"/>
      <c r="MO70" s="111" t="n"/>
      <c r="MP70" s="111" t="n"/>
      <c r="MQ70" s="111" t="n"/>
      <c r="MR70" s="111" t="n"/>
      <c r="MS70" s="111" t="n"/>
      <c r="MT70" s="111" t="n"/>
      <c r="MU70" s="111" t="n"/>
      <c r="MV70" s="111" t="n"/>
      <c r="MW70" s="111" t="n"/>
      <c r="MX70" s="111" t="n"/>
      <c r="MY70" s="111" t="n"/>
      <c r="MZ70" s="111" t="n"/>
      <c r="NA70" s="111" t="n"/>
      <c r="NB70" s="111" t="n"/>
      <c r="NC70" s="111" t="n"/>
      <c r="ND70" s="111" t="n"/>
      <c r="NE70" s="111" t="n"/>
      <c r="NF70" s="111" t="n"/>
      <c r="NG70" s="111" t="n"/>
      <c r="NH70" s="111" t="n"/>
      <c r="NI70" s="111" t="n"/>
      <c r="NJ70" s="111" t="n"/>
      <c r="NK70" s="111" t="n"/>
      <c r="NL70" s="111" t="n"/>
      <c r="NM70" s="111" t="n"/>
      <c r="NN70" s="111" t="n"/>
      <c r="NO70" s="111" t="n"/>
    </row>
    <row r="71" customFormat="1" s="17">
      <c r="A71" s="33">
        <f>IF(ISERROR(VALUE(SUBSTITUTE(OFFSET(A71,-1,0,1,1),".",""))),"0.1",IF(ISERROR(FIND("`",SUBSTITUTE(OFFSET(A71,-1,0,1,1),".","`",1))),OFFSET(A71,-1,0,1,1)&amp;".1",LEFT(OFFSET(A71,-1,0,1,1),FIND("`",SUBSTITUTE(OFFSET(A71,-1,0,1,1),".","`",1)))&amp;IF(ISERROR(FIND("`",SUBSTITUTE(OFFSET(A71,-1,0,1,1),".","`",2))),VALUE(RIGHT(OFFSET(A71,-1,0,1,1),LEN(OFFSET(A71,-1,0,1,1))-FIND("`",SUBSTITUTE(OFFSET(A71,-1,0,1,1),".","`",1))))+1,VALUE(MID(OFFSET(A71,-1,0,1,1),FIND("`",SUBSTITUTE(OFFSET(A71,-1,0,1,1),".","`",1))+1,(FIND("`",SUBSTITUTE(OFFSET(A71,-1,0,1,1),".","`",2))-FIND("`",SUBSTITUTE(OFFSET(A71,-1,0,1,1),".","`",1))-1)))+1)))</f>
        <v/>
      </c>
      <c r="B71" s="10" t="inlineStr">
        <is>
          <t>[ Level 2 Task (label only) ]</t>
        </is>
      </c>
      <c r="C71" s="11" t="n"/>
      <c r="D71" s="37" t="n"/>
      <c r="E71" s="37" t="n"/>
      <c r="F71" s="37" t="n"/>
      <c r="G71" s="275" t="n"/>
      <c r="H71" s="275" t="n"/>
      <c r="I71" s="21" t="n"/>
      <c r="J71" s="22" t="n"/>
      <c r="K71" s="15" t="n"/>
      <c r="L71" s="15" t="n"/>
      <c r="M71" s="14" t="n"/>
      <c r="N71" s="14" t="n"/>
      <c r="O71" s="17" t="n"/>
      <c r="P71" s="111" t="n"/>
      <c r="Q71" s="111" t="n"/>
      <c r="R71" s="111" t="n"/>
      <c r="S71" s="111" t="n"/>
      <c r="T71" s="111" t="n"/>
      <c r="U71" s="111" t="n"/>
      <c r="V71" s="111" t="n"/>
      <c r="W71" s="111" t="n"/>
      <c r="X71" s="111" t="n"/>
      <c r="Y71" s="111" t="n"/>
      <c r="Z71" s="111" t="n"/>
      <c r="AA71" s="111" t="n"/>
      <c r="AB71" s="111" t="n"/>
      <c r="AC71" s="111" t="n"/>
      <c r="AD71" s="111" t="n"/>
      <c r="AE71" s="111" t="n"/>
      <c r="AF71" s="111" t="n"/>
      <c r="AG71" s="111" t="n"/>
      <c r="AH71" s="111" t="n"/>
      <c r="AI71" s="111" t="n"/>
      <c r="AJ71" s="111" t="n"/>
      <c r="AK71" s="111" t="n"/>
      <c r="AL71" s="111" t="n"/>
      <c r="AM71" s="111" t="n"/>
      <c r="AN71" s="111" t="n"/>
      <c r="AO71" s="111" t="n"/>
      <c r="AP71" s="111" t="n"/>
      <c r="AQ71" s="111" t="n"/>
      <c r="AR71" s="111" t="n"/>
      <c r="AS71" s="111" t="n"/>
      <c r="AT71" s="111" t="n"/>
      <c r="AU71" s="111" t="n"/>
      <c r="AV71" s="111" t="n"/>
      <c r="AW71" s="111" t="n"/>
      <c r="AX71" s="111" t="n"/>
      <c r="AY71" s="111" t="n"/>
      <c r="AZ71" s="111" t="n"/>
      <c r="BA71" s="111" t="n"/>
      <c r="BB71" s="111" t="n"/>
      <c r="BC71" s="111" t="n"/>
      <c r="BD71" s="111" t="n"/>
      <c r="BE71" s="111" t="n"/>
      <c r="BF71" s="111" t="n"/>
      <c r="BG71" s="111" t="n"/>
      <c r="BH71" s="111" t="n"/>
      <c r="BI71" s="111"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1" t="n"/>
      <c r="CC71" s="111" t="n"/>
      <c r="CD71" s="111" t="n"/>
      <c r="CE71" s="111" t="n"/>
      <c r="CF71" s="111" t="n"/>
      <c r="CG71" s="111" t="n"/>
      <c r="CH71" s="111" t="n"/>
      <c r="CI71" s="111" t="n"/>
      <c r="CJ71" s="111" t="n"/>
      <c r="CK71" s="111" t="n"/>
      <c r="CL71" s="111" t="n"/>
      <c r="CM71" s="111" t="n"/>
      <c r="CN71" s="111" t="n"/>
      <c r="CO71" s="111" t="n"/>
      <c r="CP71" s="111" t="n"/>
      <c r="CQ71" s="111" t="n"/>
      <c r="CR71" s="111" t="n"/>
      <c r="CS71" s="111" t="n"/>
      <c r="CT71" s="111" t="n"/>
      <c r="CU71" s="111" t="n"/>
      <c r="CV71" s="111" t="n"/>
      <c r="CW71" s="111" t="n"/>
      <c r="CX71" s="111" t="n"/>
      <c r="CY71" s="111" t="n"/>
      <c r="CZ71" s="111" t="n"/>
      <c r="DA71" s="111" t="n"/>
      <c r="DB71" s="111" t="n"/>
      <c r="DC71" s="111" t="n"/>
      <c r="DD71" s="111" t="n"/>
      <c r="DE71" s="111" t="n"/>
      <c r="DF71" s="111" t="n"/>
      <c r="DG71" s="111" t="n"/>
      <c r="DH71" s="111" t="n"/>
      <c r="DI71" s="111" t="n"/>
      <c r="DJ71" s="111" t="n"/>
      <c r="DK71" s="111" t="n"/>
      <c r="DL71" s="111" t="n"/>
      <c r="DM71" s="111" t="n"/>
      <c r="DN71" s="111" t="n"/>
      <c r="DO71" s="111" t="n"/>
      <c r="DP71" s="111" t="n"/>
      <c r="DQ71" s="111" t="n"/>
      <c r="DR71" s="111" t="n"/>
      <c r="DS71" s="111" t="n"/>
      <c r="DT71" s="111" t="n"/>
      <c r="DU71" s="111" t="n"/>
      <c r="DV71" s="111" t="n"/>
      <c r="DW71" s="111" t="n"/>
      <c r="DX71" s="111" t="n"/>
      <c r="DY71" s="111" t="n"/>
      <c r="DZ71" s="111" t="n"/>
      <c r="EA71" s="111" t="n"/>
      <c r="EB71" s="111" t="n"/>
      <c r="EC71" s="111" t="n"/>
      <c r="ED71" s="111" t="n"/>
      <c r="EE71" s="111" t="n"/>
      <c r="EF71" s="111" t="n"/>
      <c r="EG71" s="111" t="n"/>
      <c r="EH71" s="111" t="n"/>
      <c r="EI71" s="111" t="n"/>
      <c r="EJ71" s="111" t="n"/>
      <c r="EK71" s="111" t="n"/>
      <c r="EL71" s="111" t="n"/>
      <c r="EM71" s="111" t="n"/>
      <c r="EN71" s="111" t="n"/>
      <c r="EO71" s="111" t="n"/>
      <c r="EP71" s="111" t="n"/>
      <c r="EQ71" s="111" t="n"/>
      <c r="ER71" s="111" t="n"/>
      <c r="ES71" s="111" t="n"/>
      <c r="ET71" s="111" t="n"/>
      <c r="EU71" s="111" t="n"/>
      <c r="EV71" s="111" t="n"/>
      <c r="EW71" s="111" t="n"/>
      <c r="EX71" s="111" t="n"/>
      <c r="EY71" s="111" t="n"/>
      <c r="EZ71" s="111" t="n"/>
      <c r="FA71" s="111" t="n"/>
      <c r="FB71" s="111" t="n"/>
      <c r="FC71" s="111" t="n"/>
      <c r="FD71" s="111" t="n"/>
      <c r="FE71" s="111" t="n"/>
      <c r="FF71" s="111" t="n"/>
      <c r="FG71" s="111" t="n"/>
      <c r="FH71" s="111" t="n"/>
      <c r="FI71" s="111" t="n"/>
      <c r="FJ71" s="111" t="n"/>
      <c r="FK71" s="111" t="n"/>
      <c r="FL71" s="111" t="n"/>
      <c r="FM71" s="111" t="n"/>
      <c r="FN71" s="111" t="n"/>
      <c r="FO71" s="111" t="n"/>
      <c r="FP71" s="111" t="n"/>
      <c r="FQ71" s="111" t="n"/>
      <c r="FR71" s="111" t="n"/>
      <c r="FS71" s="111" t="n"/>
      <c r="FT71" s="111" t="n"/>
      <c r="FU71" s="111" t="n"/>
      <c r="FV71" s="111" t="n"/>
      <c r="FW71" s="111" t="n"/>
      <c r="FX71" s="111" t="n"/>
      <c r="FY71" s="111" t="n"/>
      <c r="FZ71" s="111" t="n"/>
      <c r="GA71" s="111" t="n"/>
      <c r="GB71" s="111" t="n"/>
      <c r="GC71" s="111" t="n"/>
      <c r="GD71" s="111" t="n"/>
      <c r="GE71" s="111" t="n"/>
      <c r="GF71" s="111" t="n"/>
      <c r="GG71" s="111" t="n"/>
      <c r="GH71" s="111" t="n"/>
      <c r="GI71" s="111" t="n"/>
      <c r="GJ71" s="111" t="n"/>
      <c r="GK71" s="111" t="n"/>
      <c r="GL71" s="111" t="n"/>
      <c r="GM71" s="111" t="n"/>
      <c r="GN71" s="111" t="n"/>
      <c r="GO71" s="111" t="n"/>
      <c r="GP71" s="111" t="n"/>
      <c r="GQ71" s="111" t="n"/>
      <c r="GR71" s="111" t="n"/>
      <c r="GS71" s="111" t="n"/>
      <c r="GT71" s="111" t="n"/>
      <c r="GU71" s="111" t="n"/>
      <c r="GV71" s="111" t="n"/>
      <c r="GW71" s="111" t="n"/>
      <c r="GX71" s="111" t="n"/>
      <c r="GY71" s="111" t="n"/>
      <c r="GZ71" s="111" t="n"/>
      <c r="HA71" s="111" t="n"/>
      <c r="HB71" s="111" t="n"/>
      <c r="HC71" s="111" t="n"/>
      <c r="HD71" s="111" t="n"/>
      <c r="HE71" s="111" t="n"/>
      <c r="HF71" s="111" t="n"/>
      <c r="HG71" s="111" t="n"/>
      <c r="HH71" s="111" t="n"/>
      <c r="HI71" s="111" t="n"/>
      <c r="HJ71" s="111" t="n"/>
      <c r="HK71" s="111" t="n"/>
      <c r="HL71" s="111" t="n"/>
      <c r="HM71" s="111" t="n"/>
      <c r="HN71" s="111" t="n"/>
      <c r="HO71" s="111" t="n"/>
      <c r="HP71" s="111" t="n"/>
      <c r="HQ71" s="111" t="n"/>
      <c r="HR71" s="111" t="n"/>
      <c r="HS71" s="111" t="n"/>
      <c r="HT71" s="111" t="n"/>
      <c r="HU71" s="111" t="n"/>
      <c r="HV71" s="111" t="n"/>
      <c r="HW71" s="111" t="n"/>
      <c r="HX71" s="111" t="n"/>
      <c r="HY71" s="111" t="n"/>
      <c r="HZ71" s="111" t="n"/>
      <c r="IA71" s="111" t="n"/>
      <c r="IB71" s="111" t="n"/>
      <c r="IC71" s="111" t="n"/>
      <c r="ID71" s="111" t="n"/>
      <c r="IE71" s="111" t="n"/>
      <c r="IF71" s="111" t="n"/>
      <c r="IG71" s="111" t="n"/>
      <c r="IH71" s="111" t="n"/>
      <c r="II71" s="111" t="n"/>
      <c r="IJ71" s="111" t="n"/>
      <c r="IK71" s="111" t="n"/>
      <c r="IL71" s="111" t="n"/>
      <c r="IM71" s="111" t="n"/>
      <c r="IN71" s="111" t="n"/>
      <c r="IO71" s="111" t="n"/>
      <c r="IP71" s="111" t="n"/>
      <c r="IQ71" s="111" t="n"/>
      <c r="IR71" s="111" t="n"/>
      <c r="IS71" s="111" t="n"/>
      <c r="IT71" s="111" t="n"/>
      <c r="IU71" s="111" t="n"/>
      <c r="IV71" s="111" t="n"/>
      <c r="IW71" s="111" t="n"/>
      <c r="IX71" s="111" t="n"/>
      <c r="IY71" s="111" t="n"/>
      <c r="IZ71" s="111" t="n"/>
      <c r="JA71" s="111" t="n"/>
      <c r="JB71" s="111" t="n"/>
      <c r="JC71" s="111" t="n"/>
      <c r="JD71" s="111" t="n"/>
      <c r="JE71" s="111" t="n"/>
      <c r="JF71" s="111" t="n"/>
      <c r="JG71" s="111" t="n"/>
      <c r="JH71" s="111" t="n"/>
      <c r="JI71" s="111" t="n"/>
      <c r="JJ71" s="111" t="n"/>
      <c r="JK71" s="111" t="n"/>
      <c r="JL71" s="111" t="n"/>
      <c r="JM71" s="111" t="n"/>
      <c r="JN71" s="111" t="n"/>
      <c r="JO71" s="111" t="n"/>
      <c r="JP71" s="111" t="n"/>
      <c r="JQ71" s="111" t="n"/>
      <c r="JR71" s="111" t="n"/>
      <c r="JS71" s="111" t="n"/>
      <c r="JT71" s="111" t="n"/>
      <c r="JU71" s="111" t="n"/>
      <c r="JV71" s="111" t="n"/>
      <c r="JW71" s="111" t="n"/>
      <c r="JX71" s="111" t="n"/>
      <c r="JY71" s="111" t="n"/>
      <c r="JZ71" s="111" t="n"/>
      <c r="KA71" s="111" t="n"/>
      <c r="KB71" s="111" t="n"/>
      <c r="KC71" s="111" t="n"/>
      <c r="KD71" s="111" t="n"/>
      <c r="KE71" s="111" t="n"/>
      <c r="KF71" s="111" t="n"/>
      <c r="KG71" s="111" t="n"/>
      <c r="KH71" s="111" t="n"/>
      <c r="KI71" s="111" t="n"/>
      <c r="KJ71" s="111" t="n"/>
      <c r="KK71" s="111" t="n"/>
      <c r="KL71" s="111" t="n"/>
      <c r="KM71" s="111" t="n"/>
      <c r="KN71" s="111" t="n"/>
      <c r="KO71" s="111" t="n"/>
      <c r="KP71" s="111" t="n"/>
      <c r="KQ71" s="111" t="n"/>
      <c r="KR71" s="111" t="n"/>
      <c r="KS71" s="111" t="n"/>
      <c r="KT71" s="111" t="n"/>
      <c r="KU71" s="111" t="n"/>
      <c r="KV71" s="111" t="n"/>
      <c r="KW71" s="111" t="n"/>
      <c r="KX71" s="111" t="n"/>
      <c r="KY71" s="111" t="n"/>
      <c r="KZ71" s="111" t="n"/>
      <c r="LA71" s="111" t="n"/>
      <c r="LB71" s="111" t="n"/>
      <c r="LC71" s="111" t="n"/>
      <c r="LD71" s="111" t="n"/>
      <c r="LE71" s="111" t="n"/>
      <c r="LF71" s="111" t="n"/>
      <c r="LG71" s="111" t="n"/>
      <c r="LH71" s="111" t="n"/>
      <c r="LI71" s="111" t="n"/>
      <c r="LJ71" s="111" t="n"/>
      <c r="LK71" s="111" t="n"/>
      <c r="LL71" s="111" t="n"/>
      <c r="LM71" s="111" t="n"/>
      <c r="LN71" s="111" t="n"/>
      <c r="LO71" s="111" t="n"/>
      <c r="LP71" s="111" t="n"/>
      <c r="LQ71" s="111" t="n"/>
      <c r="LR71" s="111" t="n"/>
      <c r="LS71" s="111" t="n"/>
      <c r="LT71" s="111" t="n"/>
      <c r="LU71" s="111" t="n"/>
      <c r="LV71" s="111" t="n"/>
      <c r="LW71" s="111" t="n"/>
      <c r="LX71" s="111" t="n"/>
      <c r="LY71" s="111" t="n"/>
      <c r="LZ71" s="111" t="n"/>
      <c r="MA71" s="111" t="n"/>
      <c r="MB71" s="111" t="n"/>
      <c r="MC71" s="111" t="n"/>
      <c r="MD71" s="111" t="n"/>
      <c r="ME71" s="111" t="n"/>
      <c r="MF71" s="111" t="n"/>
      <c r="MG71" s="111" t="n"/>
      <c r="MH71" s="111" t="n"/>
      <c r="MI71" s="111" t="n"/>
      <c r="MJ71" s="111" t="n"/>
      <c r="MK71" s="111" t="n"/>
      <c r="ML71" s="111" t="n"/>
      <c r="MM71" s="111" t="n"/>
      <c r="MN71" s="111" t="n"/>
      <c r="MO71" s="111" t="n"/>
      <c r="MP71" s="111" t="n"/>
      <c r="MQ71" s="111" t="n"/>
      <c r="MR71" s="111" t="n"/>
      <c r="MS71" s="111" t="n"/>
      <c r="MT71" s="111" t="n"/>
      <c r="MU71" s="111" t="n"/>
      <c r="MV71" s="111" t="n"/>
      <c r="MW71" s="111" t="n"/>
      <c r="MX71" s="111" t="n"/>
      <c r="MY71" s="111" t="n"/>
      <c r="MZ71" s="111" t="n"/>
      <c r="NA71" s="111" t="n"/>
      <c r="NB71" s="111" t="n"/>
      <c r="NC71" s="111" t="n"/>
      <c r="ND71" s="111" t="n"/>
      <c r="NE71" s="111" t="n"/>
      <c r="NF71" s="111" t="n"/>
      <c r="NG71" s="111" t="n"/>
      <c r="NH71" s="111" t="n"/>
      <c r="NI71" s="111" t="n"/>
      <c r="NJ71" s="111" t="n"/>
      <c r="NK71" s="111" t="n"/>
      <c r="NL71" s="111" t="n"/>
      <c r="NM71" s="111" t="n"/>
      <c r="NN71" s="111" t="n"/>
      <c r="NO71" s="111" t="n"/>
    </row>
    <row r="72" customFormat="1" s="17">
      <c r="A72" s="33">
        <f>IF(ISERROR(VALUE(SUBSTITUTE(OFFSET(A72,-1,0,1,1),".",""))),"0.0.1",IF(ISERROR(FIND("`",SUBSTITUTE(OFFSET(A72,-1,0,1,1),".","`",2))),OFFSET(A72,-1,0,1,1)&amp;".1",LEFT(OFFSET(A72,-1,0,1,1),FIND("`",SUBSTITUTE(OFFSET(A72,-1,0,1,1),".","`",2)))&amp;IF(ISERROR(FIND("`",SUBSTITUTE(OFFSET(A72,-1,0,1,1),".","`",3))),VALUE(RIGHT(OFFSET(A72,-1,0,1,1),LEN(OFFSET(A72,-1,0,1,1))-FIND("`",SUBSTITUTE(OFFSET(A72,-1,0,1,1),".","`",2))))+1,VALUE(MID(OFFSET(A72,-1,0,1,1),FIND("`",SUBSTITUTE(OFFSET(A72,-1,0,1,1),".","`",2))+1,(FIND("`",SUBSTITUTE(OFFSET(A72,-1,0,1,1),".","`",3))-FIND("`",SUBSTITUTE(OFFSET(A72,-1,0,1,1),".","`",2))-1)))+1)))</f>
        <v/>
      </c>
      <c r="B72" s="18" t="inlineStr">
        <is>
          <t>[ Level 3 Task (label only) ]</t>
        </is>
      </c>
      <c r="C72" s="11" t="n"/>
      <c r="D72" s="37" t="n"/>
      <c r="E72" s="37" t="n"/>
      <c r="F72" s="37" t="n"/>
      <c r="G72" s="275" t="n"/>
      <c r="H72" s="275" t="n"/>
      <c r="I72" s="21" t="n"/>
      <c r="J72" s="22" t="n"/>
      <c r="K72" s="15" t="n"/>
      <c r="L72" s="15" t="n"/>
      <c r="M72" s="14" t="n"/>
      <c r="N72" s="14" t="n"/>
      <c r="O72" s="17" t="n"/>
      <c r="P72" s="111" t="n"/>
      <c r="Q72" s="111" t="n"/>
      <c r="R72" s="111" t="n"/>
      <c r="S72" s="111" t="n"/>
      <c r="T72" s="111" t="n"/>
      <c r="U72" s="111" t="n"/>
      <c r="V72" s="111" t="n"/>
      <c r="W72" s="111" t="n"/>
      <c r="X72" s="111" t="n"/>
      <c r="Y72" s="111" t="n"/>
      <c r="Z72" s="111" t="n"/>
      <c r="AA72" s="111" t="n"/>
      <c r="AB72" s="111" t="n"/>
      <c r="AC72" s="111" t="n"/>
      <c r="AD72" s="111" t="n"/>
      <c r="AE72" s="111" t="n"/>
      <c r="AF72" s="111" t="n"/>
      <c r="AG72" s="111" t="n"/>
      <c r="AH72" s="111" t="n"/>
      <c r="AI72" s="111" t="n"/>
      <c r="AJ72" s="111" t="n"/>
      <c r="AK72" s="111" t="n"/>
      <c r="AL72" s="111" t="n"/>
      <c r="AM72" s="111" t="n"/>
      <c r="AN72" s="111" t="n"/>
      <c r="AO72" s="111" t="n"/>
      <c r="AP72" s="111" t="n"/>
      <c r="AQ72" s="111" t="n"/>
      <c r="AR72" s="111" t="n"/>
      <c r="AS72" s="111" t="n"/>
      <c r="AT72" s="111" t="n"/>
      <c r="AU72" s="111" t="n"/>
      <c r="AV72" s="111" t="n"/>
      <c r="AW72" s="111" t="n"/>
      <c r="AX72" s="111" t="n"/>
      <c r="AY72" s="111" t="n"/>
      <c r="AZ72" s="111" t="n"/>
      <c r="BA72" s="111" t="n"/>
      <c r="BB72" s="111" t="n"/>
      <c r="BC72" s="111" t="n"/>
      <c r="BD72" s="111" t="n"/>
      <c r="BE72" s="111" t="n"/>
      <c r="BF72" s="111" t="n"/>
      <c r="BG72" s="111" t="n"/>
      <c r="BH72" s="111" t="n"/>
      <c r="BI72" s="111" t="n"/>
      <c r="BJ72" s="111" t="n"/>
      <c r="BK72" s="111" t="n"/>
      <c r="BL72" s="111" t="n"/>
      <c r="BM72" s="111" t="n"/>
      <c r="BN72" s="111" t="n"/>
      <c r="BO72" s="111" t="n"/>
      <c r="BP72" s="111" t="n"/>
      <c r="BQ72" s="111" t="n"/>
      <c r="BR72" s="111" t="n"/>
      <c r="BS72" s="111" t="n"/>
      <c r="BT72" s="111" t="n"/>
      <c r="BU72" s="111" t="n"/>
      <c r="BV72" s="111" t="n"/>
      <c r="BW72" s="111" t="n"/>
      <c r="BX72" s="111" t="n"/>
      <c r="BY72" s="111" t="n"/>
      <c r="BZ72" s="111" t="n"/>
      <c r="CA72" s="111" t="n"/>
      <c r="CB72" s="111" t="n"/>
      <c r="CC72" s="111" t="n"/>
      <c r="CD72" s="111" t="n"/>
      <c r="CE72" s="111" t="n"/>
      <c r="CF72" s="111" t="n"/>
      <c r="CG72" s="111" t="n"/>
      <c r="CH72" s="111" t="n"/>
      <c r="CI72" s="111" t="n"/>
      <c r="CJ72" s="111" t="n"/>
      <c r="CK72" s="111" t="n"/>
      <c r="CL72" s="111" t="n"/>
      <c r="CM72" s="111" t="n"/>
      <c r="CN72" s="111" t="n"/>
      <c r="CO72" s="111" t="n"/>
      <c r="CP72" s="111" t="n"/>
      <c r="CQ72" s="111" t="n"/>
      <c r="CR72" s="111" t="n"/>
      <c r="CS72" s="111" t="n"/>
      <c r="CT72" s="111" t="n"/>
      <c r="CU72" s="111" t="n"/>
      <c r="CV72" s="111" t="n"/>
      <c r="CW72" s="111" t="n"/>
      <c r="CX72" s="111" t="n"/>
      <c r="CY72" s="111" t="n"/>
      <c r="CZ72" s="111" t="n"/>
      <c r="DA72" s="111" t="n"/>
      <c r="DB72" s="111" t="n"/>
      <c r="DC72" s="111" t="n"/>
      <c r="DD72" s="111" t="n"/>
      <c r="DE72" s="111" t="n"/>
      <c r="DF72" s="111" t="n"/>
      <c r="DG72" s="111" t="n"/>
      <c r="DH72" s="111" t="n"/>
      <c r="DI72" s="111" t="n"/>
      <c r="DJ72" s="111" t="n"/>
      <c r="DK72" s="111" t="n"/>
      <c r="DL72" s="111" t="n"/>
      <c r="DM72" s="111" t="n"/>
      <c r="DN72" s="111" t="n"/>
      <c r="DO72" s="111" t="n"/>
      <c r="DP72" s="111" t="n"/>
      <c r="DQ72" s="111" t="n"/>
      <c r="DR72" s="111" t="n"/>
      <c r="DS72" s="111" t="n"/>
      <c r="DT72" s="111" t="n"/>
      <c r="DU72" s="111" t="n"/>
      <c r="DV72" s="111" t="n"/>
      <c r="DW72" s="111" t="n"/>
      <c r="DX72" s="111" t="n"/>
      <c r="DY72" s="111" t="n"/>
      <c r="DZ72" s="111" t="n"/>
      <c r="EA72" s="111" t="n"/>
      <c r="EB72" s="111" t="n"/>
      <c r="EC72" s="111" t="n"/>
      <c r="ED72" s="111" t="n"/>
      <c r="EE72" s="111" t="n"/>
      <c r="EF72" s="111" t="n"/>
      <c r="EG72" s="111" t="n"/>
      <c r="EH72" s="111" t="n"/>
      <c r="EI72" s="111" t="n"/>
      <c r="EJ72" s="111" t="n"/>
      <c r="EK72" s="111" t="n"/>
      <c r="EL72" s="111" t="n"/>
      <c r="EM72" s="111" t="n"/>
      <c r="EN72" s="111" t="n"/>
      <c r="EO72" s="111" t="n"/>
      <c r="EP72" s="111" t="n"/>
      <c r="EQ72" s="111" t="n"/>
      <c r="ER72" s="111" t="n"/>
      <c r="ES72" s="111" t="n"/>
      <c r="ET72" s="111" t="n"/>
      <c r="EU72" s="111" t="n"/>
      <c r="EV72" s="111" t="n"/>
      <c r="EW72" s="111" t="n"/>
      <c r="EX72" s="111" t="n"/>
      <c r="EY72" s="111" t="n"/>
      <c r="EZ72" s="111" t="n"/>
      <c r="FA72" s="111" t="n"/>
      <c r="FB72" s="111" t="n"/>
      <c r="FC72" s="111" t="n"/>
      <c r="FD72" s="111" t="n"/>
      <c r="FE72" s="111" t="n"/>
      <c r="FF72" s="111" t="n"/>
      <c r="FG72" s="111" t="n"/>
      <c r="FH72" s="111" t="n"/>
      <c r="FI72" s="111" t="n"/>
      <c r="FJ72" s="111" t="n"/>
      <c r="FK72" s="111" t="n"/>
      <c r="FL72" s="111" t="n"/>
      <c r="FM72" s="111" t="n"/>
      <c r="FN72" s="111" t="n"/>
      <c r="FO72" s="111" t="n"/>
      <c r="FP72" s="111" t="n"/>
      <c r="FQ72" s="111" t="n"/>
      <c r="FR72" s="111" t="n"/>
      <c r="FS72" s="111" t="n"/>
      <c r="FT72" s="111" t="n"/>
      <c r="FU72" s="111" t="n"/>
      <c r="FV72" s="111" t="n"/>
      <c r="FW72" s="111" t="n"/>
      <c r="FX72" s="111" t="n"/>
      <c r="FY72" s="111" t="n"/>
      <c r="FZ72" s="111" t="n"/>
      <c r="GA72" s="111" t="n"/>
      <c r="GB72" s="111" t="n"/>
      <c r="GC72" s="111" t="n"/>
      <c r="GD72" s="111" t="n"/>
      <c r="GE72" s="111" t="n"/>
      <c r="GF72" s="111" t="n"/>
      <c r="GG72" s="111" t="n"/>
      <c r="GH72" s="111" t="n"/>
      <c r="GI72" s="111" t="n"/>
      <c r="GJ72" s="111" t="n"/>
      <c r="GK72" s="111" t="n"/>
      <c r="GL72" s="111" t="n"/>
      <c r="GM72" s="111" t="n"/>
      <c r="GN72" s="111" t="n"/>
      <c r="GO72" s="111" t="n"/>
      <c r="GP72" s="111" t="n"/>
      <c r="GQ72" s="111" t="n"/>
      <c r="GR72" s="111" t="n"/>
      <c r="GS72" s="111" t="n"/>
      <c r="GT72" s="111" t="n"/>
      <c r="GU72" s="111" t="n"/>
      <c r="GV72" s="111" t="n"/>
      <c r="GW72" s="111" t="n"/>
      <c r="GX72" s="111" t="n"/>
      <c r="GY72" s="111" t="n"/>
      <c r="GZ72" s="111" t="n"/>
      <c r="HA72" s="111" t="n"/>
      <c r="HB72" s="111" t="n"/>
      <c r="HC72" s="111" t="n"/>
      <c r="HD72" s="111" t="n"/>
      <c r="HE72" s="111" t="n"/>
      <c r="HF72" s="111" t="n"/>
      <c r="HG72" s="111" t="n"/>
      <c r="HH72" s="111" t="n"/>
      <c r="HI72" s="111" t="n"/>
      <c r="HJ72" s="111" t="n"/>
      <c r="HK72" s="111" t="n"/>
      <c r="HL72" s="111" t="n"/>
      <c r="HM72" s="111" t="n"/>
      <c r="HN72" s="111" t="n"/>
      <c r="HO72" s="111" t="n"/>
      <c r="HP72" s="111" t="n"/>
      <c r="HQ72" s="111" t="n"/>
      <c r="HR72" s="111" t="n"/>
      <c r="HS72" s="111" t="n"/>
      <c r="HT72" s="111" t="n"/>
      <c r="HU72" s="111" t="n"/>
      <c r="HV72" s="111" t="n"/>
      <c r="HW72" s="111" t="n"/>
      <c r="HX72" s="111" t="n"/>
      <c r="HY72" s="111" t="n"/>
      <c r="HZ72" s="111" t="n"/>
      <c r="IA72" s="111" t="n"/>
      <c r="IB72" s="111" t="n"/>
      <c r="IC72" s="111" t="n"/>
      <c r="ID72" s="111" t="n"/>
      <c r="IE72" s="111" t="n"/>
      <c r="IF72" s="111" t="n"/>
      <c r="IG72" s="111" t="n"/>
      <c r="IH72" s="111" t="n"/>
      <c r="II72" s="111" t="n"/>
      <c r="IJ72" s="111" t="n"/>
      <c r="IK72" s="111" t="n"/>
      <c r="IL72" s="111" t="n"/>
      <c r="IM72" s="111" t="n"/>
      <c r="IN72" s="111" t="n"/>
      <c r="IO72" s="111" t="n"/>
      <c r="IP72" s="111" t="n"/>
      <c r="IQ72" s="111" t="n"/>
      <c r="IR72" s="111" t="n"/>
      <c r="IS72" s="111" t="n"/>
      <c r="IT72" s="111" t="n"/>
      <c r="IU72" s="111" t="n"/>
      <c r="IV72" s="111" t="n"/>
      <c r="IW72" s="111" t="n"/>
      <c r="IX72" s="111" t="n"/>
      <c r="IY72" s="111" t="n"/>
      <c r="IZ72" s="111" t="n"/>
      <c r="JA72" s="111" t="n"/>
      <c r="JB72" s="111" t="n"/>
      <c r="JC72" s="111" t="n"/>
      <c r="JD72" s="111" t="n"/>
      <c r="JE72" s="111" t="n"/>
      <c r="JF72" s="111" t="n"/>
      <c r="JG72" s="111" t="n"/>
      <c r="JH72" s="111" t="n"/>
      <c r="JI72" s="111" t="n"/>
      <c r="JJ72" s="111" t="n"/>
      <c r="JK72" s="111" t="n"/>
      <c r="JL72" s="111" t="n"/>
      <c r="JM72" s="111" t="n"/>
      <c r="JN72" s="111" t="n"/>
      <c r="JO72" s="111" t="n"/>
      <c r="JP72" s="111" t="n"/>
      <c r="JQ72" s="111" t="n"/>
      <c r="JR72" s="111" t="n"/>
      <c r="JS72" s="111" t="n"/>
      <c r="JT72" s="111" t="n"/>
      <c r="JU72" s="111" t="n"/>
      <c r="JV72" s="111" t="n"/>
      <c r="JW72" s="111" t="n"/>
      <c r="JX72" s="111" t="n"/>
      <c r="JY72" s="111" t="n"/>
      <c r="JZ72" s="111" t="n"/>
      <c r="KA72" s="111" t="n"/>
      <c r="KB72" s="111" t="n"/>
      <c r="KC72" s="111" t="n"/>
      <c r="KD72" s="111" t="n"/>
      <c r="KE72" s="111" t="n"/>
      <c r="KF72" s="111" t="n"/>
      <c r="KG72" s="111" t="n"/>
      <c r="KH72" s="111" t="n"/>
      <c r="KI72" s="111" t="n"/>
      <c r="KJ72" s="111" t="n"/>
      <c r="KK72" s="111" t="n"/>
      <c r="KL72" s="111" t="n"/>
      <c r="KM72" s="111" t="n"/>
      <c r="KN72" s="111" t="n"/>
      <c r="KO72" s="111" t="n"/>
      <c r="KP72" s="111" t="n"/>
      <c r="KQ72" s="111" t="n"/>
      <c r="KR72" s="111" t="n"/>
      <c r="KS72" s="111" t="n"/>
      <c r="KT72" s="111" t="n"/>
      <c r="KU72" s="111" t="n"/>
      <c r="KV72" s="111" t="n"/>
      <c r="KW72" s="111" t="n"/>
      <c r="KX72" s="111" t="n"/>
      <c r="KY72" s="111" t="n"/>
      <c r="KZ72" s="111" t="n"/>
      <c r="LA72" s="111" t="n"/>
      <c r="LB72" s="111" t="n"/>
      <c r="LC72" s="111" t="n"/>
      <c r="LD72" s="111" t="n"/>
      <c r="LE72" s="111" t="n"/>
      <c r="LF72" s="111" t="n"/>
      <c r="LG72" s="111" t="n"/>
      <c r="LH72" s="111" t="n"/>
      <c r="LI72" s="111" t="n"/>
      <c r="LJ72" s="111" t="n"/>
      <c r="LK72" s="111" t="n"/>
      <c r="LL72" s="111" t="n"/>
      <c r="LM72" s="111" t="n"/>
      <c r="LN72" s="111" t="n"/>
      <c r="LO72" s="111" t="n"/>
      <c r="LP72" s="111" t="n"/>
      <c r="LQ72" s="111" t="n"/>
      <c r="LR72" s="111" t="n"/>
      <c r="LS72" s="111" t="n"/>
      <c r="LT72" s="111" t="n"/>
      <c r="LU72" s="111" t="n"/>
      <c r="LV72" s="111" t="n"/>
      <c r="LW72" s="111" t="n"/>
      <c r="LX72" s="111" t="n"/>
      <c r="LY72" s="111" t="n"/>
      <c r="LZ72" s="111" t="n"/>
      <c r="MA72" s="111" t="n"/>
      <c r="MB72" s="111" t="n"/>
      <c r="MC72" s="111" t="n"/>
      <c r="MD72" s="111" t="n"/>
      <c r="ME72" s="111" t="n"/>
      <c r="MF72" s="111" t="n"/>
      <c r="MG72" s="111" t="n"/>
      <c r="MH72" s="111" t="n"/>
      <c r="MI72" s="111" t="n"/>
      <c r="MJ72" s="111" t="n"/>
      <c r="MK72" s="111" t="n"/>
      <c r="ML72" s="111" t="n"/>
      <c r="MM72" s="111" t="n"/>
      <c r="MN72" s="111" t="n"/>
      <c r="MO72" s="111" t="n"/>
      <c r="MP72" s="111" t="n"/>
      <c r="MQ72" s="111" t="n"/>
      <c r="MR72" s="111" t="n"/>
      <c r="MS72" s="111" t="n"/>
      <c r="MT72" s="111" t="n"/>
      <c r="MU72" s="111" t="n"/>
      <c r="MV72" s="111" t="n"/>
      <c r="MW72" s="111" t="n"/>
      <c r="MX72" s="111" t="n"/>
      <c r="MY72" s="111" t="n"/>
      <c r="MZ72" s="111" t="n"/>
      <c r="NA72" s="111" t="n"/>
      <c r="NB72" s="111" t="n"/>
      <c r="NC72" s="111" t="n"/>
      <c r="ND72" s="111" t="n"/>
      <c r="NE72" s="111" t="n"/>
      <c r="NF72" s="111" t="n"/>
      <c r="NG72" s="111" t="n"/>
      <c r="NH72" s="111" t="n"/>
      <c r="NI72" s="111" t="n"/>
      <c r="NJ72" s="111" t="n"/>
      <c r="NK72" s="111" t="n"/>
      <c r="NL72" s="111" t="n"/>
      <c r="NM72" s="111" t="n"/>
      <c r="NN72" s="111" t="n"/>
      <c r="NO72" s="111" t="n"/>
    </row>
    <row r="73" customFormat="1" s="17">
      <c r="A73" s="33">
        <f>IF(ISERROR(VALUE(SUBSTITUTE(OFFSET(A73,-1,0,1,1),".",""))),"0.0.0.1",IF(ISERROR(FIND("`",SUBSTITUTE(OFFSET(A73,-1,0,1,1),".","`",3))),OFFSET(A73,-1,0,1,1)&amp;".1",LEFT(OFFSET(A73,-1,0,1,1),FIND("`",SUBSTITUTE(OFFSET(A73,-1,0,1,1),".","`",3)))&amp;IF(ISERROR(FIND("`",SUBSTITUTE(OFFSET(A73,-1,0,1,1),".","`",4))),VALUE(RIGHT(OFFSET(A73,-1,0,1,1),LEN(OFFSET(A73,-1,0,1,1))-FIND("`",SUBSTITUTE(OFFSET(A73,-1,0,1,1),".","`",3))))+1,VALUE(MID(OFFSET(A73,-1,0,1,1),FIND("`",SUBSTITUTE(OFFSET(A73,-1,0,1,1),".","`",3))+1,(FIND("`",SUBSTITUTE(OFFSET(A73,-1,0,1,1),".","`",4))-FIND("`",SUBSTITUTE(OFFSET(A73,-1,0,1,1),".","`",3))-1)))+1)))</f>
        <v/>
      </c>
      <c r="B73" s="19" t="inlineStr">
        <is>
          <t>[ Level 4 task (label only) ]</t>
        </is>
      </c>
      <c r="C73" s="11" t="n"/>
      <c r="D73" s="37" t="n"/>
      <c r="E73" s="37" t="n"/>
      <c r="F73" s="37" t="n"/>
      <c r="G73" s="275" t="n"/>
      <c r="H73" s="275" t="n"/>
      <c r="I73" s="21" t="n"/>
      <c r="J73" s="22" t="n"/>
      <c r="K73" s="15" t="n"/>
      <c r="L73" s="15" t="n"/>
      <c r="M73" s="14" t="n"/>
      <c r="N73" s="14" t="n"/>
      <c r="O73" s="17" t="n"/>
      <c r="P73" s="111" t="n"/>
      <c r="Q73" s="111" t="n"/>
      <c r="R73" s="111" t="n"/>
      <c r="S73" s="111" t="n"/>
      <c r="T73" s="111" t="n"/>
      <c r="U73" s="111" t="n"/>
      <c r="V73" s="111" t="n"/>
      <c r="W73" s="111" t="n"/>
      <c r="X73" s="111" t="n"/>
      <c r="Y73" s="111" t="n"/>
      <c r="Z73" s="111" t="n"/>
      <c r="AA73" s="111" t="n"/>
      <c r="AB73" s="111" t="n"/>
      <c r="AC73" s="111" t="n"/>
      <c r="AD73" s="111" t="n"/>
      <c r="AE73" s="111" t="n"/>
      <c r="AF73" s="111" t="n"/>
      <c r="AG73" s="111" t="n"/>
      <c r="AH73" s="111" t="n"/>
      <c r="AI73" s="111" t="n"/>
      <c r="AJ73" s="111" t="n"/>
      <c r="AK73" s="111" t="n"/>
      <c r="AL73" s="111" t="n"/>
      <c r="AM73" s="111" t="n"/>
      <c r="AN73" s="111" t="n"/>
      <c r="AO73" s="111" t="n"/>
      <c r="AP73" s="111" t="n"/>
      <c r="AQ73" s="111" t="n"/>
      <c r="AR73" s="111" t="n"/>
      <c r="AS73" s="111" t="n"/>
      <c r="AT73" s="111" t="n"/>
      <c r="AU73" s="111" t="n"/>
      <c r="AV73" s="111" t="n"/>
      <c r="AW73" s="111" t="n"/>
      <c r="AX73" s="111" t="n"/>
      <c r="AY73" s="111" t="n"/>
      <c r="AZ73" s="111" t="n"/>
      <c r="BA73" s="111" t="n"/>
      <c r="BB73" s="111" t="n"/>
      <c r="BC73" s="111" t="n"/>
      <c r="BD73" s="111" t="n"/>
      <c r="BE73" s="111" t="n"/>
      <c r="BF73" s="111" t="n"/>
      <c r="BG73" s="111" t="n"/>
      <c r="BH73" s="111" t="n"/>
      <c r="BI73" s="111" t="n"/>
      <c r="BJ73" s="111" t="n"/>
      <c r="BK73" s="111" t="n"/>
      <c r="BL73" s="111" t="n"/>
      <c r="BM73" s="111" t="n"/>
      <c r="BN73" s="111" t="n"/>
      <c r="BO73" s="111" t="n"/>
      <c r="BP73" s="111" t="n"/>
      <c r="BQ73" s="111" t="n"/>
      <c r="BR73" s="111" t="n"/>
      <c r="BS73" s="111" t="n"/>
      <c r="BT73" s="111" t="n"/>
      <c r="BU73" s="111" t="n"/>
      <c r="BV73" s="111" t="n"/>
      <c r="BW73" s="111" t="n"/>
      <c r="BX73" s="111" t="n"/>
      <c r="BY73" s="111" t="n"/>
      <c r="BZ73" s="111" t="n"/>
      <c r="CA73" s="111" t="n"/>
      <c r="CB73" s="111" t="n"/>
      <c r="CC73" s="111" t="n"/>
      <c r="CD73" s="111" t="n"/>
      <c r="CE73" s="111" t="n"/>
      <c r="CF73" s="111" t="n"/>
      <c r="CG73" s="111" t="n"/>
      <c r="CH73" s="111" t="n"/>
      <c r="CI73" s="111" t="n"/>
      <c r="CJ73" s="111" t="n"/>
      <c r="CK73" s="111" t="n"/>
      <c r="CL73" s="111" t="n"/>
      <c r="CM73" s="111" t="n"/>
      <c r="CN73" s="111" t="n"/>
      <c r="CO73" s="111" t="n"/>
      <c r="CP73" s="111" t="n"/>
      <c r="CQ73" s="111" t="n"/>
      <c r="CR73" s="111" t="n"/>
      <c r="CS73" s="111" t="n"/>
      <c r="CT73" s="111" t="n"/>
      <c r="CU73" s="111" t="n"/>
      <c r="CV73" s="111" t="n"/>
      <c r="CW73" s="111" t="n"/>
      <c r="CX73" s="111" t="n"/>
      <c r="CY73" s="111" t="n"/>
      <c r="CZ73" s="111" t="n"/>
      <c r="DA73" s="111" t="n"/>
      <c r="DB73" s="111" t="n"/>
      <c r="DC73" s="111" t="n"/>
      <c r="DD73" s="111" t="n"/>
      <c r="DE73" s="111" t="n"/>
      <c r="DF73" s="111" t="n"/>
      <c r="DG73" s="111" t="n"/>
      <c r="DH73" s="111" t="n"/>
      <c r="DI73" s="111" t="n"/>
      <c r="DJ73" s="111" t="n"/>
      <c r="DK73" s="111" t="n"/>
      <c r="DL73" s="111" t="n"/>
      <c r="DM73" s="111" t="n"/>
      <c r="DN73" s="111" t="n"/>
      <c r="DO73" s="111" t="n"/>
      <c r="DP73" s="111" t="n"/>
      <c r="DQ73" s="111" t="n"/>
      <c r="DR73" s="111" t="n"/>
      <c r="DS73" s="111" t="n"/>
      <c r="DT73" s="111" t="n"/>
      <c r="DU73" s="111" t="n"/>
      <c r="DV73" s="111" t="n"/>
      <c r="DW73" s="111" t="n"/>
      <c r="DX73" s="111" t="n"/>
      <c r="DY73" s="111" t="n"/>
      <c r="DZ73" s="111" t="n"/>
      <c r="EA73" s="111" t="n"/>
      <c r="EB73" s="111" t="n"/>
      <c r="EC73" s="111" t="n"/>
      <c r="ED73" s="111" t="n"/>
      <c r="EE73" s="111" t="n"/>
      <c r="EF73" s="111" t="n"/>
      <c r="EG73" s="111" t="n"/>
      <c r="EH73" s="111" t="n"/>
      <c r="EI73" s="111" t="n"/>
      <c r="EJ73" s="111" t="n"/>
      <c r="EK73" s="111" t="n"/>
      <c r="EL73" s="111" t="n"/>
      <c r="EM73" s="111" t="n"/>
      <c r="EN73" s="111" t="n"/>
      <c r="EO73" s="111" t="n"/>
      <c r="EP73" s="111" t="n"/>
      <c r="EQ73" s="111" t="n"/>
      <c r="ER73" s="111" t="n"/>
      <c r="ES73" s="111" t="n"/>
      <c r="ET73" s="111" t="n"/>
      <c r="EU73" s="111" t="n"/>
      <c r="EV73" s="111" t="n"/>
      <c r="EW73" s="111" t="n"/>
      <c r="EX73" s="111" t="n"/>
      <c r="EY73" s="111" t="n"/>
      <c r="EZ73" s="111" t="n"/>
      <c r="FA73" s="111" t="n"/>
      <c r="FB73" s="111" t="n"/>
      <c r="FC73" s="111" t="n"/>
      <c r="FD73" s="111" t="n"/>
      <c r="FE73" s="111" t="n"/>
      <c r="FF73" s="111" t="n"/>
      <c r="FG73" s="111" t="n"/>
      <c r="FH73" s="111" t="n"/>
      <c r="FI73" s="111" t="n"/>
      <c r="FJ73" s="111" t="n"/>
      <c r="FK73" s="111" t="n"/>
      <c r="FL73" s="111" t="n"/>
      <c r="FM73" s="111" t="n"/>
      <c r="FN73" s="111" t="n"/>
      <c r="FO73" s="111" t="n"/>
      <c r="FP73" s="111" t="n"/>
      <c r="FQ73" s="111" t="n"/>
      <c r="FR73" s="111" t="n"/>
      <c r="FS73" s="111" t="n"/>
      <c r="FT73" s="111" t="n"/>
      <c r="FU73" s="111" t="n"/>
      <c r="FV73" s="111" t="n"/>
      <c r="FW73" s="111" t="n"/>
      <c r="FX73" s="111" t="n"/>
      <c r="FY73" s="111" t="n"/>
      <c r="FZ73" s="111" t="n"/>
      <c r="GA73" s="111" t="n"/>
      <c r="GB73" s="111" t="n"/>
      <c r="GC73" s="111" t="n"/>
      <c r="GD73" s="111" t="n"/>
      <c r="GE73" s="111" t="n"/>
      <c r="GF73" s="111" t="n"/>
      <c r="GG73" s="111" t="n"/>
      <c r="GH73" s="111" t="n"/>
      <c r="GI73" s="111" t="n"/>
      <c r="GJ73" s="111" t="n"/>
      <c r="GK73" s="111" t="n"/>
      <c r="GL73" s="111" t="n"/>
      <c r="GM73" s="111" t="n"/>
      <c r="GN73" s="111" t="n"/>
      <c r="GO73" s="111" t="n"/>
      <c r="GP73" s="111" t="n"/>
      <c r="GQ73" s="111" t="n"/>
      <c r="GR73" s="111" t="n"/>
      <c r="GS73" s="111" t="n"/>
      <c r="GT73" s="111" t="n"/>
      <c r="GU73" s="111" t="n"/>
      <c r="GV73" s="111" t="n"/>
      <c r="GW73" s="111" t="n"/>
      <c r="GX73" s="111" t="n"/>
      <c r="GY73" s="111" t="n"/>
      <c r="GZ73" s="111" t="n"/>
      <c r="HA73" s="111" t="n"/>
      <c r="HB73" s="111" t="n"/>
      <c r="HC73" s="111" t="n"/>
      <c r="HD73" s="111" t="n"/>
      <c r="HE73" s="111" t="n"/>
      <c r="HF73" s="111" t="n"/>
      <c r="HG73" s="111" t="n"/>
      <c r="HH73" s="111" t="n"/>
      <c r="HI73" s="111" t="n"/>
      <c r="HJ73" s="111" t="n"/>
      <c r="HK73" s="111" t="n"/>
      <c r="HL73" s="111" t="n"/>
      <c r="HM73" s="111" t="n"/>
      <c r="HN73" s="111" t="n"/>
      <c r="HO73" s="111" t="n"/>
      <c r="HP73" s="111" t="n"/>
      <c r="HQ73" s="111" t="n"/>
      <c r="HR73" s="111" t="n"/>
      <c r="HS73" s="111" t="n"/>
      <c r="HT73" s="111" t="n"/>
      <c r="HU73" s="111" t="n"/>
      <c r="HV73" s="111" t="n"/>
      <c r="HW73" s="111" t="n"/>
      <c r="HX73" s="111" t="n"/>
      <c r="HY73" s="111" t="n"/>
      <c r="HZ73" s="111" t="n"/>
      <c r="IA73" s="111" t="n"/>
      <c r="IB73" s="111" t="n"/>
      <c r="IC73" s="111" t="n"/>
      <c r="ID73" s="111" t="n"/>
      <c r="IE73" s="111" t="n"/>
      <c r="IF73" s="111" t="n"/>
      <c r="IG73" s="111" t="n"/>
      <c r="IH73" s="111" t="n"/>
      <c r="II73" s="111" t="n"/>
      <c r="IJ73" s="111" t="n"/>
      <c r="IK73" s="111" t="n"/>
      <c r="IL73" s="111" t="n"/>
      <c r="IM73" s="111" t="n"/>
      <c r="IN73" s="111" t="n"/>
      <c r="IO73" s="111" t="n"/>
      <c r="IP73" s="111" t="n"/>
      <c r="IQ73" s="111" t="n"/>
      <c r="IR73" s="111" t="n"/>
      <c r="IS73" s="111" t="n"/>
      <c r="IT73" s="111" t="n"/>
      <c r="IU73" s="111" t="n"/>
      <c r="IV73" s="111" t="n"/>
      <c r="IW73" s="111" t="n"/>
      <c r="IX73" s="111" t="n"/>
      <c r="IY73" s="111" t="n"/>
      <c r="IZ73" s="111" t="n"/>
      <c r="JA73" s="111" t="n"/>
      <c r="JB73" s="111" t="n"/>
      <c r="JC73" s="111" t="n"/>
      <c r="JD73" s="111" t="n"/>
      <c r="JE73" s="111" t="n"/>
      <c r="JF73" s="111" t="n"/>
      <c r="JG73" s="111" t="n"/>
      <c r="JH73" s="111" t="n"/>
      <c r="JI73" s="111" t="n"/>
      <c r="JJ73" s="111" t="n"/>
      <c r="JK73" s="111" t="n"/>
      <c r="JL73" s="111" t="n"/>
      <c r="JM73" s="111" t="n"/>
      <c r="JN73" s="111" t="n"/>
      <c r="JO73" s="111" t="n"/>
      <c r="JP73" s="111" t="n"/>
      <c r="JQ73" s="111" t="n"/>
      <c r="JR73" s="111" t="n"/>
      <c r="JS73" s="111" t="n"/>
      <c r="JT73" s="111" t="n"/>
      <c r="JU73" s="111" t="n"/>
      <c r="JV73" s="111" t="n"/>
      <c r="JW73" s="111" t="n"/>
      <c r="JX73" s="111" t="n"/>
      <c r="JY73" s="111" t="n"/>
      <c r="JZ73" s="111" t="n"/>
      <c r="KA73" s="111" t="n"/>
      <c r="KB73" s="111" t="n"/>
      <c r="KC73" s="111" t="n"/>
      <c r="KD73" s="111" t="n"/>
      <c r="KE73" s="111" t="n"/>
      <c r="KF73" s="111" t="n"/>
      <c r="KG73" s="111" t="n"/>
      <c r="KH73" s="111" t="n"/>
      <c r="KI73" s="111" t="n"/>
      <c r="KJ73" s="111" t="n"/>
      <c r="KK73" s="111" t="n"/>
      <c r="KL73" s="111" t="n"/>
      <c r="KM73" s="111" t="n"/>
      <c r="KN73" s="111" t="n"/>
      <c r="KO73" s="111" t="n"/>
      <c r="KP73" s="111" t="n"/>
      <c r="KQ73" s="111" t="n"/>
      <c r="KR73" s="111" t="n"/>
      <c r="KS73" s="111" t="n"/>
      <c r="KT73" s="111" t="n"/>
      <c r="KU73" s="111" t="n"/>
      <c r="KV73" s="111" t="n"/>
      <c r="KW73" s="111" t="n"/>
      <c r="KX73" s="111" t="n"/>
      <c r="KY73" s="111" t="n"/>
      <c r="KZ73" s="111" t="n"/>
      <c r="LA73" s="111" t="n"/>
      <c r="LB73" s="111" t="n"/>
      <c r="LC73" s="111" t="n"/>
      <c r="LD73" s="111" t="n"/>
      <c r="LE73" s="111" t="n"/>
      <c r="LF73" s="111" t="n"/>
      <c r="LG73" s="111" t="n"/>
      <c r="LH73" s="111" t="n"/>
      <c r="LI73" s="111" t="n"/>
      <c r="LJ73" s="111" t="n"/>
      <c r="LK73" s="111" t="n"/>
      <c r="LL73" s="111" t="n"/>
      <c r="LM73" s="111" t="n"/>
      <c r="LN73" s="111" t="n"/>
      <c r="LO73" s="111" t="n"/>
      <c r="LP73" s="111" t="n"/>
      <c r="LQ73" s="111" t="n"/>
      <c r="LR73" s="111" t="n"/>
      <c r="LS73" s="111" t="n"/>
      <c r="LT73" s="111" t="n"/>
      <c r="LU73" s="111" t="n"/>
      <c r="LV73" s="111" t="n"/>
      <c r="LW73" s="111" t="n"/>
      <c r="LX73" s="111" t="n"/>
      <c r="LY73" s="111" t="n"/>
      <c r="LZ73" s="111" t="n"/>
      <c r="MA73" s="111" t="n"/>
      <c r="MB73" s="111" t="n"/>
      <c r="MC73" s="111" t="n"/>
      <c r="MD73" s="111" t="n"/>
      <c r="ME73" s="111" t="n"/>
      <c r="MF73" s="111" t="n"/>
      <c r="MG73" s="111" t="n"/>
      <c r="MH73" s="111" t="n"/>
      <c r="MI73" s="111" t="n"/>
      <c r="MJ73" s="111" t="n"/>
      <c r="MK73" s="111" t="n"/>
      <c r="ML73" s="111" t="n"/>
      <c r="MM73" s="111" t="n"/>
      <c r="MN73" s="111" t="n"/>
      <c r="MO73" s="111" t="n"/>
      <c r="MP73" s="111" t="n"/>
      <c r="MQ73" s="111" t="n"/>
      <c r="MR73" s="111" t="n"/>
      <c r="MS73" s="111" t="n"/>
      <c r="MT73" s="111" t="n"/>
      <c r="MU73" s="111" t="n"/>
      <c r="MV73" s="111" t="n"/>
      <c r="MW73" s="111" t="n"/>
      <c r="MX73" s="111" t="n"/>
      <c r="MY73" s="111" t="n"/>
      <c r="MZ73" s="111" t="n"/>
      <c r="NA73" s="111" t="n"/>
      <c r="NB73" s="111" t="n"/>
      <c r="NC73" s="111" t="n"/>
      <c r="ND73" s="111" t="n"/>
      <c r="NE73" s="111" t="n"/>
      <c r="NF73" s="111" t="n"/>
      <c r="NG73" s="111" t="n"/>
      <c r="NH73" s="111" t="n"/>
      <c r="NI73" s="111" t="n"/>
      <c r="NJ73" s="111" t="n"/>
      <c r="NK73" s="111" t="n"/>
      <c r="NL73" s="111" t="n"/>
      <c r="NM73" s="111" t="n"/>
      <c r="NN73" s="111" t="n"/>
      <c r="NO73" s="111" t="n"/>
    </row>
    <row r="74" ht="11.25" customFormat="1" customHeight="1" s="69">
      <c r="A74" s="86" t="inlineStr">
        <is>
          <t>WORK DAYS: These rows are used to exclude weekends and holidays</t>
        </is>
      </c>
      <c r="B74" s="88" t="n"/>
      <c r="C74" s="88" t="n"/>
      <c r="D74" s="88" t="n"/>
      <c r="E74" s="88" t="n"/>
      <c r="F74" s="88" t="n"/>
      <c r="G74" s="88" t="n"/>
      <c r="H74" s="88" t="n"/>
      <c r="I74" s="88" t="n"/>
      <c r="J74" s="88" t="n"/>
      <c r="K74" s="88" t="n"/>
      <c r="L74" s="88" t="n"/>
      <c r="M74" s="88" t="n"/>
      <c r="N74" s="88" t="n"/>
      <c r="O74" s="69" t="n"/>
      <c r="P74" s="111" t="n"/>
      <c r="Q74" s="111" t="n"/>
      <c r="R74" s="111" t="n"/>
      <c r="S74" s="111" t="n"/>
      <c r="T74" s="111" t="n"/>
      <c r="U74" s="111" t="n"/>
      <c r="V74" s="111" t="n"/>
      <c r="W74" s="111" t="n"/>
      <c r="X74" s="111" t="n"/>
      <c r="Y74" s="111" t="n"/>
      <c r="Z74" s="111" t="n"/>
      <c r="AA74" s="111" t="n"/>
      <c r="AB74" s="111" t="n"/>
      <c r="AC74" s="111" t="n"/>
      <c r="AD74" s="111" t="n"/>
      <c r="AE74" s="111" t="n"/>
      <c r="AF74" s="111" t="n"/>
      <c r="AG74" s="111" t="n"/>
      <c r="AH74" s="111" t="n"/>
      <c r="AI74" s="111" t="n"/>
      <c r="AJ74" s="111" t="n"/>
      <c r="AK74" s="111" t="n"/>
      <c r="AL74" s="111" t="n"/>
      <c r="AM74" s="111" t="n"/>
      <c r="AN74" s="111" t="n"/>
      <c r="AO74" s="111" t="n"/>
      <c r="AP74" s="111" t="n"/>
      <c r="AQ74" s="111" t="n"/>
      <c r="AR74" s="111" t="n"/>
      <c r="AS74" s="111" t="n"/>
      <c r="AT74" s="111" t="n"/>
      <c r="AU74" s="111" t="n"/>
      <c r="AV74" s="111" t="n"/>
      <c r="AW74" s="111" t="n"/>
      <c r="AX74" s="111" t="n"/>
      <c r="AY74" s="111" t="n"/>
      <c r="AZ74" s="111" t="n"/>
      <c r="BA74" s="111" t="n"/>
      <c r="BB74" s="111" t="n"/>
      <c r="BC74" s="111" t="n"/>
      <c r="BD74" s="111" t="n"/>
      <c r="BE74" s="111" t="n"/>
      <c r="BF74" s="111" t="n"/>
      <c r="BG74" s="111" t="n"/>
      <c r="BH74" s="111" t="n"/>
      <c r="BI74" s="111" t="n"/>
      <c r="BJ74" s="111" t="n"/>
      <c r="BK74" s="111" t="n"/>
      <c r="BL74" s="111" t="n"/>
      <c r="BM74" s="111" t="n"/>
      <c r="BN74" s="111" t="n"/>
      <c r="BO74" s="111" t="n"/>
      <c r="BP74" s="111" t="n"/>
      <c r="BQ74" s="111" t="n"/>
      <c r="BR74" s="111" t="n"/>
      <c r="BS74" s="111" t="n"/>
      <c r="BT74" s="111" t="n"/>
      <c r="BU74" s="111" t="n"/>
      <c r="BV74" s="111" t="n"/>
      <c r="BW74" s="111" t="n"/>
      <c r="BX74" s="111" t="n"/>
      <c r="BY74" s="111" t="n"/>
      <c r="BZ74" s="111" t="n"/>
      <c r="CA74" s="111" t="n"/>
      <c r="CB74" s="111" t="n"/>
      <c r="CC74" s="111" t="n"/>
      <c r="CD74" s="111" t="n"/>
      <c r="CE74" s="111" t="n"/>
      <c r="CF74" s="111" t="n"/>
      <c r="CG74" s="111" t="n"/>
      <c r="CH74" s="111" t="n"/>
      <c r="CI74" s="111" t="n"/>
      <c r="CJ74" s="111" t="n"/>
      <c r="CK74" s="111" t="n"/>
      <c r="CL74" s="111" t="n"/>
      <c r="CM74" s="111" t="n"/>
      <c r="CN74" s="111" t="n"/>
      <c r="CO74" s="111" t="n"/>
      <c r="CP74" s="111" t="n"/>
      <c r="CQ74" s="111" t="n"/>
      <c r="CR74" s="111" t="n"/>
      <c r="CS74" s="111" t="n"/>
      <c r="CT74" s="111" t="n"/>
      <c r="CU74" s="111" t="n"/>
      <c r="CV74" s="111" t="n"/>
      <c r="CW74" s="111" t="n"/>
      <c r="CX74" s="111" t="n"/>
      <c r="CY74" s="111" t="n"/>
      <c r="CZ74" s="111" t="n"/>
      <c r="DA74" s="111" t="n"/>
      <c r="DB74" s="111" t="n"/>
      <c r="DC74" s="111" t="n"/>
      <c r="DD74" s="111" t="n"/>
      <c r="DE74" s="111" t="n"/>
      <c r="DF74" s="111" t="n"/>
      <c r="DG74" s="111" t="n"/>
      <c r="DH74" s="111" t="n"/>
      <c r="DI74" s="111" t="n"/>
      <c r="DJ74" s="111" t="n"/>
      <c r="DK74" s="111" t="n"/>
      <c r="DL74" s="111" t="n"/>
      <c r="DM74" s="111" t="n"/>
      <c r="DN74" s="111" t="n"/>
      <c r="DO74" s="111" t="n"/>
      <c r="DP74" s="111" t="n"/>
      <c r="DQ74" s="111" t="n"/>
      <c r="DR74" s="111" t="n"/>
      <c r="DS74" s="111" t="n"/>
      <c r="DT74" s="111" t="n"/>
      <c r="DU74" s="111" t="n"/>
      <c r="DV74" s="111" t="n"/>
      <c r="DW74" s="111" t="n"/>
      <c r="DX74" s="111" t="n"/>
      <c r="DY74" s="111" t="n"/>
      <c r="DZ74" s="111" t="n"/>
      <c r="EA74" s="111" t="n"/>
      <c r="EB74" s="111" t="n"/>
      <c r="EC74" s="111" t="n"/>
      <c r="ED74" s="111" t="n"/>
      <c r="EE74" s="111" t="n"/>
      <c r="EF74" s="111" t="n"/>
      <c r="EG74" s="111" t="n"/>
      <c r="EH74" s="111" t="n"/>
      <c r="EI74" s="111" t="n"/>
      <c r="EJ74" s="111" t="n"/>
      <c r="EK74" s="111" t="n"/>
      <c r="EL74" s="111" t="n"/>
      <c r="EM74" s="111" t="n"/>
      <c r="EN74" s="111" t="n"/>
      <c r="EO74" s="111" t="n"/>
      <c r="EP74" s="111" t="n"/>
      <c r="EQ74" s="111" t="n"/>
      <c r="ER74" s="111" t="n"/>
      <c r="ES74" s="111" t="n"/>
      <c r="ET74" s="111" t="n"/>
      <c r="EU74" s="111" t="n"/>
      <c r="EV74" s="111" t="n"/>
      <c r="EW74" s="111" t="n"/>
      <c r="EX74" s="111" t="n"/>
      <c r="EY74" s="111" t="n"/>
      <c r="EZ74" s="111" t="n"/>
      <c r="FA74" s="111" t="n"/>
      <c r="FB74" s="111" t="n"/>
      <c r="FC74" s="111" t="n"/>
      <c r="FD74" s="111" t="n"/>
      <c r="FE74" s="111" t="n"/>
      <c r="FF74" s="111" t="n"/>
      <c r="FG74" s="111" t="n"/>
      <c r="FH74" s="111" t="n"/>
      <c r="FI74" s="111" t="n"/>
      <c r="FJ74" s="111" t="n"/>
      <c r="FK74" s="111" t="n"/>
      <c r="FL74" s="111" t="n"/>
      <c r="FM74" s="111" t="n"/>
      <c r="FN74" s="111" t="n"/>
      <c r="FO74" s="111" t="n"/>
      <c r="FP74" s="111" t="n"/>
      <c r="FQ74" s="111" t="n"/>
      <c r="FR74" s="111" t="n"/>
      <c r="FS74" s="111" t="n"/>
      <c r="FT74" s="111" t="n"/>
      <c r="FU74" s="111" t="n"/>
      <c r="FV74" s="111" t="n"/>
      <c r="FW74" s="111" t="n"/>
      <c r="FX74" s="111" t="n"/>
      <c r="FY74" s="111" t="n"/>
      <c r="FZ74" s="111" t="n"/>
      <c r="GA74" s="111" t="n"/>
      <c r="GB74" s="111" t="n"/>
      <c r="GC74" s="111" t="n"/>
      <c r="GD74" s="111" t="n"/>
      <c r="GE74" s="111" t="n"/>
      <c r="GF74" s="111" t="n"/>
      <c r="GG74" s="111" t="n"/>
      <c r="GH74" s="111" t="n"/>
      <c r="GI74" s="111" t="n"/>
      <c r="GJ74" s="111" t="n"/>
      <c r="GK74" s="111" t="n"/>
      <c r="GL74" s="111" t="n"/>
      <c r="GM74" s="111" t="n"/>
      <c r="GN74" s="111" t="n"/>
      <c r="GO74" s="111" t="n"/>
      <c r="GP74" s="111" t="n"/>
      <c r="GQ74" s="111" t="n"/>
      <c r="GR74" s="111" t="n"/>
      <c r="GS74" s="111" t="n"/>
      <c r="GT74" s="111" t="n"/>
      <c r="GU74" s="111" t="n"/>
      <c r="GV74" s="111" t="n"/>
      <c r="GW74" s="111" t="n"/>
      <c r="GX74" s="111" t="n"/>
      <c r="GY74" s="111" t="n"/>
      <c r="GZ74" s="111" t="n"/>
      <c r="HA74" s="111" t="n"/>
      <c r="HB74" s="111" t="n"/>
      <c r="HC74" s="111" t="n"/>
      <c r="HD74" s="111" t="n"/>
      <c r="HE74" s="111" t="n"/>
      <c r="HF74" s="111" t="n"/>
      <c r="HG74" s="111" t="n"/>
      <c r="HH74" s="111" t="n"/>
      <c r="HI74" s="111" t="n"/>
      <c r="HJ74" s="111" t="n"/>
      <c r="HK74" s="111" t="n"/>
      <c r="HL74" s="111" t="n"/>
      <c r="HM74" s="111" t="n"/>
      <c r="HN74" s="111" t="n"/>
      <c r="HO74" s="111" t="n"/>
      <c r="HP74" s="111" t="n"/>
      <c r="HQ74" s="111" t="n"/>
      <c r="HR74" s="111" t="n"/>
      <c r="HS74" s="111" t="n"/>
      <c r="HT74" s="111" t="n"/>
      <c r="HU74" s="111" t="n"/>
      <c r="HV74" s="111" t="n"/>
      <c r="HW74" s="111" t="n"/>
      <c r="HX74" s="111" t="n"/>
      <c r="HY74" s="111" t="n"/>
      <c r="HZ74" s="111" t="n"/>
      <c r="IA74" s="111" t="n"/>
      <c r="IB74" s="111" t="n"/>
      <c r="IC74" s="111" t="n"/>
      <c r="ID74" s="111" t="n"/>
      <c r="IE74" s="111" t="n"/>
      <c r="IF74" s="111" t="n"/>
      <c r="IG74" s="111" t="n"/>
      <c r="IH74" s="111" t="n"/>
      <c r="II74" s="111" t="n"/>
      <c r="IJ74" s="111" t="n"/>
      <c r="IK74" s="111" t="n"/>
      <c r="IL74" s="111" t="n"/>
      <c r="IM74" s="111" t="n"/>
      <c r="IN74" s="111" t="n"/>
      <c r="IO74" s="111" t="n"/>
      <c r="IP74" s="111" t="n"/>
      <c r="IQ74" s="111" t="n"/>
      <c r="IR74" s="111" t="n"/>
      <c r="IS74" s="111" t="n"/>
      <c r="IT74" s="111" t="n"/>
      <c r="IU74" s="111" t="n"/>
      <c r="IV74" s="111" t="n"/>
      <c r="IW74" s="111" t="n"/>
      <c r="IX74" s="111" t="n"/>
      <c r="IY74" s="111" t="n"/>
      <c r="IZ74" s="111" t="n"/>
      <c r="JA74" s="111" t="n"/>
      <c r="JB74" s="111" t="n"/>
      <c r="JC74" s="111" t="n"/>
      <c r="JD74" s="111" t="n"/>
      <c r="JE74" s="111" t="n"/>
      <c r="JF74" s="111" t="n"/>
      <c r="JG74" s="111" t="n"/>
      <c r="JH74" s="111" t="n"/>
      <c r="JI74" s="111" t="n"/>
      <c r="JJ74" s="111" t="n"/>
      <c r="JK74" s="111" t="n"/>
      <c r="JL74" s="111" t="n"/>
      <c r="JM74" s="111" t="n"/>
      <c r="JN74" s="111" t="n"/>
      <c r="JO74" s="111" t="n"/>
      <c r="JP74" s="111" t="n"/>
      <c r="JQ74" s="111" t="n"/>
      <c r="JR74" s="111" t="n"/>
      <c r="JS74" s="111" t="n"/>
      <c r="JT74" s="111" t="n"/>
      <c r="JU74" s="111" t="n"/>
      <c r="JV74" s="111" t="n"/>
      <c r="JW74" s="111" t="n"/>
      <c r="JX74" s="111" t="n"/>
      <c r="JY74" s="111" t="n"/>
      <c r="JZ74" s="111" t="n"/>
      <c r="KA74" s="111" t="n"/>
      <c r="KB74" s="111" t="n"/>
      <c r="KC74" s="111" t="n"/>
      <c r="KD74" s="111" t="n"/>
      <c r="KE74" s="111" t="n"/>
      <c r="KF74" s="111" t="n"/>
      <c r="KG74" s="111" t="n"/>
      <c r="KH74" s="111" t="n"/>
      <c r="KI74" s="111" t="n"/>
      <c r="KJ74" s="111" t="n"/>
      <c r="KK74" s="111" t="n"/>
      <c r="KL74" s="111" t="n"/>
      <c r="KM74" s="111" t="n"/>
      <c r="KN74" s="111" t="n"/>
      <c r="KO74" s="111" t="n"/>
      <c r="KP74" s="111" t="n"/>
      <c r="KQ74" s="111" t="n"/>
      <c r="KR74" s="111" t="n"/>
      <c r="KS74" s="111" t="n"/>
      <c r="KT74" s="111" t="n"/>
      <c r="KU74" s="111" t="n"/>
      <c r="KV74" s="111" t="n"/>
      <c r="KW74" s="111" t="n"/>
      <c r="KX74" s="111" t="n"/>
      <c r="KY74" s="111" t="n"/>
      <c r="KZ74" s="111" t="n"/>
      <c r="LA74" s="111" t="n"/>
      <c r="LB74" s="111" t="n"/>
      <c r="LC74" s="111" t="n"/>
      <c r="LD74" s="111" t="n"/>
      <c r="LE74" s="111" t="n"/>
      <c r="LF74" s="111" t="n"/>
      <c r="LG74" s="111" t="n"/>
      <c r="LH74" s="111" t="n"/>
      <c r="LI74" s="111" t="n"/>
      <c r="LJ74" s="111" t="n"/>
      <c r="LK74" s="111" t="n"/>
      <c r="LL74" s="111" t="n"/>
      <c r="LM74" s="111" t="n"/>
      <c r="LN74" s="111" t="n"/>
      <c r="LO74" s="111" t="n"/>
      <c r="LP74" s="111" t="n"/>
      <c r="LQ74" s="111" t="n"/>
      <c r="LR74" s="111" t="n"/>
      <c r="LS74" s="111" t="n"/>
      <c r="LT74" s="111" t="n"/>
      <c r="LU74" s="111" t="n"/>
      <c r="LV74" s="111" t="n"/>
      <c r="LW74" s="111" t="n"/>
      <c r="LX74" s="111" t="n"/>
      <c r="LY74" s="111" t="n"/>
      <c r="LZ74" s="111" t="n"/>
      <c r="MA74" s="111" t="n"/>
      <c r="MB74" s="111" t="n"/>
      <c r="MC74" s="111" t="n"/>
      <c r="MD74" s="111" t="n"/>
      <c r="ME74" s="111" t="n"/>
      <c r="MF74" s="111" t="n"/>
      <c r="MG74" s="111" t="n"/>
      <c r="MH74" s="111" t="n"/>
      <c r="MI74" s="111" t="n"/>
      <c r="MJ74" s="111" t="n"/>
      <c r="MK74" s="111" t="n"/>
      <c r="ML74" s="111" t="n"/>
      <c r="MM74" s="111" t="n"/>
      <c r="MN74" s="111" t="n"/>
      <c r="MO74" s="111" t="n"/>
      <c r="MP74" s="111" t="n"/>
      <c r="MQ74" s="111" t="n"/>
      <c r="MR74" s="111" t="n"/>
      <c r="MS74" s="111" t="n"/>
      <c r="MT74" s="111" t="n"/>
      <c r="MU74" s="111" t="n"/>
      <c r="MV74" s="111" t="n"/>
      <c r="MW74" s="111" t="n"/>
      <c r="MX74" s="111" t="n"/>
      <c r="MY74" s="111" t="n"/>
      <c r="MZ74" s="111" t="n"/>
      <c r="NA74" s="111" t="n"/>
      <c r="NB74" s="111" t="n"/>
      <c r="NC74" s="111" t="n"/>
      <c r="ND74" s="111" t="n"/>
      <c r="NE74" s="111" t="n"/>
      <c r="NF74" s="111" t="n"/>
      <c r="NG74" s="111" t="n"/>
      <c r="NH74" s="111" t="n"/>
      <c r="NI74" s="111" t="n"/>
      <c r="NJ74" s="111" t="n"/>
      <c r="NK74" s="111" t="n"/>
      <c r="NL74" s="111" t="n"/>
      <c r="NM74" s="111" t="n"/>
      <c r="NN74" s="111" t="n"/>
      <c r="NO74" s="111" t="n"/>
    </row>
    <row r="75" customFormat="1" s="17">
      <c r="A75" s="77">
        <f>IF(ISERROR(VALUE(SUBSTITUTE(OFFSET(A75,-1,0,1,1),".",""))),"1",IF(ISERROR(FIND("`",SUBSTITUTE(OFFSET(A75,-1,0,1,1),".","`",1))),TEXT(VALUE(OFFSET(A75,-1,0,1,1))+1,"#"),TEXT(VALUE(LEFT(OFFSET(A75,-1,0,1,1),FIND("`",SUBSTITUTE(OFFSET(A75,-1,0,1,1),".","`",1))-1))+1,"#")))</f>
        <v/>
      </c>
      <c r="B75" s="85" t="inlineStr">
        <is>
          <t>[ Task Summary ]</t>
        </is>
      </c>
      <c r="C75" s="11" t="inlineStr">
        <is>
          <t>[ name ]</t>
        </is>
      </c>
      <c r="D75" s="37" t="n"/>
      <c r="E75" s="37" t="n"/>
      <c r="F75" s="37" t="n"/>
      <c r="G75" s="273">
        <f>MIN(G76:G79)</f>
        <v/>
      </c>
      <c r="H75" s="273">
        <f>MAX(H76:H79)</f>
        <v/>
      </c>
      <c r="I75" s="14">
        <f>IF(OR(G75=0,H75=0),0,NETWORKDAYS(G75,H75,holidays))</f>
        <v/>
      </c>
      <c r="J75" s="83">
        <f>IFERROR(SUMPRODUCT(I76:I85,J76:J85)/SUM(I76:I85),0)</f>
        <v/>
      </c>
      <c r="K75" s="15">
        <f>IF(OR(G75=0,H75=0),0,H75-G75+1)</f>
        <v/>
      </c>
      <c r="L75" s="15">
        <f>WORKDAY(G75,ROUNDDOWN(J75*I75,0),holidays)-G75</f>
        <v/>
      </c>
      <c r="M75" s="14">
        <f>K75-L75</f>
        <v/>
      </c>
      <c r="N75" s="113" t="n"/>
      <c r="P75" s="111" t="n"/>
      <c r="Q75" s="111" t="n"/>
      <c r="R75" s="111" t="n"/>
      <c r="S75" s="111" t="n"/>
      <c r="T75" s="111" t="n"/>
      <c r="U75" s="111" t="n"/>
      <c r="V75" s="111" t="n"/>
      <c r="W75" s="111" t="n"/>
      <c r="X75" s="111" t="n"/>
      <c r="Y75" s="111" t="n"/>
      <c r="Z75" s="111" t="n"/>
      <c r="AA75" s="111" t="n"/>
      <c r="AB75" s="111" t="n"/>
      <c r="AC75" s="111" t="n"/>
      <c r="AD75" s="111" t="n"/>
      <c r="AE75" s="111" t="n"/>
      <c r="AF75" s="111" t="n"/>
      <c r="AG75" s="111" t="n"/>
      <c r="AH75" s="111" t="n"/>
      <c r="AI75" s="111" t="n"/>
      <c r="AJ75" s="111" t="n"/>
      <c r="AK75" s="111" t="n"/>
      <c r="AL75" s="111" t="n"/>
      <c r="AM75" s="111" t="n"/>
      <c r="AN75" s="111" t="n"/>
      <c r="AO75" s="111" t="n"/>
      <c r="AP75" s="111" t="n"/>
      <c r="AQ75" s="111" t="n"/>
      <c r="AR75" s="111" t="n"/>
      <c r="AS75" s="111" t="n"/>
      <c r="AT75" s="111" t="n"/>
      <c r="AU75" s="111" t="n"/>
      <c r="AV75" s="111" t="n"/>
      <c r="AW75" s="111" t="n"/>
      <c r="AX75" s="111" t="n"/>
      <c r="AY75" s="111" t="n"/>
      <c r="AZ75" s="111" t="n"/>
      <c r="BA75" s="111" t="n"/>
      <c r="BB75" s="111" t="n"/>
      <c r="BC75" s="111" t="n"/>
      <c r="BD75" s="111" t="n"/>
      <c r="BE75" s="111" t="n"/>
      <c r="BF75" s="111" t="n"/>
      <c r="BG75" s="111" t="n"/>
      <c r="BH75" s="111" t="n"/>
      <c r="BI75" s="111" t="n"/>
      <c r="BJ75" s="111" t="n"/>
      <c r="BK75" s="111" t="n"/>
      <c r="BL75" s="111" t="n"/>
      <c r="BM75" s="111" t="n"/>
      <c r="BN75" s="111" t="n"/>
      <c r="BO75" s="111" t="n"/>
      <c r="BP75" s="111" t="n"/>
      <c r="BQ75" s="111" t="n"/>
      <c r="BR75" s="111" t="n"/>
      <c r="BS75" s="111" t="n"/>
      <c r="BT75" s="111" t="n"/>
      <c r="BU75" s="111" t="n"/>
      <c r="BV75" s="111" t="n"/>
      <c r="BW75" s="111" t="n"/>
      <c r="BX75" s="111" t="n"/>
      <c r="BY75" s="111" t="n"/>
      <c r="BZ75" s="111" t="n"/>
      <c r="CA75" s="111" t="n"/>
      <c r="CB75" s="111" t="n"/>
      <c r="CC75" s="111" t="n"/>
      <c r="CD75" s="111" t="n"/>
      <c r="CE75" s="111" t="n"/>
      <c r="CF75" s="111" t="n"/>
      <c r="CG75" s="111" t="n"/>
      <c r="CH75" s="111" t="n"/>
      <c r="CI75" s="111" t="n"/>
      <c r="CJ75" s="111" t="n"/>
      <c r="CK75" s="111" t="n"/>
      <c r="CL75" s="111" t="n"/>
      <c r="CM75" s="111" t="n"/>
      <c r="CN75" s="111" t="n"/>
      <c r="CO75" s="111" t="n"/>
      <c r="CP75" s="111" t="n"/>
      <c r="CQ75" s="111" t="n"/>
      <c r="CR75" s="111" t="n"/>
      <c r="CS75" s="111" t="n"/>
      <c r="CT75" s="111" t="n"/>
      <c r="CU75" s="111" t="n"/>
      <c r="CV75" s="111" t="n"/>
      <c r="CW75" s="111" t="n"/>
      <c r="CX75" s="111" t="n"/>
      <c r="CY75" s="111" t="n"/>
      <c r="CZ75" s="111" t="n"/>
      <c r="DA75" s="111" t="n"/>
      <c r="DB75" s="111" t="n"/>
      <c r="DC75" s="111" t="n"/>
      <c r="DD75" s="111" t="n"/>
      <c r="DE75" s="111" t="n"/>
      <c r="DF75" s="111" t="n"/>
      <c r="DG75" s="111" t="n"/>
      <c r="DH75" s="111" t="n"/>
      <c r="DI75" s="111" t="n"/>
      <c r="DJ75" s="111" t="n"/>
      <c r="DK75" s="111" t="n"/>
      <c r="DL75" s="111" t="n"/>
      <c r="DM75" s="111" t="n"/>
      <c r="DN75" s="111" t="n"/>
      <c r="DO75" s="111" t="n"/>
      <c r="DP75" s="111" t="n"/>
      <c r="DQ75" s="111" t="n"/>
      <c r="DR75" s="111" t="n"/>
      <c r="DS75" s="111" t="n"/>
      <c r="DT75" s="111" t="n"/>
      <c r="DU75" s="111" t="n"/>
      <c r="DV75" s="111" t="n"/>
      <c r="DW75" s="111" t="n"/>
      <c r="DX75" s="111" t="n"/>
      <c r="DY75" s="111" t="n"/>
      <c r="DZ75" s="111" t="n"/>
      <c r="EA75" s="111" t="n"/>
      <c r="EB75" s="111" t="n"/>
      <c r="EC75" s="111" t="n"/>
      <c r="ED75" s="111" t="n"/>
      <c r="EE75" s="111" t="n"/>
      <c r="EF75" s="111" t="n"/>
      <c r="EG75" s="111" t="n"/>
      <c r="EH75" s="111" t="n"/>
      <c r="EI75" s="111" t="n"/>
      <c r="EJ75" s="111" t="n"/>
      <c r="EK75" s="111" t="n"/>
      <c r="EL75" s="111" t="n"/>
      <c r="EM75" s="111" t="n"/>
      <c r="EN75" s="111" t="n"/>
      <c r="EO75" s="111" t="n"/>
      <c r="EP75" s="111" t="n"/>
      <c r="EQ75" s="111" t="n"/>
      <c r="ER75" s="111" t="n"/>
      <c r="ES75" s="111" t="n"/>
      <c r="ET75" s="111" t="n"/>
      <c r="EU75" s="111" t="n"/>
      <c r="EV75" s="111" t="n"/>
      <c r="EW75" s="111" t="n"/>
      <c r="EX75" s="111" t="n"/>
      <c r="EY75" s="111" t="n"/>
      <c r="EZ75" s="111" t="n"/>
      <c r="FA75" s="111" t="n"/>
      <c r="FB75" s="111" t="n"/>
      <c r="FC75" s="111" t="n"/>
      <c r="FD75" s="111" t="n"/>
      <c r="FE75" s="111" t="n"/>
      <c r="FF75" s="111" t="n"/>
      <c r="FG75" s="111" t="n"/>
      <c r="FH75" s="111" t="n"/>
      <c r="FI75" s="111" t="n"/>
      <c r="FJ75" s="111" t="n"/>
      <c r="FK75" s="111" t="n"/>
      <c r="FL75" s="111" t="n"/>
      <c r="FM75" s="111" t="n"/>
      <c r="FN75" s="111" t="n"/>
      <c r="FO75" s="111" t="n"/>
      <c r="FP75" s="111" t="n"/>
      <c r="FQ75" s="111" t="n"/>
      <c r="FR75" s="111" t="n"/>
      <c r="FS75" s="111" t="n"/>
      <c r="FT75" s="111" t="n"/>
      <c r="FU75" s="111" t="n"/>
      <c r="FV75" s="111" t="n"/>
      <c r="FW75" s="111" t="n"/>
      <c r="FX75" s="111" t="n"/>
      <c r="FY75" s="111" t="n"/>
      <c r="FZ75" s="111" t="n"/>
      <c r="GA75" s="111" t="n"/>
      <c r="GB75" s="111" t="n"/>
      <c r="GC75" s="111" t="n"/>
      <c r="GD75" s="111" t="n"/>
      <c r="GE75" s="111" t="n"/>
      <c r="GF75" s="111" t="n"/>
      <c r="GG75" s="111" t="n"/>
      <c r="GH75" s="111" t="n"/>
      <c r="GI75" s="111" t="n"/>
      <c r="GJ75" s="111" t="n"/>
      <c r="GK75" s="111" t="n"/>
      <c r="GL75" s="111" t="n"/>
      <c r="GM75" s="111" t="n"/>
      <c r="GN75" s="111" t="n"/>
      <c r="GO75" s="111" t="n"/>
      <c r="GP75" s="111" t="n"/>
      <c r="GQ75" s="111" t="n"/>
      <c r="GR75" s="111" t="n"/>
      <c r="GS75" s="111" t="n"/>
      <c r="GT75" s="111" t="n"/>
      <c r="GU75" s="111" t="n"/>
      <c r="GV75" s="111" t="n"/>
      <c r="GW75" s="111" t="n"/>
      <c r="GX75" s="111" t="n"/>
      <c r="GY75" s="111" t="n"/>
      <c r="GZ75" s="111" t="n"/>
      <c r="HA75" s="111" t="n"/>
      <c r="HB75" s="111" t="n"/>
      <c r="HC75" s="111" t="n"/>
      <c r="HD75" s="111" t="n"/>
      <c r="HE75" s="111" t="n"/>
      <c r="HF75" s="111" t="n"/>
      <c r="HG75" s="111" t="n"/>
      <c r="HH75" s="111" t="n"/>
      <c r="HI75" s="111" t="n"/>
      <c r="HJ75" s="111" t="n"/>
      <c r="HK75" s="111" t="n"/>
      <c r="HL75" s="111" t="n"/>
      <c r="HM75" s="111" t="n"/>
      <c r="HN75" s="111" t="n"/>
      <c r="HO75" s="111" t="n"/>
      <c r="HP75" s="111" t="n"/>
      <c r="HQ75" s="111" t="n"/>
      <c r="HR75" s="111" t="n"/>
      <c r="HS75" s="111" t="n"/>
      <c r="HT75" s="111" t="n"/>
      <c r="HU75" s="111" t="n"/>
      <c r="HV75" s="111" t="n"/>
      <c r="HW75" s="111" t="n"/>
      <c r="HX75" s="111" t="n"/>
      <c r="HY75" s="111" t="n"/>
      <c r="HZ75" s="111" t="n"/>
      <c r="IA75" s="111" t="n"/>
      <c r="IB75" s="111" t="n"/>
      <c r="IC75" s="111" t="n"/>
      <c r="ID75" s="111" t="n"/>
      <c r="IE75" s="111" t="n"/>
      <c r="IF75" s="111" t="n"/>
      <c r="IG75" s="111" t="n"/>
      <c r="IH75" s="111" t="n"/>
      <c r="II75" s="111" t="n"/>
      <c r="IJ75" s="111" t="n"/>
      <c r="IK75" s="111" t="n"/>
      <c r="IL75" s="111" t="n"/>
      <c r="IM75" s="111" t="n"/>
      <c r="IN75" s="111" t="n"/>
      <c r="IO75" s="111" t="n"/>
      <c r="IP75" s="111" t="n"/>
      <c r="IQ75" s="111" t="n"/>
      <c r="IR75" s="111" t="n"/>
      <c r="IS75" s="111" t="n"/>
      <c r="IT75" s="111" t="n"/>
      <c r="IU75" s="111" t="n"/>
      <c r="IV75" s="111" t="n"/>
      <c r="IW75" s="111" t="n"/>
      <c r="IX75" s="111" t="n"/>
      <c r="IY75" s="111" t="n"/>
      <c r="IZ75" s="111" t="n"/>
      <c r="JA75" s="111" t="n"/>
      <c r="JB75" s="111" t="n"/>
      <c r="JC75" s="111" t="n"/>
      <c r="JD75" s="111" t="n"/>
      <c r="JE75" s="111" t="n"/>
      <c r="JF75" s="111" t="n"/>
      <c r="JG75" s="111" t="n"/>
      <c r="JH75" s="111" t="n"/>
      <c r="JI75" s="111" t="n"/>
      <c r="JJ75" s="111" t="n"/>
      <c r="JK75" s="111" t="n"/>
      <c r="JL75" s="111" t="n"/>
      <c r="JM75" s="111" t="n"/>
      <c r="JN75" s="111" t="n"/>
      <c r="JO75" s="111" t="n"/>
      <c r="JP75" s="111" t="n"/>
      <c r="JQ75" s="111" t="n"/>
      <c r="JR75" s="111" t="n"/>
      <c r="JS75" s="111" t="n"/>
      <c r="JT75" s="111" t="n"/>
      <c r="JU75" s="111" t="n"/>
      <c r="JV75" s="111" t="n"/>
      <c r="JW75" s="111" t="n"/>
      <c r="JX75" s="111" t="n"/>
      <c r="JY75" s="111" t="n"/>
      <c r="JZ75" s="111" t="n"/>
      <c r="KA75" s="111" t="n"/>
      <c r="KB75" s="111" t="n"/>
      <c r="KC75" s="111" t="n"/>
      <c r="KD75" s="111" t="n"/>
      <c r="KE75" s="111" t="n"/>
      <c r="KF75" s="111" t="n"/>
      <c r="KG75" s="111" t="n"/>
      <c r="KH75" s="111" t="n"/>
      <c r="KI75" s="111" t="n"/>
      <c r="KJ75" s="111" t="n"/>
      <c r="KK75" s="111" t="n"/>
      <c r="KL75" s="111" t="n"/>
      <c r="KM75" s="111" t="n"/>
      <c r="KN75" s="111" t="n"/>
      <c r="KO75" s="111" t="n"/>
      <c r="KP75" s="111" t="n"/>
      <c r="KQ75" s="111" t="n"/>
      <c r="KR75" s="111" t="n"/>
      <c r="KS75" s="111" t="n"/>
      <c r="KT75" s="111" t="n"/>
      <c r="KU75" s="111" t="n"/>
      <c r="KV75" s="111" t="n"/>
      <c r="KW75" s="111" t="n"/>
      <c r="KX75" s="111" t="n"/>
      <c r="KY75" s="111" t="n"/>
      <c r="KZ75" s="111" t="n"/>
      <c r="LA75" s="111" t="n"/>
      <c r="LB75" s="111" t="n"/>
      <c r="LC75" s="111" t="n"/>
      <c r="LD75" s="111" t="n"/>
      <c r="LE75" s="111" t="n"/>
      <c r="LF75" s="111" t="n"/>
      <c r="LG75" s="111" t="n"/>
      <c r="LH75" s="111" t="n"/>
      <c r="LI75" s="111" t="n"/>
      <c r="LJ75" s="111" t="n"/>
      <c r="LK75" s="111" t="n"/>
      <c r="LL75" s="111" t="n"/>
      <c r="LM75" s="111" t="n"/>
      <c r="LN75" s="111" t="n"/>
      <c r="LO75" s="111" t="n"/>
      <c r="LP75" s="111" t="n"/>
      <c r="LQ75" s="111" t="n"/>
      <c r="LR75" s="111" t="n"/>
      <c r="LS75" s="111" t="n"/>
      <c r="LT75" s="111" t="n"/>
      <c r="LU75" s="111" t="n"/>
      <c r="LV75" s="111" t="n"/>
      <c r="LW75" s="111" t="n"/>
      <c r="LX75" s="111" t="n"/>
      <c r="LY75" s="111" t="n"/>
      <c r="LZ75" s="111" t="n"/>
      <c r="MA75" s="111" t="n"/>
      <c r="MB75" s="111" t="n"/>
      <c r="MC75" s="111" t="n"/>
      <c r="MD75" s="111" t="n"/>
      <c r="ME75" s="111" t="n"/>
      <c r="MF75" s="111" t="n"/>
      <c r="MG75" s="111" t="n"/>
      <c r="MH75" s="111" t="n"/>
      <c r="MI75" s="111" t="n"/>
      <c r="MJ75" s="111" t="n"/>
      <c r="MK75" s="111" t="n"/>
      <c r="ML75" s="111" t="n"/>
      <c r="MM75" s="111" t="n"/>
      <c r="MN75" s="111" t="n"/>
      <c r="MO75" s="111" t="n"/>
      <c r="MP75" s="111" t="n"/>
      <c r="MQ75" s="111" t="n"/>
      <c r="MR75" s="111" t="n"/>
      <c r="MS75" s="111" t="n"/>
      <c r="MT75" s="111" t="n"/>
      <c r="MU75" s="111" t="n"/>
      <c r="MV75" s="111" t="n"/>
      <c r="MW75" s="111" t="n"/>
      <c r="MX75" s="111" t="n"/>
      <c r="MY75" s="111" t="n"/>
      <c r="MZ75" s="111" t="n"/>
      <c r="NA75" s="111" t="n"/>
      <c r="NB75" s="111" t="n"/>
      <c r="NC75" s="111" t="n"/>
      <c r="ND75" s="111" t="n"/>
      <c r="NE75" s="111" t="n"/>
      <c r="NF75" s="111" t="n"/>
      <c r="NG75" s="111" t="n"/>
      <c r="NH75" s="111" t="n"/>
      <c r="NI75" s="111" t="n"/>
      <c r="NJ75" s="111" t="n"/>
      <c r="NK75" s="111" t="n"/>
      <c r="NL75" s="111" t="n"/>
      <c r="NM75" s="111" t="n"/>
      <c r="NN75" s="111" t="n"/>
      <c r="NO75" s="111" t="n"/>
    </row>
    <row r="76" customFormat="1" s="17">
      <c r="A76" s="33">
        <f>IF(ISERROR(VALUE(SUBSTITUTE(OFFSET(A76,-1,0,1,1),".",""))),"0.1",IF(ISERROR(FIND("`",SUBSTITUTE(OFFSET(A76,-1,0,1,1),".","`",1))),OFFSET(A76,-1,0,1,1)&amp;".1",LEFT(OFFSET(A76,-1,0,1,1),FIND("`",SUBSTITUTE(OFFSET(A76,-1,0,1,1),".","`",1)))&amp;IF(ISERROR(FIND("`",SUBSTITUTE(OFFSET(A76,-1,0,1,1),".","`",2))),VALUE(RIGHT(OFFSET(A76,-1,0,1,1),LEN(OFFSET(A76,-1,0,1,1))-FIND("`",SUBSTITUTE(OFFSET(A76,-1,0,1,1),".","`",1))))+1,VALUE(MID(OFFSET(A76,-1,0,1,1),FIND("`",SUBSTITUTE(OFFSET(A76,-1,0,1,1),".","`",1))+1,(FIND("`",SUBSTITUTE(OFFSET(A76,-1,0,1,1),".","`",2))-FIND("`",SUBSTITUTE(OFFSET(A76,-1,0,1,1),".","`",1))-1)))+1)))</f>
        <v/>
      </c>
      <c r="B76" s="238" t="inlineStr">
        <is>
          <t>[ Start date and End date ]</t>
        </is>
      </c>
      <c r="C76" s="11" t="n"/>
      <c r="D76" s="37" t="n"/>
      <c r="E76" s="37" t="n"/>
      <c r="F76" s="37" t="n"/>
      <c r="G76" s="274" t="n"/>
      <c r="H76" s="274" t="n"/>
      <c r="I76" s="14">
        <f>IF(OR(G76=0,H76=0),0,NETWORKDAYS(G76,H76,holidays))</f>
        <v/>
      </c>
      <c r="J76" s="80" t="n"/>
      <c r="K76" s="15">
        <f>IF(OR(G76=0,H76=0),0,H76-G76+1)</f>
        <v/>
      </c>
      <c r="L76" s="15">
        <f>WORKDAY(G76,ROUNDDOWN(J76*I76,0),holidays)-G76</f>
        <v/>
      </c>
      <c r="M76" s="14">
        <f>K76-L76</f>
        <v/>
      </c>
      <c r="N76" s="113" t="inlineStr">
        <is>
          <t>k</t>
        </is>
      </c>
      <c r="P76" s="111" t="n"/>
      <c r="Q76" s="111" t="n"/>
      <c r="R76" s="111" t="n"/>
      <c r="S76" s="111" t="n"/>
      <c r="T76" s="111" t="n"/>
      <c r="U76" s="111" t="n"/>
      <c r="V76" s="111" t="n"/>
      <c r="W76" s="111" t="n"/>
      <c r="X76" s="111" t="n"/>
      <c r="Y76" s="111" t="n"/>
      <c r="Z76" s="111" t="n"/>
      <c r="AA76" s="111" t="n"/>
      <c r="AB76" s="111" t="n"/>
      <c r="AC76" s="111" t="n"/>
      <c r="AD76" s="111" t="n"/>
      <c r="AE76" s="111" t="n"/>
      <c r="AF76" s="111" t="n"/>
      <c r="AG76" s="111" t="n"/>
      <c r="AH76" s="111" t="n"/>
      <c r="AI76" s="111" t="n"/>
      <c r="AJ76" s="111" t="n"/>
      <c r="AK76" s="111" t="n"/>
      <c r="AL76" s="111" t="n"/>
      <c r="AM76" s="111" t="n"/>
      <c r="AN76" s="111" t="n"/>
      <c r="AO76" s="111" t="n"/>
      <c r="AP76" s="111" t="n"/>
      <c r="AQ76" s="111" t="n"/>
      <c r="AR76" s="111" t="n"/>
      <c r="AS76" s="111" t="n"/>
      <c r="AT76" s="111" t="n"/>
      <c r="AU76" s="111" t="n"/>
      <c r="AV76" s="111" t="n"/>
      <c r="AW76" s="111" t="n"/>
      <c r="AX76" s="111" t="n"/>
      <c r="AY76" s="111" t="n"/>
      <c r="AZ76" s="111" t="n"/>
      <c r="BA76" s="111" t="n"/>
      <c r="BB76" s="111" t="n"/>
      <c r="BC76" s="111" t="n"/>
      <c r="BD76" s="111" t="n"/>
      <c r="BE76" s="111" t="n"/>
      <c r="BF76" s="111" t="n"/>
      <c r="BG76" s="111" t="n"/>
      <c r="BH76" s="111" t="n"/>
      <c r="BI76" s="111" t="n"/>
      <c r="BJ76" s="111" t="n"/>
      <c r="BK76" s="111" t="n"/>
      <c r="BL76" s="111" t="n"/>
      <c r="BM76" s="111" t="n"/>
      <c r="BN76" s="111" t="n"/>
      <c r="BO76" s="111" t="n"/>
      <c r="BP76" s="111" t="n"/>
      <c r="BQ76" s="111" t="n"/>
      <c r="BR76" s="111" t="n"/>
      <c r="BS76" s="111" t="n"/>
      <c r="BT76" s="111" t="n"/>
      <c r="BU76" s="111" t="n"/>
      <c r="BV76" s="111" t="n"/>
      <c r="BW76" s="111" t="n"/>
      <c r="BX76" s="111" t="n"/>
      <c r="BY76" s="111" t="n"/>
      <c r="BZ76" s="111" t="n"/>
      <c r="CA76" s="111" t="n"/>
      <c r="CB76" s="111" t="n"/>
      <c r="CC76" s="111" t="n"/>
      <c r="CD76" s="111" t="n"/>
      <c r="CE76" s="111" t="n"/>
      <c r="CF76" s="111" t="n"/>
      <c r="CG76" s="111" t="n"/>
      <c r="CH76" s="111" t="n"/>
      <c r="CI76" s="111" t="n"/>
      <c r="CJ76" s="111" t="n"/>
      <c r="CK76" s="111" t="n"/>
      <c r="CL76" s="111" t="n"/>
      <c r="CM76" s="111" t="n"/>
      <c r="CN76" s="111" t="n"/>
      <c r="CO76" s="111" t="n"/>
      <c r="CP76" s="111" t="n"/>
      <c r="CQ76" s="111" t="n"/>
      <c r="CR76" s="111" t="n"/>
      <c r="CS76" s="111" t="n"/>
      <c r="CT76" s="111" t="n"/>
      <c r="CU76" s="111" t="n"/>
      <c r="CV76" s="111" t="n"/>
      <c r="CW76" s="111" t="n"/>
      <c r="CX76" s="111" t="n"/>
      <c r="CY76" s="111" t="n"/>
      <c r="CZ76" s="111" t="n"/>
      <c r="DA76" s="111" t="n"/>
      <c r="DB76" s="111" t="n"/>
      <c r="DC76" s="111" t="n"/>
      <c r="DD76" s="111" t="n"/>
      <c r="DE76" s="111" t="n"/>
      <c r="DF76" s="111" t="n"/>
      <c r="DG76" s="111" t="n"/>
      <c r="DH76" s="111" t="n"/>
      <c r="DI76" s="111" t="n"/>
      <c r="DJ76" s="111" t="n"/>
      <c r="DK76" s="111" t="n"/>
      <c r="DL76" s="111" t="n"/>
      <c r="DM76" s="111" t="n"/>
      <c r="DN76" s="111" t="n"/>
      <c r="DO76" s="111" t="n"/>
      <c r="DP76" s="111" t="n"/>
      <c r="DQ76" s="111" t="n"/>
      <c r="DR76" s="111" t="n"/>
      <c r="DS76" s="111" t="n"/>
      <c r="DT76" s="111" t="n"/>
      <c r="DU76" s="111" t="n"/>
      <c r="DV76" s="111" t="n"/>
      <c r="DW76" s="111" t="n"/>
      <c r="DX76" s="111" t="n"/>
      <c r="DY76" s="111" t="n"/>
      <c r="DZ76" s="111" t="n"/>
      <c r="EA76" s="111" t="n"/>
      <c r="EB76" s="111" t="n"/>
      <c r="EC76" s="111" t="n"/>
      <c r="ED76" s="111" t="n"/>
      <c r="EE76" s="111" t="n"/>
      <c r="EF76" s="111" t="n"/>
      <c r="EG76" s="111" t="n"/>
      <c r="EH76" s="111" t="n"/>
      <c r="EI76" s="111" t="n"/>
      <c r="EJ76" s="111" t="n"/>
      <c r="EK76" s="111" t="n"/>
      <c r="EL76" s="111" t="n"/>
      <c r="EM76" s="111" t="n"/>
      <c r="EN76" s="111" t="n"/>
      <c r="EO76" s="111" t="n"/>
      <c r="EP76" s="111" t="n"/>
      <c r="EQ76" s="111" t="n"/>
      <c r="ER76" s="111" t="n"/>
      <c r="ES76" s="111" t="n"/>
      <c r="ET76" s="111" t="n"/>
      <c r="EU76" s="111" t="n"/>
      <c r="EV76" s="111" t="n"/>
      <c r="EW76" s="111" t="n"/>
      <c r="EX76" s="111" t="n"/>
      <c r="EY76" s="111" t="n"/>
      <c r="EZ76" s="111" t="n"/>
      <c r="FA76" s="111" t="n"/>
      <c r="FB76" s="111" t="n"/>
      <c r="FC76" s="111" t="n"/>
      <c r="FD76" s="111" t="n"/>
      <c r="FE76" s="111" t="n"/>
      <c r="FF76" s="111" t="n"/>
      <c r="FG76" s="111" t="n"/>
      <c r="FH76" s="111" t="n"/>
      <c r="FI76" s="111" t="n"/>
      <c r="FJ76" s="111" t="n"/>
      <c r="FK76" s="111" t="n"/>
      <c r="FL76" s="111" t="n"/>
      <c r="FM76" s="111" t="n"/>
      <c r="FN76" s="111" t="n"/>
      <c r="FO76" s="111" t="n"/>
      <c r="FP76" s="111" t="n"/>
      <c r="FQ76" s="111" t="n"/>
      <c r="FR76" s="111" t="n"/>
      <c r="FS76" s="111" t="n"/>
      <c r="FT76" s="111" t="n"/>
      <c r="FU76" s="111" t="n"/>
      <c r="FV76" s="111" t="n"/>
      <c r="FW76" s="111" t="n"/>
      <c r="FX76" s="111" t="n"/>
      <c r="FY76" s="111" t="n"/>
      <c r="FZ76" s="111" t="n"/>
      <c r="GA76" s="111" t="n"/>
      <c r="GB76" s="111" t="n"/>
      <c r="GC76" s="111" t="n"/>
      <c r="GD76" s="111" t="n"/>
      <c r="GE76" s="111" t="n"/>
      <c r="GF76" s="111" t="n"/>
      <c r="GG76" s="111" t="n"/>
      <c r="GH76" s="111" t="n"/>
      <c r="GI76" s="111" t="n"/>
      <c r="GJ76" s="111" t="n"/>
      <c r="GK76" s="111" t="n"/>
      <c r="GL76" s="111" t="n"/>
      <c r="GM76" s="111" t="n"/>
      <c r="GN76" s="111" t="n"/>
      <c r="GO76" s="111" t="n"/>
      <c r="GP76" s="111" t="n"/>
      <c r="GQ76" s="111" t="n"/>
      <c r="GR76" s="111" t="n"/>
      <c r="GS76" s="111" t="n"/>
      <c r="GT76" s="111" t="n"/>
      <c r="GU76" s="111" t="n"/>
      <c r="GV76" s="111" t="n"/>
      <c r="GW76" s="111" t="n"/>
      <c r="GX76" s="111" t="n"/>
      <c r="GY76" s="111" t="n"/>
      <c r="GZ76" s="111" t="n"/>
      <c r="HA76" s="111" t="n"/>
      <c r="HB76" s="111" t="n"/>
      <c r="HC76" s="111" t="n"/>
      <c r="HD76" s="111" t="n"/>
      <c r="HE76" s="111" t="n"/>
      <c r="HF76" s="111" t="n"/>
      <c r="HG76" s="111" t="n"/>
      <c r="HH76" s="111" t="n"/>
      <c r="HI76" s="111" t="n"/>
      <c r="HJ76" s="111" t="n"/>
      <c r="HK76" s="111" t="n"/>
      <c r="HL76" s="111" t="n"/>
      <c r="HM76" s="111" t="n"/>
      <c r="HN76" s="111" t="n"/>
      <c r="HO76" s="111" t="n"/>
      <c r="HP76" s="111" t="n"/>
      <c r="HQ76" s="111" t="n"/>
      <c r="HR76" s="111" t="n"/>
      <c r="HS76" s="111" t="n"/>
      <c r="HT76" s="111" t="n"/>
      <c r="HU76" s="111" t="n"/>
      <c r="HV76" s="111" t="n"/>
      <c r="HW76" s="111" t="n"/>
      <c r="HX76" s="111" t="n"/>
      <c r="HY76" s="111" t="n"/>
      <c r="HZ76" s="111" t="n"/>
      <c r="IA76" s="111" t="n"/>
      <c r="IB76" s="111" t="n"/>
      <c r="IC76" s="111" t="n"/>
      <c r="ID76" s="111" t="n"/>
      <c r="IE76" s="111" t="n"/>
      <c r="IF76" s="111" t="n"/>
      <c r="IG76" s="111" t="n"/>
      <c r="IH76" s="111" t="n"/>
      <c r="II76" s="111" t="n"/>
      <c r="IJ76" s="111" t="n"/>
      <c r="IK76" s="111" t="n"/>
      <c r="IL76" s="111" t="n"/>
      <c r="IM76" s="111" t="n"/>
      <c r="IN76" s="111" t="n"/>
      <c r="IO76" s="111" t="n"/>
      <c r="IP76" s="111" t="n"/>
      <c r="IQ76" s="111" t="n"/>
      <c r="IR76" s="111" t="n"/>
      <c r="IS76" s="111" t="n"/>
      <c r="IT76" s="111" t="n"/>
      <c r="IU76" s="111" t="n"/>
      <c r="IV76" s="111" t="n"/>
      <c r="IW76" s="111" t="n"/>
      <c r="IX76" s="111" t="n"/>
      <c r="IY76" s="111" t="n"/>
      <c r="IZ76" s="111" t="n"/>
      <c r="JA76" s="111" t="n"/>
      <c r="JB76" s="111" t="n"/>
      <c r="JC76" s="111" t="n"/>
      <c r="JD76" s="111" t="n"/>
      <c r="JE76" s="111" t="n"/>
      <c r="JF76" s="111" t="n"/>
      <c r="JG76" s="111" t="n"/>
      <c r="JH76" s="111" t="n"/>
      <c r="JI76" s="111" t="n"/>
      <c r="JJ76" s="111" t="n"/>
      <c r="JK76" s="111" t="n"/>
      <c r="JL76" s="111" t="n"/>
      <c r="JM76" s="111" t="n"/>
      <c r="JN76" s="111" t="n"/>
      <c r="JO76" s="111" t="n"/>
      <c r="JP76" s="111" t="n"/>
      <c r="JQ76" s="111" t="n"/>
      <c r="JR76" s="111" t="n"/>
      <c r="JS76" s="111" t="n"/>
      <c r="JT76" s="111" t="n"/>
      <c r="JU76" s="111" t="n"/>
      <c r="JV76" s="111" t="n"/>
      <c r="JW76" s="111" t="n"/>
      <c r="JX76" s="111" t="n"/>
      <c r="JY76" s="111" t="n"/>
      <c r="JZ76" s="111" t="n"/>
      <c r="KA76" s="111" t="n"/>
      <c r="KB76" s="111" t="n"/>
      <c r="KC76" s="111" t="n"/>
      <c r="KD76" s="111" t="n"/>
      <c r="KE76" s="111" t="n"/>
      <c r="KF76" s="111" t="n"/>
      <c r="KG76" s="111" t="n"/>
      <c r="KH76" s="111" t="n"/>
      <c r="KI76" s="111" t="n"/>
      <c r="KJ76" s="111" t="n"/>
      <c r="KK76" s="111" t="n"/>
      <c r="KL76" s="111" t="n"/>
      <c r="KM76" s="111" t="n"/>
      <c r="KN76" s="111" t="n"/>
      <c r="KO76" s="111" t="n"/>
      <c r="KP76" s="111" t="n"/>
      <c r="KQ76" s="111" t="n"/>
      <c r="KR76" s="111" t="n"/>
      <c r="KS76" s="111" t="n"/>
      <c r="KT76" s="111" t="n"/>
      <c r="KU76" s="111" t="n"/>
      <c r="KV76" s="111" t="n"/>
      <c r="KW76" s="111" t="n"/>
      <c r="KX76" s="111" t="n"/>
      <c r="KY76" s="111" t="n"/>
      <c r="KZ76" s="111" t="n"/>
      <c r="LA76" s="111" t="n"/>
      <c r="LB76" s="111" t="n"/>
      <c r="LC76" s="111" t="n"/>
      <c r="LD76" s="111" t="n"/>
      <c r="LE76" s="111" t="n"/>
      <c r="LF76" s="111" t="n"/>
      <c r="LG76" s="111" t="n"/>
      <c r="LH76" s="111" t="n"/>
      <c r="LI76" s="111" t="n"/>
      <c r="LJ76" s="111" t="n"/>
      <c r="LK76" s="111" t="n"/>
      <c r="LL76" s="111" t="n"/>
      <c r="LM76" s="111" t="n"/>
      <c r="LN76" s="111" t="n"/>
      <c r="LO76" s="111" t="n"/>
      <c r="LP76" s="111" t="n"/>
      <c r="LQ76" s="111" t="n"/>
      <c r="LR76" s="111" t="n"/>
      <c r="LS76" s="111" t="n"/>
      <c r="LT76" s="111" t="n"/>
      <c r="LU76" s="111" t="n"/>
      <c r="LV76" s="111" t="n"/>
      <c r="LW76" s="111" t="n"/>
      <c r="LX76" s="111" t="n"/>
      <c r="LY76" s="111" t="n"/>
      <c r="LZ76" s="111" t="n"/>
      <c r="MA76" s="111" t="n"/>
      <c r="MB76" s="111" t="n"/>
      <c r="MC76" s="111" t="n"/>
      <c r="MD76" s="111" t="n"/>
      <c r="ME76" s="111" t="n"/>
      <c r="MF76" s="111" t="n"/>
      <c r="MG76" s="111" t="n"/>
      <c r="MH76" s="111" t="n"/>
      <c r="MI76" s="111" t="n"/>
      <c r="MJ76" s="111" t="n"/>
      <c r="MK76" s="111" t="n"/>
      <c r="ML76" s="111" t="n"/>
      <c r="MM76" s="111" t="n"/>
      <c r="MN76" s="111" t="n"/>
      <c r="MO76" s="111" t="n"/>
      <c r="MP76" s="111" t="n"/>
      <c r="MQ76" s="111" t="n"/>
      <c r="MR76" s="111" t="n"/>
      <c r="MS76" s="111" t="n"/>
      <c r="MT76" s="111" t="n"/>
      <c r="MU76" s="111" t="n"/>
      <c r="MV76" s="111" t="n"/>
      <c r="MW76" s="111" t="n"/>
      <c r="MX76" s="111" t="n"/>
      <c r="MY76" s="111" t="n"/>
      <c r="MZ76" s="111" t="n"/>
      <c r="NA76" s="111" t="n"/>
      <c r="NB76" s="111" t="n"/>
      <c r="NC76" s="111" t="n"/>
      <c r="ND76" s="111" t="n"/>
      <c r="NE76" s="111" t="n"/>
      <c r="NF76" s="111" t="n"/>
      <c r="NG76" s="111" t="n"/>
      <c r="NH76" s="111" t="n"/>
      <c r="NI76" s="111" t="n"/>
      <c r="NJ76" s="111" t="n"/>
      <c r="NK76" s="111" t="n"/>
      <c r="NL76" s="111" t="n"/>
      <c r="NM76" s="111" t="n"/>
      <c r="NN76" s="111" t="n"/>
      <c r="NO76" s="111" t="n"/>
    </row>
    <row r="77" customFormat="1" s="17">
      <c r="A77" s="33">
        <f>IF(ISERROR(VALUE(SUBSTITUTE(OFFSET(A77,-1,0,1,1),".",""))),"0.1",IF(ISERROR(FIND("`",SUBSTITUTE(OFFSET(A77,-1,0,1,1),".","`",1))),OFFSET(A77,-1,0,1,1)&amp;".1",LEFT(OFFSET(A77,-1,0,1,1),FIND("`",SUBSTITUTE(OFFSET(A77,-1,0,1,1),".","`",1)))&amp;IF(ISERROR(FIND("`",SUBSTITUTE(OFFSET(A77,-1,0,1,1),".","`",2))),VALUE(RIGHT(OFFSET(A77,-1,0,1,1),LEN(OFFSET(A77,-1,0,1,1))-FIND("`",SUBSTITUTE(OFFSET(A77,-1,0,1,1),".","`",1))))+1,VALUE(MID(OFFSET(A77,-1,0,1,1),FIND("`",SUBSTITUTE(OFFSET(A77,-1,0,1,1),".","`",1))+1,(FIND("`",SUBSTITUTE(OFFSET(A77,-1,0,1,1),".","`",2))-FIND("`",SUBSTITUTE(OFFSET(A77,-1,0,1,1),".","`",1))-1)))+1)))</f>
        <v/>
      </c>
      <c r="B77" s="238" t="inlineStr">
        <is>
          <t>[ Start date and Work Days ]</t>
        </is>
      </c>
      <c r="C77" s="11" t="n"/>
      <c r="D77" s="37" t="n"/>
      <c r="E77" s="37" t="n"/>
      <c r="F77" s="37" t="n"/>
      <c r="G77" s="274" t="n"/>
      <c r="H77" s="275">
        <f>IF(I77=0,G77,WORKDAY(IF(WEEKDAY(G77,1)=7,G77+2,IF(WEEKDAY(G77,1)=1,G77+1,G77)),I77-1,holidays))</f>
        <v/>
      </c>
      <c r="I77" s="79" t="n"/>
      <c r="J77" s="80" t="n"/>
      <c r="K77" s="15">
        <f>IF(OR(G77=0,H77=0),0,H77-G77+1)</f>
        <v/>
      </c>
      <c r="L77" s="15">
        <f>WORKDAY(G77,ROUNDDOWN(J77*I77,0),holidays)-G77</f>
        <v/>
      </c>
      <c r="M77" s="14">
        <f>K77-L77</f>
        <v/>
      </c>
      <c r="N77" s="113" t="n"/>
      <c r="O77" s="17" t="n"/>
      <c r="P77" s="111" t="n"/>
      <c r="Q77" s="111" t="n"/>
      <c r="R77" s="111" t="n"/>
      <c r="S77" s="111" t="n"/>
      <c r="T77" s="111" t="n"/>
      <c r="U77" s="111" t="n"/>
      <c r="V77" s="111" t="n"/>
      <c r="W77" s="111" t="n"/>
      <c r="X77" s="111" t="n"/>
      <c r="Y77" s="111" t="n"/>
      <c r="Z77" s="111" t="n"/>
      <c r="AA77" s="111" t="n"/>
      <c r="AB77" s="111" t="n"/>
      <c r="AC77" s="111" t="n"/>
      <c r="AD77" s="111" t="n"/>
      <c r="AE77" s="111" t="n"/>
      <c r="AF77" s="111" t="n"/>
      <c r="AG77" s="111" t="n"/>
      <c r="AH77" s="111" t="n"/>
      <c r="AI77" s="111" t="n"/>
      <c r="AJ77" s="111" t="n"/>
      <c r="AK77" s="111" t="n"/>
      <c r="AL77" s="111" t="n"/>
      <c r="AM77" s="111" t="n"/>
      <c r="AN77" s="111" t="n"/>
      <c r="AO77" s="111" t="n"/>
      <c r="AP77" s="111" t="n"/>
      <c r="AQ77" s="111" t="n"/>
      <c r="AR77" s="111" t="n"/>
      <c r="AS77" s="111" t="n"/>
      <c r="AT77" s="111" t="n"/>
      <c r="AU77" s="111" t="n"/>
      <c r="AV77" s="111" t="n"/>
      <c r="AW77" s="111" t="n"/>
      <c r="AX77" s="111" t="n"/>
      <c r="AY77" s="111" t="n"/>
      <c r="AZ77" s="111" t="n"/>
      <c r="BA77" s="111" t="n"/>
      <c r="BB77" s="111" t="n"/>
      <c r="BC77" s="111" t="n"/>
      <c r="BD77" s="111" t="n"/>
      <c r="BE77" s="111" t="n"/>
      <c r="BF77" s="111" t="n"/>
      <c r="BG77" s="111" t="n"/>
      <c r="BH77" s="111" t="n"/>
      <c r="BI77" s="111" t="n"/>
      <c r="BJ77" s="111" t="n"/>
      <c r="BK77" s="111" t="n"/>
      <c r="BL77" s="111" t="n"/>
      <c r="BM77" s="111" t="n"/>
      <c r="BN77" s="111" t="n"/>
      <c r="BO77" s="111" t="n"/>
      <c r="BP77" s="111" t="n"/>
      <c r="BQ77" s="111" t="n"/>
      <c r="BR77" s="111" t="n"/>
      <c r="BS77" s="111" t="n"/>
      <c r="BT77" s="111" t="n"/>
      <c r="BU77" s="111" t="n"/>
      <c r="BV77" s="111" t="n"/>
      <c r="BW77" s="111" t="n"/>
      <c r="BX77" s="111" t="n"/>
      <c r="BY77" s="111" t="n"/>
      <c r="BZ77" s="111" t="n"/>
      <c r="CA77" s="111" t="n"/>
      <c r="CB77" s="111" t="n"/>
      <c r="CC77" s="111" t="n"/>
      <c r="CD77" s="111" t="n"/>
      <c r="CE77" s="111" t="n"/>
      <c r="CF77" s="111" t="n"/>
      <c r="CG77" s="111" t="n"/>
      <c r="CH77" s="111" t="n"/>
      <c r="CI77" s="111" t="n"/>
      <c r="CJ77" s="111" t="n"/>
      <c r="CK77" s="111" t="n"/>
      <c r="CL77" s="111" t="n"/>
      <c r="CM77" s="111" t="n"/>
      <c r="CN77" s="111" t="n"/>
      <c r="CO77" s="111" t="n"/>
      <c r="CP77" s="111" t="n"/>
      <c r="CQ77" s="111" t="n"/>
      <c r="CR77" s="111" t="n"/>
      <c r="CS77" s="111" t="n"/>
      <c r="CT77" s="111" t="n"/>
      <c r="CU77" s="111" t="n"/>
      <c r="CV77" s="111" t="n"/>
      <c r="CW77" s="111" t="n"/>
      <c r="CX77" s="111" t="n"/>
      <c r="CY77" s="111" t="n"/>
      <c r="CZ77" s="111" t="n"/>
      <c r="DA77" s="111" t="n"/>
      <c r="DB77" s="111" t="n"/>
      <c r="DC77" s="111" t="n"/>
      <c r="DD77" s="111" t="n"/>
      <c r="DE77" s="111" t="n"/>
      <c r="DF77" s="111" t="n"/>
      <c r="DG77" s="111" t="n"/>
      <c r="DH77" s="111" t="n"/>
      <c r="DI77" s="111" t="n"/>
      <c r="DJ77" s="111" t="n"/>
      <c r="DK77" s="111" t="n"/>
      <c r="DL77" s="111" t="n"/>
      <c r="DM77" s="111" t="n"/>
      <c r="DN77" s="111" t="n"/>
      <c r="DO77" s="111" t="n"/>
      <c r="DP77" s="111" t="n"/>
      <c r="DQ77" s="111" t="n"/>
      <c r="DR77" s="111" t="n"/>
      <c r="DS77" s="111" t="n"/>
      <c r="DT77" s="111" t="n"/>
      <c r="DU77" s="111" t="n"/>
      <c r="DV77" s="111" t="n"/>
      <c r="DW77" s="111" t="n"/>
      <c r="DX77" s="111" t="n"/>
      <c r="DY77" s="111" t="n"/>
      <c r="DZ77" s="111" t="n"/>
      <c r="EA77" s="111" t="n"/>
      <c r="EB77" s="111" t="n"/>
      <c r="EC77" s="111" t="n"/>
      <c r="ED77" s="111" t="n"/>
      <c r="EE77" s="111" t="n"/>
      <c r="EF77" s="111" t="n"/>
      <c r="EG77" s="111" t="n"/>
      <c r="EH77" s="111" t="n"/>
      <c r="EI77" s="111" t="n"/>
      <c r="EJ77" s="111" t="n"/>
      <c r="EK77" s="111" t="n"/>
      <c r="EL77" s="111" t="n"/>
      <c r="EM77" s="111" t="n"/>
      <c r="EN77" s="111" t="n"/>
      <c r="EO77" s="111" t="n"/>
      <c r="EP77" s="111" t="n"/>
      <c r="EQ77" s="111" t="n"/>
      <c r="ER77" s="111" t="n"/>
      <c r="ES77" s="111" t="n"/>
      <c r="ET77" s="111" t="n"/>
      <c r="EU77" s="111" t="n"/>
      <c r="EV77" s="111" t="n"/>
      <c r="EW77" s="111" t="n"/>
      <c r="EX77" s="111" t="n"/>
      <c r="EY77" s="111" t="n"/>
      <c r="EZ77" s="111" t="n"/>
      <c r="FA77" s="111" t="n"/>
      <c r="FB77" s="111" t="n"/>
      <c r="FC77" s="111" t="n"/>
      <c r="FD77" s="111" t="n"/>
      <c r="FE77" s="111" t="n"/>
      <c r="FF77" s="111" t="n"/>
      <c r="FG77" s="111" t="n"/>
      <c r="FH77" s="111" t="n"/>
      <c r="FI77" s="111" t="n"/>
      <c r="FJ77" s="111" t="n"/>
      <c r="FK77" s="111" t="n"/>
      <c r="FL77" s="111" t="n"/>
      <c r="FM77" s="111" t="n"/>
      <c r="FN77" s="111" t="n"/>
      <c r="FO77" s="111" t="n"/>
      <c r="FP77" s="111" t="n"/>
      <c r="FQ77" s="111" t="n"/>
      <c r="FR77" s="111" t="n"/>
      <c r="FS77" s="111" t="n"/>
      <c r="FT77" s="111" t="n"/>
      <c r="FU77" s="111" t="n"/>
      <c r="FV77" s="111" t="n"/>
      <c r="FW77" s="111" t="n"/>
      <c r="FX77" s="111" t="n"/>
      <c r="FY77" s="111" t="n"/>
      <c r="FZ77" s="111" t="n"/>
      <c r="GA77" s="111" t="n"/>
      <c r="GB77" s="111" t="n"/>
      <c r="GC77" s="111" t="n"/>
      <c r="GD77" s="111" t="n"/>
      <c r="GE77" s="111" t="n"/>
      <c r="GF77" s="111" t="n"/>
      <c r="GG77" s="111" t="n"/>
      <c r="GH77" s="111" t="n"/>
      <c r="GI77" s="111" t="n"/>
      <c r="GJ77" s="111" t="n"/>
      <c r="GK77" s="111" t="n"/>
      <c r="GL77" s="111" t="n"/>
      <c r="GM77" s="111" t="n"/>
      <c r="GN77" s="111" t="n"/>
      <c r="GO77" s="111" t="n"/>
      <c r="GP77" s="111" t="n"/>
      <c r="GQ77" s="111" t="n"/>
      <c r="GR77" s="111" t="n"/>
      <c r="GS77" s="111" t="n"/>
      <c r="GT77" s="111" t="n"/>
      <c r="GU77" s="111" t="n"/>
      <c r="GV77" s="111" t="n"/>
      <c r="GW77" s="111" t="n"/>
      <c r="GX77" s="111" t="n"/>
      <c r="GY77" s="111" t="n"/>
      <c r="GZ77" s="111" t="n"/>
      <c r="HA77" s="111" t="n"/>
      <c r="HB77" s="111" t="n"/>
      <c r="HC77" s="111" t="n"/>
      <c r="HD77" s="111" t="n"/>
      <c r="HE77" s="111" t="n"/>
      <c r="HF77" s="111" t="n"/>
      <c r="HG77" s="111" t="n"/>
      <c r="HH77" s="111" t="n"/>
      <c r="HI77" s="111" t="n"/>
      <c r="HJ77" s="111" t="n"/>
      <c r="HK77" s="111" t="n"/>
      <c r="HL77" s="111" t="n"/>
      <c r="HM77" s="111" t="n"/>
      <c r="HN77" s="111" t="n"/>
      <c r="HO77" s="111" t="n"/>
      <c r="HP77" s="111" t="n"/>
      <c r="HQ77" s="111" t="n"/>
      <c r="HR77" s="111" t="n"/>
      <c r="HS77" s="111" t="n"/>
      <c r="HT77" s="111" t="n"/>
      <c r="HU77" s="111" t="n"/>
      <c r="HV77" s="111" t="n"/>
      <c r="HW77" s="111" t="n"/>
      <c r="HX77" s="111" t="n"/>
      <c r="HY77" s="111" t="n"/>
      <c r="HZ77" s="111" t="n"/>
      <c r="IA77" s="111" t="n"/>
      <c r="IB77" s="111" t="n"/>
      <c r="IC77" s="111" t="n"/>
      <c r="ID77" s="111" t="n"/>
      <c r="IE77" s="111" t="n"/>
      <c r="IF77" s="111" t="n"/>
      <c r="IG77" s="111" t="n"/>
      <c r="IH77" s="111" t="n"/>
      <c r="II77" s="111" t="n"/>
      <c r="IJ77" s="111" t="n"/>
      <c r="IK77" s="111" t="n"/>
      <c r="IL77" s="111" t="n"/>
      <c r="IM77" s="111" t="n"/>
      <c r="IN77" s="111" t="n"/>
      <c r="IO77" s="111" t="n"/>
      <c r="IP77" s="111" t="n"/>
      <c r="IQ77" s="111" t="n"/>
      <c r="IR77" s="111" t="n"/>
      <c r="IS77" s="111" t="n"/>
      <c r="IT77" s="111" t="n"/>
      <c r="IU77" s="111" t="n"/>
      <c r="IV77" s="111" t="n"/>
      <c r="IW77" s="111" t="n"/>
      <c r="IX77" s="111" t="n"/>
      <c r="IY77" s="111" t="n"/>
      <c r="IZ77" s="111" t="n"/>
      <c r="JA77" s="111" t="n"/>
      <c r="JB77" s="111" t="n"/>
      <c r="JC77" s="111" t="n"/>
      <c r="JD77" s="111" t="n"/>
      <c r="JE77" s="111" t="n"/>
      <c r="JF77" s="111" t="n"/>
      <c r="JG77" s="111" t="n"/>
      <c r="JH77" s="111" t="n"/>
      <c r="JI77" s="111" t="n"/>
      <c r="JJ77" s="111" t="n"/>
      <c r="JK77" s="111" t="n"/>
      <c r="JL77" s="111" t="n"/>
      <c r="JM77" s="111" t="n"/>
      <c r="JN77" s="111" t="n"/>
      <c r="JO77" s="111" t="n"/>
      <c r="JP77" s="111" t="n"/>
      <c r="JQ77" s="111" t="n"/>
      <c r="JR77" s="111" t="n"/>
      <c r="JS77" s="111" t="n"/>
      <c r="JT77" s="111" t="n"/>
      <c r="JU77" s="111" t="n"/>
      <c r="JV77" s="111" t="n"/>
      <c r="JW77" s="111" t="n"/>
      <c r="JX77" s="111" t="n"/>
      <c r="JY77" s="111" t="n"/>
      <c r="JZ77" s="111" t="n"/>
      <c r="KA77" s="111" t="n"/>
      <c r="KB77" s="111" t="n"/>
      <c r="KC77" s="111" t="n"/>
      <c r="KD77" s="111" t="n"/>
      <c r="KE77" s="111" t="n"/>
      <c r="KF77" s="111" t="n"/>
      <c r="KG77" s="111" t="n"/>
      <c r="KH77" s="111" t="n"/>
      <c r="KI77" s="111" t="n"/>
      <c r="KJ77" s="111" t="n"/>
      <c r="KK77" s="111" t="n"/>
      <c r="KL77" s="111" t="n"/>
      <c r="KM77" s="111" t="n"/>
      <c r="KN77" s="111" t="n"/>
      <c r="KO77" s="111" t="n"/>
      <c r="KP77" s="111" t="n"/>
      <c r="KQ77" s="111" t="n"/>
      <c r="KR77" s="111" t="n"/>
      <c r="KS77" s="111" t="n"/>
      <c r="KT77" s="111" t="n"/>
      <c r="KU77" s="111" t="n"/>
      <c r="KV77" s="111" t="n"/>
      <c r="KW77" s="111" t="n"/>
      <c r="KX77" s="111" t="n"/>
      <c r="KY77" s="111" t="n"/>
      <c r="KZ77" s="111" t="n"/>
      <c r="LA77" s="111" t="n"/>
      <c r="LB77" s="111" t="n"/>
      <c r="LC77" s="111" t="n"/>
      <c r="LD77" s="111" t="n"/>
      <c r="LE77" s="111" t="n"/>
      <c r="LF77" s="111" t="n"/>
      <c r="LG77" s="111" t="n"/>
      <c r="LH77" s="111" t="n"/>
      <c r="LI77" s="111" t="n"/>
      <c r="LJ77" s="111" t="n"/>
      <c r="LK77" s="111" t="n"/>
      <c r="LL77" s="111" t="n"/>
      <c r="LM77" s="111" t="n"/>
      <c r="LN77" s="111" t="n"/>
      <c r="LO77" s="111" t="n"/>
      <c r="LP77" s="111" t="n"/>
      <c r="LQ77" s="111" t="n"/>
      <c r="LR77" s="111" t="n"/>
      <c r="LS77" s="111" t="n"/>
      <c r="LT77" s="111" t="n"/>
      <c r="LU77" s="111" t="n"/>
      <c r="LV77" s="111" t="n"/>
      <c r="LW77" s="111" t="n"/>
      <c r="LX77" s="111" t="n"/>
      <c r="LY77" s="111" t="n"/>
      <c r="LZ77" s="111" t="n"/>
      <c r="MA77" s="111" t="n"/>
      <c r="MB77" s="111" t="n"/>
      <c r="MC77" s="111" t="n"/>
      <c r="MD77" s="111" t="n"/>
      <c r="ME77" s="111" t="n"/>
      <c r="MF77" s="111" t="n"/>
      <c r="MG77" s="111" t="n"/>
      <c r="MH77" s="111" t="n"/>
      <c r="MI77" s="111" t="n"/>
      <c r="MJ77" s="111" t="n"/>
      <c r="MK77" s="111" t="n"/>
      <c r="ML77" s="111" t="n"/>
      <c r="MM77" s="111" t="n"/>
      <c r="MN77" s="111" t="n"/>
      <c r="MO77" s="111" t="n"/>
      <c r="MP77" s="111" t="n"/>
      <c r="MQ77" s="111" t="n"/>
      <c r="MR77" s="111" t="n"/>
      <c r="MS77" s="111" t="n"/>
      <c r="MT77" s="111" t="n"/>
      <c r="MU77" s="111" t="n"/>
      <c r="MV77" s="111" t="n"/>
      <c r="MW77" s="111" t="n"/>
      <c r="MX77" s="111" t="n"/>
      <c r="MY77" s="111" t="n"/>
      <c r="MZ77" s="111" t="n"/>
      <c r="NA77" s="111" t="n"/>
      <c r="NB77" s="111" t="n"/>
      <c r="NC77" s="111" t="n"/>
      <c r="ND77" s="111" t="n"/>
      <c r="NE77" s="111" t="n"/>
      <c r="NF77" s="111" t="n"/>
      <c r="NG77" s="111" t="n"/>
      <c r="NH77" s="111" t="n"/>
      <c r="NI77" s="111" t="n"/>
      <c r="NJ77" s="111" t="n"/>
      <c r="NK77" s="111" t="n"/>
      <c r="NL77" s="111" t="n"/>
      <c r="NM77" s="111" t="n"/>
      <c r="NN77" s="111" t="n"/>
      <c r="NO77" s="111" t="n"/>
    </row>
    <row r="78" customFormat="1" s="17">
      <c r="A78" s="33">
        <f>IF(ISERROR(VALUE(SUBSTITUTE(OFFSET(A78,-1,0,1,1),".",""))),"0.1",IF(ISERROR(FIND("`",SUBSTITUTE(OFFSET(A78,-1,0,1,1),".","`",1))),OFFSET(A78,-1,0,1,1)&amp;".1",LEFT(OFFSET(A78,-1,0,1,1),FIND("`",SUBSTITUTE(OFFSET(A78,-1,0,1,1),".","`",1)))&amp;IF(ISERROR(FIND("`",SUBSTITUTE(OFFSET(A78,-1,0,1,1),".","`",2))),VALUE(RIGHT(OFFSET(A78,-1,0,1,1),LEN(OFFSET(A78,-1,0,1,1))-FIND("`",SUBSTITUTE(OFFSET(A78,-1,0,1,1),".","`",1))))+1,VALUE(MID(OFFSET(A78,-1,0,1,1),FIND("`",SUBSTITUTE(OFFSET(A78,-1,0,1,1),".","`",1))+1,(FIND("`",SUBSTITUTE(OFFSET(A78,-1,0,1,1),".","`",2))-FIND("`",SUBSTITUTE(OFFSET(A78,-1,0,1,1),".","`",1))-1)))+1)))</f>
        <v/>
      </c>
      <c r="B78" s="135" t="inlineStr">
        <is>
          <t>[ Predecessors and Work Days ]</t>
        </is>
      </c>
      <c r="C78" s="11" t="n"/>
      <c r="D78" s="81" t="n"/>
      <c r="E78" s="81" t="n"/>
      <c r="F78" s="81" t="n"/>
      <c r="G78" s="275">
        <f>MAX(IF(D78="",$G$6,WORKDAY(INDEX(H:H,MATCH(D78,A:A,0)),1,holidays)),IF(E78="",$G$6,WORKDAY(INDEX(H:H,MATCH(E78,A:A,0)),1,holidays)),IF(F78="",$G$6,WORKDAY(INDEX(H:H,MATCH(F78,A:A,0)),1,holidays)))</f>
        <v/>
      </c>
      <c r="H78" s="275">
        <f>IF(I78=0,G78,WORKDAY(IF(WEEKDAY(G78,1)=7,G78+2,IF(WEEKDAY(G78,1)=1,G78+1,G78)),I78-1,holidays))</f>
        <v/>
      </c>
      <c r="I78" s="79" t="n"/>
      <c r="J78" s="80" t="n"/>
      <c r="K78" s="15">
        <f>IF(OR(G78=0,H78=0),0,H78-G78+1)</f>
        <v/>
      </c>
      <c r="L78" s="15">
        <f>WORKDAY(G78,ROUNDDOWN(J78*I78,0),holidays)-G78</f>
        <v/>
      </c>
      <c r="M78" s="14">
        <f>K78-L78</f>
        <v/>
      </c>
      <c r="N78" s="113" t="n"/>
      <c r="O78" s="17" t="n"/>
      <c r="P78" s="111" t="n"/>
      <c r="Q78" s="111" t="n"/>
      <c r="R78" s="111" t="n"/>
      <c r="S78" s="111" t="n"/>
      <c r="T78" s="111" t="n"/>
      <c r="U78" s="111" t="n"/>
      <c r="V78" s="111" t="n"/>
      <c r="W78" s="111" t="n"/>
      <c r="X78" s="111" t="n"/>
      <c r="Y78" s="111" t="n"/>
      <c r="Z78" s="111" t="n"/>
      <c r="AA78" s="111" t="n"/>
      <c r="AB78" s="111" t="n"/>
      <c r="AC78" s="111" t="n"/>
      <c r="AD78" s="111" t="n"/>
      <c r="AE78" s="111" t="n"/>
      <c r="AF78" s="111" t="n"/>
      <c r="AG78" s="111" t="n"/>
      <c r="AH78" s="111" t="n"/>
      <c r="AI78" s="111" t="n"/>
      <c r="AJ78" s="111" t="n"/>
      <c r="AK78" s="111" t="n"/>
      <c r="AL78" s="111" t="n"/>
      <c r="AM78" s="111" t="n"/>
      <c r="AN78" s="111" t="n"/>
      <c r="AO78" s="111" t="n"/>
      <c r="AP78" s="111" t="n"/>
      <c r="AQ78" s="111" t="n"/>
      <c r="AR78" s="111" t="n"/>
      <c r="AS78" s="111" t="n"/>
      <c r="AT78" s="111" t="n"/>
      <c r="AU78" s="111" t="n"/>
      <c r="AV78" s="111" t="n"/>
      <c r="AW78" s="111" t="n"/>
      <c r="AX78" s="111" t="n"/>
      <c r="AY78" s="111" t="n"/>
      <c r="AZ78" s="111" t="n"/>
      <c r="BA78" s="111" t="n"/>
      <c r="BB78" s="111" t="n"/>
      <c r="BC78" s="111" t="n"/>
      <c r="BD78" s="111" t="n"/>
      <c r="BE78" s="111" t="n"/>
      <c r="BF78" s="111" t="n"/>
      <c r="BG78" s="111" t="n"/>
      <c r="BH78" s="111" t="n"/>
      <c r="BI78" s="111" t="n"/>
      <c r="BJ78" s="111" t="n"/>
      <c r="BK78" s="111" t="n"/>
      <c r="BL78" s="111" t="n"/>
      <c r="BM78" s="111" t="n"/>
      <c r="BN78" s="111" t="n"/>
      <c r="BO78" s="111" t="n"/>
      <c r="BP78" s="111" t="n"/>
      <c r="BQ78" s="111" t="n"/>
      <c r="BR78" s="111" t="n"/>
      <c r="BS78" s="111" t="n"/>
      <c r="BT78" s="111" t="n"/>
      <c r="BU78" s="111" t="n"/>
      <c r="BV78" s="111" t="n"/>
      <c r="BW78" s="111" t="n"/>
      <c r="BX78" s="111" t="n"/>
      <c r="BY78" s="111" t="n"/>
      <c r="BZ78" s="111" t="n"/>
      <c r="CA78" s="111" t="n"/>
      <c r="CB78" s="111" t="n"/>
      <c r="CC78" s="111" t="n"/>
      <c r="CD78" s="111" t="n"/>
      <c r="CE78" s="111" t="n"/>
      <c r="CF78" s="111" t="n"/>
      <c r="CG78" s="111" t="n"/>
      <c r="CH78" s="111" t="n"/>
      <c r="CI78" s="111" t="n"/>
      <c r="CJ78" s="111" t="n"/>
      <c r="CK78" s="111" t="n"/>
      <c r="CL78" s="111" t="n"/>
      <c r="CM78" s="111" t="n"/>
      <c r="CN78" s="111" t="n"/>
      <c r="CO78" s="111" t="n"/>
      <c r="CP78" s="111" t="n"/>
      <c r="CQ78" s="111" t="n"/>
      <c r="CR78" s="111" t="n"/>
      <c r="CS78" s="111" t="n"/>
      <c r="CT78" s="111" t="n"/>
      <c r="CU78" s="111" t="n"/>
      <c r="CV78" s="111" t="n"/>
      <c r="CW78" s="111" t="n"/>
      <c r="CX78" s="111" t="n"/>
      <c r="CY78" s="111" t="n"/>
      <c r="CZ78" s="111" t="n"/>
      <c r="DA78" s="111" t="n"/>
      <c r="DB78" s="111" t="n"/>
      <c r="DC78" s="111" t="n"/>
      <c r="DD78" s="111" t="n"/>
      <c r="DE78" s="111" t="n"/>
      <c r="DF78" s="111" t="n"/>
      <c r="DG78" s="111" t="n"/>
      <c r="DH78" s="111" t="n"/>
      <c r="DI78" s="111" t="n"/>
      <c r="DJ78" s="111" t="n"/>
      <c r="DK78" s="111" t="n"/>
      <c r="DL78" s="111" t="n"/>
      <c r="DM78" s="111" t="n"/>
      <c r="DN78" s="111" t="n"/>
      <c r="DO78" s="111" t="n"/>
      <c r="DP78" s="111" t="n"/>
      <c r="DQ78" s="111" t="n"/>
      <c r="DR78" s="111" t="n"/>
      <c r="DS78" s="111" t="n"/>
      <c r="DT78" s="111" t="n"/>
      <c r="DU78" s="111" t="n"/>
      <c r="DV78" s="111" t="n"/>
      <c r="DW78" s="111" t="n"/>
      <c r="DX78" s="111" t="n"/>
      <c r="DY78" s="111" t="n"/>
      <c r="DZ78" s="111" t="n"/>
      <c r="EA78" s="111" t="n"/>
      <c r="EB78" s="111" t="n"/>
      <c r="EC78" s="111" t="n"/>
      <c r="ED78" s="111" t="n"/>
      <c r="EE78" s="111" t="n"/>
      <c r="EF78" s="111" t="n"/>
      <c r="EG78" s="111" t="n"/>
      <c r="EH78" s="111" t="n"/>
      <c r="EI78" s="111" t="n"/>
      <c r="EJ78" s="111" t="n"/>
      <c r="EK78" s="111" t="n"/>
      <c r="EL78" s="111" t="n"/>
      <c r="EM78" s="111" t="n"/>
      <c r="EN78" s="111" t="n"/>
      <c r="EO78" s="111" t="n"/>
      <c r="EP78" s="111" t="n"/>
      <c r="EQ78" s="111" t="n"/>
      <c r="ER78" s="111" t="n"/>
      <c r="ES78" s="111" t="n"/>
      <c r="ET78" s="111" t="n"/>
      <c r="EU78" s="111" t="n"/>
      <c r="EV78" s="111" t="n"/>
      <c r="EW78" s="111" t="n"/>
      <c r="EX78" s="111" t="n"/>
      <c r="EY78" s="111" t="n"/>
      <c r="EZ78" s="111" t="n"/>
      <c r="FA78" s="111" t="n"/>
      <c r="FB78" s="111" t="n"/>
      <c r="FC78" s="111" t="n"/>
      <c r="FD78" s="111" t="n"/>
      <c r="FE78" s="111" t="n"/>
      <c r="FF78" s="111" t="n"/>
      <c r="FG78" s="111" t="n"/>
      <c r="FH78" s="111" t="n"/>
      <c r="FI78" s="111" t="n"/>
      <c r="FJ78" s="111" t="n"/>
      <c r="FK78" s="111" t="n"/>
      <c r="FL78" s="111" t="n"/>
      <c r="FM78" s="111" t="n"/>
      <c r="FN78" s="111" t="n"/>
      <c r="FO78" s="111" t="n"/>
      <c r="FP78" s="111" t="n"/>
      <c r="FQ78" s="111" t="n"/>
      <c r="FR78" s="111" t="n"/>
      <c r="FS78" s="111" t="n"/>
      <c r="FT78" s="111" t="n"/>
      <c r="FU78" s="111" t="n"/>
      <c r="FV78" s="111" t="n"/>
      <c r="FW78" s="111" t="n"/>
      <c r="FX78" s="111" t="n"/>
      <c r="FY78" s="111" t="n"/>
      <c r="FZ78" s="111" t="n"/>
      <c r="GA78" s="111" t="n"/>
      <c r="GB78" s="111" t="n"/>
      <c r="GC78" s="111" t="n"/>
      <c r="GD78" s="111" t="n"/>
      <c r="GE78" s="111" t="n"/>
      <c r="GF78" s="111" t="n"/>
      <c r="GG78" s="111" t="n"/>
      <c r="GH78" s="111" t="n"/>
      <c r="GI78" s="111" t="n"/>
      <c r="GJ78" s="111" t="n"/>
      <c r="GK78" s="111" t="n"/>
      <c r="GL78" s="111" t="n"/>
      <c r="GM78" s="111" t="n"/>
      <c r="GN78" s="111" t="n"/>
      <c r="GO78" s="111" t="n"/>
      <c r="GP78" s="111" t="n"/>
      <c r="GQ78" s="111" t="n"/>
      <c r="GR78" s="111" t="n"/>
      <c r="GS78" s="111" t="n"/>
      <c r="GT78" s="111" t="n"/>
      <c r="GU78" s="111" t="n"/>
      <c r="GV78" s="111" t="n"/>
      <c r="GW78" s="111" t="n"/>
      <c r="GX78" s="111" t="n"/>
      <c r="GY78" s="111" t="n"/>
      <c r="GZ78" s="111" t="n"/>
      <c r="HA78" s="111" t="n"/>
      <c r="HB78" s="111" t="n"/>
      <c r="HC78" s="111" t="n"/>
      <c r="HD78" s="111" t="n"/>
      <c r="HE78" s="111" t="n"/>
      <c r="HF78" s="111" t="n"/>
      <c r="HG78" s="111" t="n"/>
      <c r="HH78" s="111" t="n"/>
      <c r="HI78" s="111" t="n"/>
      <c r="HJ78" s="111" t="n"/>
      <c r="HK78" s="111" t="n"/>
      <c r="HL78" s="111" t="n"/>
      <c r="HM78" s="111" t="n"/>
      <c r="HN78" s="111" t="n"/>
      <c r="HO78" s="111" t="n"/>
      <c r="HP78" s="111" t="n"/>
      <c r="HQ78" s="111" t="n"/>
      <c r="HR78" s="111" t="n"/>
      <c r="HS78" s="111" t="n"/>
      <c r="HT78" s="111" t="n"/>
      <c r="HU78" s="111" t="n"/>
      <c r="HV78" s="111" t="n"/>
      <c r="HW78" s="111" t="n"/>
      <c r="HX78" s="111" t="n"/>
      <c r="HY78" s="111" t="n"/>
      <c r="HZ78" s="111" t="n"/>
      <c r="IA78" s="111" t="n"/>
      <c r="IB78" s="111" t="n"/>
      <c r="IC78" s="111" t="n"/>
      <c r="ID78" s="111" t="n"/>
      <c r="IE78" s="111" t="n"/>
      <c r="IF78" s="111" t="n"/>
      <c r="IG78" s="111" t="n"/>
      <c r="IH78" s="111" t="n"/>
      <c r="II78" s="111" t="n"/>
      <c r="IJ78" s="111" t="n"/>
      <c r="IK78" s="111" t="n"/>
      <c r="IL78" s="111" t="n"/>
      <c r="IM78" s="111" t="n"/>
      <c r="IN78" s="111" t="n"/>
      <c r="IO78" s="111" t="n"/>
      <c r="IP78" s="111" t="n"/>
      <c r="IQ78" s="111" t="n"/>
      <c r="IR78" s="111" t="n"/>
      <c r="IS78" s="111" t="n"/>
      <c r="IT78" s="111" t="n"/>
      <c r="IU78" s="111" t="n"/>
      <c r="IV78" s="111" t="n"/>
      <c r="IW78" s="111" t="n"/>
      <c r="IX78" s="111" t="n"/>
      <c r="IY78" s="111" t="n"/>
      <c r="IZ78" s="111" t="n"/>
      <c r="JA78" s="111" t="n"/>
      <c r="JB78" s="111" t="n"/>
      <c r="JC78" s="111" t="n"/>
      <c r="JD78" s="111" t="n"/>
      <c r="JE78" s="111" t="n"/>
      <c r="JF78" s="111" t="n"/>
      <c r="JG78" s="111" t="n"/>
      <c r="JH78" s="111" t="n"/>
      <c r="JI78" s="111" t="n"/>
      <c r="JJ78" s="111" t="n"/>
      <c r="JK78" s="111" t="n"/>
      <c r="JL78" s="111" t="n"/>
      <c r="JM78" s="111" t="n"/>
      <c r="JN78" s="111" t="n"/>
      <c r="JO78" s="111" t="n"/>
      <c r="JP78" s="111" t="n"/>
      <c r="JQ78" s="111" t="n"/>
      <c r="JR78" s="111" t="n"/>
      <c r="JS78" s="111" t="n"/>
      <c r="JT78" s="111" t="n"/>
      <c r="JU78" s="111" t="n"/>
      <c r="JV78" s="111" t="n"/>
      <c r="JW78" s="111" t="n"/>
      <c r="JX78" s="111" t="n"/>
      <c r="JY78" s="111" t="n"/>
      <c r="JZ78" s="111" t="n"/>
      <c r="KA78" s="111" t="n"/>
      <c r="KB78" s="111" t="n"/>
      <c r="KC78" s="111" t="n"/>
      <c r="KD78" s="111" t="n"/>
      <c r="KE78" s="111" t="n"/>
      <c r="KF78" s="111" t="n"/>
      <c r="KG78" s="111" t="n"/>
      <c r="KH78" s="111" t="n"/>
      <c r="KI78" s="111" t="n"/>
      <c r="KJ78" s="111" t="n"/>
      <c r="KK78" s="111" t="n"/>
      <c r="KL78" s="111" t="n"/>
      <c r="KM78" s="111" t="n"/>
      <c r="KN78" s="111" t="n"/>
      <c r="KO78" s="111" t="n"/>
      <c r="KP78" s="111" t="n"/>
      <c r="KQ78" s="111" t="n"/>
      <c r="KR78" s="111" t="n"/>
      <c r="KS78" s="111" t="n"/>
      <c r="KT78" s="111" t="n"/>
      <c r="KU78" s="111" t="n"/>
      <c r="KV78" s="111" t="n"/>
      <c r="KW78" s="111" t="n"/>
      <c r="KX78" s="111" t="n"/>
      <c r="KY78" s="111" t="n"/>
      <c r="KZ78" s="111" t="n"/>
      <c r="LA78" s="111" t="n"/>
      <c r="LB78" s="111" t="n"/>
      <c r="LC78" s="111" t="n"/>
      <c r="LD78" s="111" t="n"/>
      <c r="LE78" s="111" t="n"/>
      <c r="LF78" s="111" t="n"/>
      <c r="LG78" s="111" t="n"/>
      <c r="LH78" s="111" t="n"/>
      <c r="LI78" s="111" t="n"/>
      <c r="LJ78" s="111" t="n"/>
      <c r="LK78" s="111" t="n"/>
      <c r="LL78" s="111" t="n"/>
      <c r="LM78" s="111" t="n"/>
      <c r="LN78" s="111" t="n"/>
      <c r="LO78" s="111" t="n"/>
      <c r="LP78" s="111" t="n"/>
      <c r="LQ78" s="111" t="n"/>
      <c r="LR78" s="111" t="n"/>
      <c r="LS78" s="111" t="n"/>
      <c r="LT78" s="111" t="n"/>
      <c r="LU78" s="111" t="n"/>
      <c r="LV78" s="111" t="n"/>
      <c r="LW78" s="111" t="n"/>
      <c r="LX78" s="111" t="n"/>
      <c r="LY78" s="111" t="n"/>
      <c r="LZ78" s="111" t="n"/>
      <c r="MA78" s="111" t="n"/>
      <c r="MB78" s="111" t="n"/>
      <c r="MC78" s="111" t="n"/>
      <c r="MD78" s="111" t="n"/>
      <c r="ME78" s="111" t="n"/>
      <c r="MF78" s="111" t="n"/>
      <c r="MG78" s="111" t="n"/>
      <c r="MH78" s="111" t="n"/>
      <c r="MI78" s="111" t="n"/>
      <c r="MJ78" s="111" t="n"/>
      <c r="MK78" s="111" t="n"/>
      <c r="ML78" s="111" t="n"/>
      <c r="MM78" s="111" t="n"/>
      <c r="MN78" s="111" t="n"/>
      <c r="MO78" s="111" t="n"/>
      <c r="MP78" s="111" t="n"/>
      <c r="MQ78" s="111" t="n"/>
      <c r="MR78" s="111" t="n"/>
      <c r="MS78" s="111" t="n"/>
      <c r="MT78" s="111" t="n"/>
      <c r="MU78" s="111" t="n"/>
      <c r="MV78" s="111" t="n"/>
      <c r="MW78" s="111" t="n"/>
      <c r="MX78" s="111" t="n"/>
      <c r="MY78" s="111" t="n"/>
      <c r="MZ78" s="111" t="n"/>
      <c r="NA78" s="111" t="n"/>
      <c r="NB78" s="111" t="n"/>
      <c r="NC78" s="111" t="n"/>
      <c r="ND78" s="111" t="n"/>
      <c r="NE78" s="111" t="n"/>
      <c r="NF78" s="111" t="n"/>
      <c r="NG78" s="111" t="n"/>
      <c r="NH78" s="111" t="n"/>
      <c r="NI78" s="111" t="n"/>
      <c r="NJ78" s="111" t="n"/>
      <c r="NK78" s="111" t="n"/>
      <c r="NL78" s="111" t="n"/>
      <c r="NM78" s="111" t="n"/>
      <c r="NN78" s="111" t="n"/>
      <c r="NO78" s="111" t="n"/>
    </row>
    <row r="79" customFormat="1" s="17">
      <c r="A79" s="33">
        <f>IF(ISERROR(VALUE(SUBSTITUTE(OFFSET(A79,-1,0,1,1),".",""))),"0.1",IF(ISERROR(FIND("`",SUBSTITUTE(OFFSET(A79,-1,0,1,1),".","`",1))),OFFSET(A79,-1,0,1,1)&amp;".1",LEFT(OFFSET(A79,-1,0,1,1),FIND("`",SUBSTITUTE(OFFSET(A79,-1,0,1,1),".","`",1)))&amp;IF(ISERROR(FIND("`",SUBSTITUTE(OFFSET(A79,-1,0,1,1),".","`",2))),VALUE(RIGHT(OFFSET(A79,-1,0,1,1),LEN(OFFSET(A79,-1,0,1,1))-FIND("`",SUBSTITUTE(OFFSET(A79,-1,0,1,1),".","`",1))))+1,VALUE(MID(OFFSET(A79,-1,0,1,1),FIND("`",SUBSTITUTE(OFFSET(A79,-1,0,1,1),".","`",1))+1,(FIND("`",SUBSTITUTE(OFFSET(A79,-1,0,1,1),".","`",2))-FIND("`",SUBSTITUTE(OFFSET(A79,-1,0,1,1),".","`",1))-1)))+1)))</f>
        <v/>
      </c>
      <c r="B79" s="135" t="inlineStr">
        <is>
          <t>[ Predecessors and End date ]</t>
        </is>
      </c>
      <c r="C79" s="11" t="n"/>
      <c r="D79" s="81" t="n"/>
      <c r="E79" s="81" t="n"/>
      <c r="F79" s="81" t="n"/>
      <c r="G79" s="275">
        <f>MAX(IF(D79="",$G$6,WORKDAY(INDEX(H:H,MATCH(D79,A:A,0)),1,holidays)),IF(E79="",$G$6,WORKDAY(INDEX(H:H,MATCH(E79,A:A,0)),1,holidays)),IF(F79="",$G$6,WORKDAY(INDEX(H:H,MATCH(F79,A:A,0)),1,holidays)))</f>
        <v/>
      </c>
      <c r="H79" s="274" t="n"/>
      <c r="I79" s="14">
        <f>IF(OR(G79=0,H79=0),0,NETWORKDAYS(G79,H79,holidays))</f>
        <v/>
      </c>
      <c r="J79" s="80" t="n"/>
      <c r="K79" s="15">
        <f>IF(OR(G79=0,H79=0),0,H79-G79+1)</f>
        <v/>
      </c>
      <c r="L79" s="15">
        <f>WORKDAY(G79,ROUNDDOWN(J79*I79,0),holidays)-G79</f>
        <v/>
      </c>
      <c r="M79" s="14">
        <f>K79-L79</f>
        <v/>
      </c>
      <c r="N79" s="113" t="n"/>
      <c r="P79" s="111" t="n"/>
      <c r="Q79" s="111" t="n"/>
      <c r="R79" s="111" t="n"/>
      <c r="S79" s="111" t="n"/>
      <c r="T79" s="111" t="n"/>
      <c r="U79" s="111" t="n"/>
      <c r="V79" s="111" t="n"/>
      <c r="W79" s="111" t="n"/>
      <c r="X79" s="111" t="n"/>
      <c r="Y79" s="111" t="n"/>
      <c r="Z79" s="111" t="n"/>
      <c r="AA79" s="111" t="n"/>
      <c r="AB79" s="111" t="n"/>
      <c r="AC79" s="111" t="n"/>
      <c r="AD79" s="111" t="n"/>
      <c r="AE79" s="111" t="n"/>
      <c r="AF79" s="111" t="n"/>
      <c r="AG79" s="111" t="n"/>
      <c r="AH79" s="111" t="n"/>
      <c r="AI79" s="111" t="n"/>
      <c r="AJ79" s="111" t="n"/>
      <c r="AK79" s="111" t="n"/>
      <c r="AL79" s="111" t="n"/>
      <c r="AM79" s="111" t="n"/>
      <c r="AN79" s="111" t="n"/>
      <c r="AO79" s="111" t="n"/>
      <c r="AP79" s="111" t="n"/>
      <c r="AQ79" s="111" t="n"/>
      <c r="AR79" s="111" t="n"/>
      <c r="AS79" s="111" t="n"/>
      <c r="AT79" s="111" t="n"/>
      <c r="AU79" s="111" t="n"/>
      <c r="AV79" s="111" t="n"/>
      <c r="AW79" s="111" t="n"/>
      <c r="AX79" s="111" t="n"/>
      <c r="AY79" s="111" t="n"/>
      <c r="AZ79" s="111" t="n"/>
      <c r="BA79" s="111" t="n"/>
      <c r="BB79" s="111" t="n"/>
      <c r="BC79" s="111" t="n"/>
      <c r="BD79" s="111" t="n"/>
      <c r="BE79" s="111" t="n"/>
      <c r="BF79" s="111" t="n"/>
      <c r="BG79" s="111" t="n"/>
      <c r="BH79" s="111" t="n"/>
      <c r="BI79" s="111" t="n"/>
      <c r="BJ79" s="111" t="n"/>
      <c r="BK79" s="111" t="n"/>
      <c r="BL79" s="111" t="n"/>
      <c r="BM79" s="111" t="n"/>
      <c r="BN79" s="111" t="n"/>
      <c r="BO79" s="111" t="n"/>
      <c r="BP79" s="111" t="n"/>
      <c r="BQ79" s="111" t="n"/>
      <c r="BR79" s="111" t="n"/>
      <c r="BS79" s="111" t="n"/>
      <c r="BT79" s="111" t="n"/>
      <c r="BU79" s="111" t="n"/>
      <c r="BV79" s="111" t="n"/>
      <c r="BW79" s="111" t="n"/>
      <c r="BX79" s="111" t="n"/>
      <c r="BY79" s="111" t="n"/>
      <c r="BZ79" s="111" t="n"/>
      <c r="CA79" s="111" t="n"/>
      <c r="CB79" s="111" t="n"/>
      <c r="CC79" s="111" t="n"/>
      <c r="CD79" s="111" t="n"/>
      <c r="CE79" s="111" t="n"/>
      <c r="CF79" s="111" t="n"/>
      <c r="CG79" s="111" t="n"/>
      <c r="CH79" s="111" t="n"/>
      <c r="CI79" s="111" t="n"/>
      <c r="CJ79" s="111" t="n"/>
      <c r="CK79" s="111" t="n"/>
      <c r="CL79" s="111" t="n"/>
      <c r="CM79" s="111" t="n"/>
      <c r="CN79" s="111" t="n"/>
      <c r="CO79" s="111" t="n"/>
      <c r="CP79" s="111" t="n"/>
      <c r="CQ79" s="111" t="n"/>
      <c r="CR79" s="111" t="n"/>
      <c r="CS79" s="111" t="n"/>
      <c r="CT79" s="111" t="n"/>
      <c r="CU79" s="111" t="n"/>
      <c r="CV79" s="111" t="n"/>
      <c r="CW79" s="111" t="n"/>
      <c r="CX79" s="111" t="n"/>
      <c r="CY79" s="111" t="n"/>
      <c r="CZ79" s="111" t="n"/>
      <c r="DA79" s="111" t="n"/>
      <c r="DB79" s="111" t="n"/>
      <c r="DC79" s="111" t="n"/>
      <c r="DD79" s="111" t="n"/>
      <c r="DE79" s="111" t="n"/>
      <c r="DF79" s="111" t="n"/>
      <c r="DG79" s="111" t="n"/>
      <c r="DH79" s="111" t="n"/>
      <c r="DI79" s="111" t="n"/>
      <c r="DJ79" s="111" t="n"/>
      <c r="DK79" s="111" t="n"/>
      <c r="DL79" s="111" t="n"/>
      <c r="DM79" s="111" t="n"/>
      <c r="DN79" s="111" t="n"/>
      <c r="DO79" s="111" t="n"/>
      <c r="DP79" s="111" t="n"/>
      <c r="DQ79" s="111" t="n"/>
      <c r="DR79" s="111" t="n"/>
      <c r="DS79" s="111" t="n"/>
      <c r="DT79" s="111" t="n"/>
      <c r="DU79" s="111" t="n"/>
      <c r="DV79" s="111" t="n"/>
      <c r="DW79" s="111" t="n"/>
      <c r="DX79" s="111" t="n"/>
      <c r="DY79" s="111" t="n"/>
      <c r="DZ79" s="111" t="n"/>
      <c r="EA79" s="111" t="n"/>
      <c r="EB79" s="111" t="n"/>
      <c r="EC79" s="111" t="n"/>
      <c r="ED79" s="111" t="n"/>
      <c r="EE79" s="111" t="n"/>
      <c r="EF79" s="111" t="n"/>
      <c r="EG79" s="111" t="n"/>
      <c r="EH79" s="111" t="n"/>
      <c r="EI79" s="111" t="n"/>
      <c r="EJ79" s="111" t="n"/>
      <c r="EK79" s="111" t="n"/>
      <c r="EL79" s="111" t="n"/>
      <c r="EM79" s="111" t="n"/>
      <c r="EN79" s="111" t="n"/>
      <c r="EO79" s="111" t="n"/>
      <c r="EP79" s="111" t="n"/>
      <c r="EQ79" s="111" t="n"/>
      <c r="ER79" s="111" t="n"/>
      <c r="ES79" s="111" t="n"/>
      <c r="ET79" s="111" t="n"/>
      <c r="EU79" s="111" t="n"/>
      <c r="EV79" s="111" t="n"/>
      <c r="EW79" s="111" t="n"/>
      <c r="EX79" s="111" t="n"/>
      <c r="EY79" s="111" t="n"/>
      <c r="EZ79" s="111" t="n"/>
      <c r="FA79" s="111" t="n"/>
      <c r="FB79" s="111" t="n"/>
      <c r="FC79" s="111" t="n"/>
      <c r="FD79" s="111" t="n"/>
      <c r="FE79" s="111" t="n"/>
      <c r="FF79" s="111" t="n"/>
      <c r="FG79" s="111" t="n"/>
      <c r="FH79" s="111" t="n"/>
      <c r="FI79" s="111" t="n"/>
      <c r="FJ79" s="111" t="n"/>
      <c r="FK79" s="111" t="n"/>
      <c r="FL79" s="111" t="n"/>
      <c r="FM79" s="111" t="n"/>
      <c r="FN79" s="111" t="n"/>
      <c r="FO79" s="111" t="n"/>
      <c r="FP79" s="111" t="n"/>
      <c r="FQ79" s="111" t="n"/>
      <c r="FR79" s="111" t="n"/>
      <c r="FS79" s="111" t="n"/>
      <c r="FT79" s="111" t="n"/>
      <c r="FU79" s="111" t="n"/>
      <c r="FV79" s="111" t="n"/>
      <c r="FW79" s="111" t="n"/>
      <c r="FX79" s="111" t="n"/>
      <c r="FY79" s="111" t="n"/>
      <c r="FZ79" s="111" t="n"/>
      <c r="GA79" s="111" t="n"/>
      <c r="GB79" s="111" t="n"/>
      <c r="GC79" s="111" t="n"/>
      <c r="GD79" s="111" t="n"/>
      <c r="GE79" s="111" t="n"/>
      <c r="GF79" s="111" t="n"/>
      <c r="GG79" s="111" t="n"/>
      <c r="GH79" s="111" t="n"/>
      <c r="GI79" s="111" t="n"/>
      <c r="GJ79" s="111" t="n"/>
      <c r="GK79" s="111" t="n"/>
      <c r="GL79" s="111" t="n"/>
      <c r="GM79" s="111" t="n"/>
      <c r="GN79" s="111" t="n"/>
      <c r="GO79" s="111" t="n"/>
      <c r="GP79" s="111" t="n"/>
      <c r="GQ79" s="111" t="n"/>
      <c r="GR79" s="111" t="n"/>
      <c r="GS79" s="111" t="n"/>
      <c r="GT79" s="111" t="n"/>
      <c r="GU79" s="111" t="n"/>
      <c r="GV79" s="111" t="n"/>
      <c r="GW79" s="111" t="n"/>
      <c r="GX79" s="111" t="n"/>
      <c r="GY79" s="111" t="n"/>
      <c r="GZ79" s="111" t="n"/>
      <c r="HA79" s="111" t="n"/>
      <c r="HB79" s="111" t="n"/>
      <c r="HC79" s="111" t="n"/>
      <c r="HD79" s="111" t="n"/>
      <c r="HE79" s="111" t="n"/>
      <c r="HF79" s="111" t="n"/>
      <c r="HG79" s="111" t="n"/>
      <c r="HH79" s="111" t="n"/>
      <c r="HI79" s="111" t="n"/>
      <c r="HJ79" s="111" t="n"/>
      <c r="HK79" s="111" t="n"/>
      <c r="HL79" s="111" t="n"/>
      <c r="HM79" s="111" t="n"/>
      <c r="HN79" s="111" t="n"/>
      <c r="HO79" s="111" t="n"/>
      <c r="HP79" s="111" t="n"/>
      <c r="HQ79" s="111" t="n"/>
      <c r="HR79" s="111" t="n"/>
      <c r="HS79" s="111" t="n"/>
      <c r="HT79" s="111" t="n"/>
      <c r="HU79" s="111" t="n"/>
      <c r="HV79" s="111" t="n"/>
      <c r="HW79" s="111" t="n"/>
      <c r="HX79" s="111" t="n"/>
      <c r="HY79" s="111" t="n"/>
      <c r="HZ79" s="111" t="n"/>
      <c r="IA79" s="111" t="n"/>
      <c r="IB79" s="111" t="n"/>
      <c r="IC79" s="111" t="n"/>
      <c r="ID79" s="111" t="n"/>
      <c r="IE79" s="111" t="n"/>
      <c r="IF79" s="111" t="n"/>
      <c r="IG79" s="111" t="n"/>
      <c r="IH79" s="111" t="n"/>
      <c r="II79" s="111" t="n"/>
      <c r="IJ79" s="111" t="n"/>
      <c r="IK79" s="111" t="n"/>
      <c r="IL79" s="111" t="n"/>
      <c r="IM79" s="111" t="n"/>
      <c r="IN79" s="111" t="n"/>
      <c r="IO79" s="111" t="n"/>
      <c r="IP79" s="111" t="n"/>
      <c r="IQ79" s="111" t="n"/>
      <c r="IR79" s="111" t="n"/>
      <c r="IS79" s="111" t="n"/>
      <c r="IT79" s="111" t="n"/>
      <c r="IU79" s="111" t="n"/>
      <c r="IV79" s="111" t="n"/>
      <c r="IW79" s="111" t="n"/>
      <c r="IX79" s="111" t="n"/>
      <c r="IY79" s="111" t="n"/>
      <c r="IZ79" s="111" t="n"/>
      <c r="JA79" s="111" t="n"/>
      <c r="JB79" s="111" t="n"/>
      <c r="JC79" s="111" t="n"/>
      <c r="JD79" s="111" t="n"/>
      <c r="JE79" s="111" t="n"/>
      <c r="JF79" s="111" t="n"/>
      <c r="JG79" s="111" t="n"/>
      <c r="JH79" s="111" t="n"/>
      <c r="JI79" s="111" t="n"/>
      <c r="JJ79" s="111" t="n"/>
      <c r="JK79" s="111" t="n"/>
      <c r="JL79" s="111" t="n"/>
      <c r="JM79" s="111" t="n"/>
      <c r="JN79" s="111" t="n"/>
      <c r="JO79" s="111" t="n"/>
      <c r="JP79" s="111" t="n"/>
      <c r="JQ79" s="111" t="n"/>
      <c r="JR79" s="111" t="n"/>
      <c r="JS79" s="111" t="n"/>
      <c r="JT79" s="111" t="n"/>
      <c r="JU79" s="111" t="n"/>
      <c r="JV79" s="111" t="n"/>
      <c r="JW79" s="111" t="n"/>
      <c r="JX79" s="111" t="n"/>
      <c r="JY79" s="111" t="n"/>
      <c r="JZ79" s="111" t="n"/>
      <c r="KA79" s="111" t="n"/>
      <c r="KB79" s="111" t="n"/>
      <c r="KC79" s="111" t="n"/>
      <c r="KD79" s="111" t="n"/>
      <c r="KE79" s="111" t="n"/>
      <c r="KF79" s="111" t="n"/>
      <c r="KG79" s="111" t="n"/>
      <c r="KH79" s="111" t="n"/>
      <c r="KI79" s="111" t="n"/>
      <c r="KJ79" s="111" t="n"/>
      <c r="KK79" s="111" t="n"/>
      <c r="KL79" s="111" t="n"/>
      <c r="KM79" s="111" t="n"/>
      <c r="KN79" s="111" t="n"/>
      <c r="KO79" s="111" t="n"/>
      <c r="KP79" s="111" t="n"/>
      <c r="KQ79" s="111" t="n"/>
      <c r="KR79" s="111" t="n"/>
      <c r="KS79" s="111" t="n"/>
      <c r="KT79" s="111" t="n"/>
      <c r="KU79" s="111" t="n"/>
      <c r="KV79" s="111" t="n"/>
      <c r="KW79" s="111" t="n"/>
      <c r="KX79" s="111" t="n"/>
      <c r="KY79" s="111" t="n"/>
      <c r="KZ79" s="111" t="n"/>
      <c r="LA79" s="111" t="n"/>
      <c r="LB79" s="111" t="n"/>
      <c r="LC79" s="111" t="n"/>
      <c r="LD79" s="111" t="n"/>
      <c r="LE79" s="111" t="n"/>
      <c r="LF79" s="111" t="n"/>
      <c r="LG79" s="111" t="n"/>
      <c r="LH79" s="111" t="n"/>
      <c r="LI79" s="111" t="n"/>
      <c r="LJ79" s="111" t="n"/>
      <c r="LK79" s="111" t="n"/>
      <c r="LL79" s="111" t="n"/>
      <c r="LM79" s="111" t="n"/>
      <c r="LN79" s="111" t="n"/>
      <c r="LO79" s="111" t="n"/>
      <c r="LP79" s="111" t="n"/>
      <c r="LQ79" s="111" t="n"/>
      <c r="LR79" s="111" t="n"/>
      <c r="LS79" s="111" t="n"/>
      <c r="LT79" s="111" t="n"/>
      <c r="LU79" s="111" t="n"/>
      <c r="LV79" s="111" t="n"/>
      <c r="LW79" s="111" t="n"/>
      <c r="LX79" s="111" t="n"/>
      <c r="LY79" s="111" t="n"/>
      <c r="LZ79" s="111" t="n"/>
      <c r="MA79" s="111" t="n"/>
      <c r="MB79" s="111" t="n"/>
      <c r="MC79" s="111" t="n"/>
      <c r="MD79" s="111" t="n"/>
      <c r="ME79" s="111" t="n"/>
      <c r="MF79" s="111" t="n"/>
      <c r="MG79" s="111" t="n"/>
      <c r="MH79" s="111" t="n"/>
      <c r="MI79" s="111" t="n"/>
      <c r="MJ79" s="111" t="n"/>
      <c r="MK79" s="111" t="n"/>
      <c r="ML79" s="111" t="n"/>
      <c r="MM79" s="111" t="n"/>
      <c r="MN79" s="111" t="n"/>
      <c r="MO79" s="111" t="n"/>
      <c r="MP79" s="111" t="n"/>
      <c r="MQ79" s="111" t="n"/>
      <c r="MR79" s="111" t="n"/>
      <c r="MS79" s="111" t="n"/>
      <c r="MT79" s="111" t="n"/>
      <c r="MU79" s="111" t="n"/>
      <c r="MV79" s="111" t="n"/>
      <c r="MW79" s="111" t="n"/>
      <c r="MX79" s="111" t="n"/>
      <c r="MY79" s="111" t="n"/>
      <c r="MZ79" s="111" t="n"/>
      <c r="NA79" s="111" t="n"/>
      <c r="NB79" s="111" t="n"/>
      <c r="NC79" s="111" t="n"/>
      <c r="ND79" s="111" t="n"/>
      <c r="NE79" s="111" t="n"/>
      <c r="NF79" s="111" t="n"/>
      <c r="NG79" s="111" t="n"/>
      <c r="NH79" s="111" t="n"/>
      <c r="NI79" s="111" t="n"/>
      <c r="NJ79" s="111" t="n"/>
      <c r="NK79" s="111" t="n"/>
      <c r="NL79" s="111" t="n"/>
      <c r="NM79" s="111" t="n"/>
      <c r="NN79" s="111" t="n"/>
      <c r="NO79" s="111" t="n"/>
    </row>
    <row r="80" ht="11.25" customFormat="1" customHeight="1" s="69">
      <c r="A80" s="70" t="inlineStr">
        <is>
          <t>CALENDAR DAYS: Use these rows if weekends and holidays need to be included</t>
        </is>
      </c>
      <c r="B80" s="88" t="n"/>
      <c r="C80" s="88" t="n"/>
      <c r="D80" s="88" t="n"/>
      <c r="E80" s="88" t="n"/>
      <c r="F80" s="88" t="n"/>
      <c r="G80" s="88" t="n"/>
      <c r="H80" s="88" t="n"/>
      <c r="I80" s="88" t="n"/>
      <c r="J80" s="88" t="n"/>
      <c r="K80" s="88" t="n"/>
      <c r="L80" s="88" t="n"/>
      <c r="M80" s="88" t="n"/>
      <c r="N80" s="88" t="n"/>
      <c r="O80" s="69" t="n"/>
      <c r="P80" s="111" t="n"/>
      <c r="Q80" s="111" t="n"/>
      <c r="R80" s="111" t="n"/>
      <c r="S80" s="111" t="n"/>
      <c r="T80" s="111" t="n"/>
      <c r="U80" s="111" t="n"/>
      <c r="V80" s="111" t="n"/>
      <c r="W80" s="111" t="n"/>
      <c r="X80" s="111" t="n"/>
      <c r="Y80" s="111" t="n"/>
      <c r="Z80" s="111" t="n"/>
      <c r="AA80" s="111" t="n"/>
      <c r="AB80" s="111" t="n"/>
      <c r="AC80" s="111" t="n"/>
      <c r="AD80" s="111" t="n"/>
      <c r="AE80" s="111" t="n"/>
      <c r="AF80" s="111" t="n"/>
      <c r="AG80" s="111" t="n"/>
      <c r="AH80" s="111" t="n"/>
      <c r="AI80" s="111" t="n"/>
      <c r="AJ80" s="111" t="n"/>
      <c r="AK80" s="111" t="n"/>
      <c r="AL80" s="111" t="n"/>
      <c r="AM80" s="111" t="n"/>
      <c r="AN80" s="111" t="n"/>
      <c r="AO80" s="111" t="n"/>
      <c r="AP80" s="111" t="n"/>
      <c r="AQ80" s="111" t="n"/>
      <c r="AR80" s="111" t="n"/>
      <c r="AS80" s="111" t="n"/>
      <c r="AT80" s="111" t="n"/>
      <c r="AU80" s="111" t="n"/>
      <c r="AV80" s="111" t="n"/>
      <c r="AW80" s="111" t="n"/>
      <c r="AX80" s="111" t="n"/>
      <c r="AY80" s="111" t="n"/>
      <c r="AZ80" s="111" t="n"/>
      <c r="BA80" s="111" t="n"/>
      <c r="BB80" s="111" t="n"/>
      <c r="BC80" s="111" t="n"/>
      <c r="BD80" s="111" t="n"/>
      <c r="BE80" s="111" t="n"/>
      <c r="BF80" s="111" t="n"/>
      <c r="BG80" s="111" t="n"/>
      <c r="BH80" s="111" t="n"/>
      <c r="BI80" s="111" t="n"/>
      <c r="BJ80" s="111" t="n"/>
      <c r="BK80" s="111" t="n"/>
      <c r="BL80" s="111" t="n"/>
      <c r="BM80" s="111" t="n"/>
      <c r="BN80" s="111" t="n"/>
      <c r="BO80" s="111" t="n"/>
      <c r="BP80" s="111" t="n"/>
      <c r="BQ80" s="111" t="n"/>
      <c r="BR80" s="111" t="n"/>
      <c r="BS80" s="111" t="n"/>
      <c r="BT80" s="111" t="n"/>
      <c r="BU80" s="111" t="n"/>
      <c r="BV80" s="111" t="n"/>
      <c r="BW80" s="111" t="n"/>
      <c r="BX80" s="111" t="n"/>
      <c r="BY80" s="111" t="n"/>
      <c r="BZ80" s="111" t="n"/>
      <c r="CA80" s="111" t="n"/>
      <c r="CB80" s="111" t="n"/>
      <c r="CC80" s="111" t="n"/>
      <c r="CD80" s="111" t="n"/>
      <c r="CE80" s="111" t="n"/>
      <c r="CF80" s="111" t="n"/>
      <c r="CG80" s="111" t="n"/>
      <c r="CH80" s="111" t="n"/>
      <c r="CI80" s="111" t="n"/>
      <c r="CJ80" s="111" t="n"/>
      <c r="CK80" s="111" t="n"/>
      <c r="CL80" s="111" t="n"/>
      <c r="CM80" s="111" t="n"/>
      <c r="CN80" s="111" t="n"/>
      <c r="CO80" s="111" t="n"/>
      <c r="CP80" s="111" t="n"/>
      <c r="CQ80" s="111" t="n"/>
      <c r="CR80" s="111" t="n"/>
      <c r="CS80" s="111" t="n"/>
      <c r="CT80" s="111" t="n"/>
      <c r="CU80" s="111" t="n"/>
      <c r="CV80" s="111" t="n"/>
      <c r="CW80" s="111" t="n"/>
      <c r="CX80" s="111" t="n"/>
      <c r="CY80" s="111" t="n"/>
      <c r="CZ80" s="111" t="n"/>
      <c r="DA80" s="111" t="n"/>
      <c r="DB80" s="111" t="n"/>
      <c r="DC80" s="111" t="n"/>
      <c r="DD80" s="111" t="n"/>
      <c r="DE80" s="111" t="n"/>
      <c r="DF80" s="111" t="n"/>
      <c r="DG80" s="111" t="n"/>
      <c r="DH80" s="111" t="n"/>
      <c r="DI80" s="111" t="n"/>
      <c r="DJ80" s="111" t="n"/>
      <c r="DK80" s="111" t="n"/>
      <c r="DL80" s="111" t="n"/>
      <c r="DM80" s="111" t="n"/>
      <c r="DN80" s="111" t="n"/>
      <c r="DO80" s="111" t="n"/>
      <c r="DP80" s="111" t="n"/>
      <c r="DQ80" s="111" t="n"/>
      <c r="DR80" s="111" t="n"/>
      <c r="DS80" s="111" t="n"/>
      <c r="DT80" s="111" t="n"/>
      <c r="DU80" s="111" t="n"/>
      <c r="DV80" s="111" t="n"/>
      <c r="DW80" s="111" t="n"/>
      <c r="DX80" s="111" t="n"/>
      <c r="DY80" s="111" t="n"/>
      <c r="DZ80" s="111" t="n"/>
      <c r="EA80" s="111" t="n"/>
      <c r="EB80" s="111" t="n"/>
      <c r="EC80" s="111" t="n"/>
      <c r="ED80" s="111" t="n"/>
      <c r="EE80" s="111" t="n"/>
      <c r="EF80" s="111" t="n"/>
      <c r="EG80" s="111" t="n"/>
      <c r="EH80" s="111" t="n"/>
      <c r="EI80" s="111" t="n"/>
      <c r="EJ80" s="111" t="n"/>
      <c r="EK80" s="111" t="n"/>
      <c r="EL80" s="111" t="n"/>
      <c r="EM80" s="111" t="n"/>
      <c r="EN80" s="111" t="n"/>
      <c r="EO80" s="111" t="n"/>
      <c r="EP80" s="111" t="n"/>
      <c r="EQ80" s="111" t="n"/>
      <c r="ER80" s="111" t="n"/>
      <c r="ES80" s="111" t="n"/>
      <c r="ET80" s="111" t="n"/>
      <c r="EU80" s="111" t="n"/>
      <c r="EV80" s="111" t="n"/>
      <c r="EW80" s="111" t="n"/>
      <c r="EX80" s="111" t="n"/>
      <c r="EY80" s="111" t="n"/>
      <c r="EZ80" s="111" t="n"/>
      <c r="FA80" s="111" t="n"/>
      <c r="FB80" s="111" t="n"/>
      <c r="FC80" s="111" t="n"/>
      <c r="FD80" s="111" t="n"/>
      <c r="FE80" s="111" t="n"/>
      <c r="FF80" s="111" t="n"/>
      <c r="FG80" s="111" t="n"/>
      <c r="FH80" s="111" t="n"/>
      <c r="FI80" s="111" t="n"/>
      <c r="FJ80" s="111" t="n"/>
      <c r="FK80" s="111" t="n"/>
      <c r="FL80" s="111" t="n"/>
      <c r="FM80" s="111" t="n"/>
      <c r="FN80" s="111" t="n"/>
      <c r="FO80" s="111" t="n"/>
      <c r="FP80" s="111" t="n"/>
      <c r="FQ80" s="111" t="n"/>
      <c r="FR80" s="111" t="n"/>
      <c r="FS80" s="111" t="n"/>
      <c r="FT80" s="111" t="n"/>
      <c r="FU80" s="111" t="n"/>
      <c r="FV80" s="111" t="n"/>
      <c r="FW80" s="111" t="n"/>
      <c r="FX80" s="111" t="n"/>
      <c r="FY80" s="111" t="n"/>
      <c r="FZ80" s="111" t="n"/>
      <c r="GA80" s="111" t="n"/>
      <c r="GB80" s="111" t="n"/>
      <c r="GC80" s="111" t="n"/>
      <c r="GD80" s="111" t="n"/>
      <c r="GE80" s="111" t="n"/>
      <c r="GF80" s="111" t="n"/>
      <c r="GG80" s="111" t="n"/>
      <c r="GH80" s="111" t="n"/>
      <c r="GI80" s="111" t="n"/>
      <c r="GJ80" s="111" t="n"/>
      <c r="GK80" s="111" t="n"/>
      <c r="GL80" s="111" t="n"/>
      <c r="GM80" s="111" t="n"/>
      <c r="GN80" s="111" t="n"/>
      <c r="GO80" s="111" t="n"/>
      <c r="GP80" s="111" t="n"/>
      <c r="GQ80" s="111" t="n"/>
      <c r="GR80" s="111" t="n"/>
      <c r="GS80" s="111" t="n"/>
      <c r="GT80" s="111" t="n"/>
      <c r="GU80" s="111" t="n"/>
      <c r="GV80" s="111" t="n"/>
      <c r="GW80" s="111" t="n"/>
      <c r="GX80" s="111" t="n"/>
      <c r="GY80" s="111" t="n"/>
      <c r="GZ80" s="111" t="n"/>
      <c r="HA80" s="111" t="n"/>
      <c r="HB80" s="111" t="n"/>
      <c r="HC80" s="111" t="n"/>
      <c r="HD80" s="111" t="n"/>
      <c r="HE80" s="111" t="n"/>
      <c r="HF80" s="111" t="n"/>
      <c r="HG80" s="111" t="n"/>
      <c r="HH80" s="111" t="n"/>
      <c r="HI80" s="111" t="n"/>
      <c r="HJ80" s="111" t="n"/>
      <c r="HK80" s="111" t="n"/>
      <c r="HL80" s="111" t="n"/>
      <c r="HM80" s="111" t="n"/>
      <c r="HN80" s="111" t="n"/>
      <c r="HO80" s="111" t="n"/>
      <c r="HP80" s="111" t="n"/>
      <c r="HQ80" s="111" t="n"/>
      <c r="HR80" s="111" t="n"/>
      <c r="HS80" s="111" t="n"/>
      <c r="HT80" s="111" t="n"/>
      <c r="HU80" s="111" t="n"/>
      <c r="HV80" s="111" t="n"/>
      <c r="HW80" s="111" t="n"/>
      <c r="HX80" s="111" t="n"/>
      <c r="HY80" s="111" t="n"/>
      <c r="HZ80" s="111" t="n"/>
      <c r="IA80" s="111" t="n"/>
      <c r="IB80" s="111" t="n"/>
      <c r="IC80" s="111" t="n"/>
      <c r="ID80" s="111" t="n"/>
      <c r="IE80" s="111" t="n"/>
      <c r="IF80" s="111" t="n"/>
      <c r="IG80" s="111" t="n"/>
      <c r="IH80" s="111" t="n"/>
      <c r="II80" s="111" t="n"/>
      <c r="IJ80" s="111" t="n"/>
      <c r="IK80" s="111" t="n"/>
      <c r="IL80" s="111" t="n"/>
      <c r="IM80" s="111" t="n"/>
      <c r="IN80" s="111" t="n"/>
      <c r="IO80" s="111" t="n"/>
      <c r="IP80" s="111" t="n"/>
      <c r="IQ80" s="111" t="n"/>
      <c r="IR80" s="111" t="n"/>
      <c r="IS80" s="111" t="n"/>
      <c r="IT80" s="111" t="n"/>
      <c r="IU80" s="111" t="n"/>
      <c r="IV80" s="111" t="n"/>
      <c r="IW80" s="111" t="n"/>
      <c r="IX80" s="111" t="n"/>
      <c r="IY80" s="111" t="n"/>
      <c r="IZ80" s="111" t="n"/>
      <c r="JA80" s="111" t="n"/>
      <c r="JB80" s="111" t="n"/>
      <c r="JC80" s="111" t="n"/>
      <c r="JD80" s="111" t="n"/>
      <c r="JE80" s="111" t="n"/>
      <c r="JF80" s="111" t="n"/>
      <c r="JG80" s="111" t="n"/>
      <c r="JH80" s="111" t="n"/>
      <c r="JI80" s="111" t="n"/>
      <c r="JJ80" s="111" t="n"/>
      <c r="JK80" s="111" t="n"/>
      <c r="JL80" s="111" t="n"/>
      <c r="JM80" s="111" t="n"/>
      <c r="JN80" s="111" t="n"/>
      <c r="JO80" s="111" t="n"/>
      <c r="JP80" s="111" t="n"/>
      <c r="JQ80" s="111" t="n"/>
      <c r="JR80" s="111" t="n"/>
      <c r="JS80" s="111" t="n"/>
      <c r="JT80" s="111" t="n"/>
      <c r="JU80" s="111" t="n"/>
      <c r="JV80" s="111" t="n"/>
      <c r="JW80" s="111" t="n"/>
      <c r="JX80" s="111" t="n"/>
      <c r="JY80" s="111" t="n"/>
      <c r="JZ80" s="111" t="n"/>
      <c r="KA80" s="111" t="n"/>
      <c r="KB80" s="111" t="n"/>
      <c r="KC80" s="111" t="n"/>
      <c r="KD80" s="111" t="n"/>
      <c r="KE80" s="111" t="n"/>
      <c r="KF80" s="111" t="n"/>
      <c r="KG80" s="111" t="n"/>
      <c r="KH80" s="111" t="n"/>
      <c r="KI80" s="111" t="n"/>
      <c r="KJ80" s="111" t="n"/>
      <c r="KK80" s="111" t="n"/>
      <c r="KL80" s="111" t="n"/>
      <c r="KM80" s="111" t="n"/>
      <c r="KN80" s="111" t="n"/>
      <c r="KO80" s="111" t="n"/>
      <c r="KP80" s="111" t="n"/>
      <c r="KQ80" s="111" t="n"/>
      <c r="KR80" s="111" t="n"/>
      <c r="KS80" s="111" t="n"/>
      <c r="KT80" s="111" t="n"/>
      <c r="KU80" s="111" t="n"/>
      <c r="KV80" s="111" t="n"/>
      <c r="KW80" s="111" t="n"/>
      <c r="KX80" s="111" t="n"/>
      <c r="KY80" s="111" t="n"/>
      <c r="KZ80" s="111" t="n"/>
      <c r="LA80" s="111" t="n"/>
      <c r="LB80" s="111" t="n"/>
      <c r="LC80" s="111" t="n"/>
      <c r="LD80" s="111" t="n"/>
      <c r="LE80" s="111" t="n"/>
      <c r="LF80" s="111" t="n"/>
      <c r="LG80" s="111" t="n"/>
      <c r="LH80" s="111" t="n"/>
      <c r="LI80" s="111" t="n"/>
      <c r="LJ80" s="111" t="n"/>
      <c r="LK80" s="111" t="n"/>
      <c r="LL80" s="111" t="n"/>
      <c r="LM80" s="111" t="n"/>
      <c r="LN80" s="111" t="n"/>
      <c r="LO80" s="111" t="n"/>
      <c r="LP80" s="111" t="n"/>
      <c r="LQ80" s="111" t="n"/>
      <c r="LR80" s="111" t="n"/>
      <c r="LS80" s="111" t="n"/>
      <c r="LT80" s="111" t="n"/>
      <c r="LU80" s="111" t="n"/>
      <c r="LV80" s="111" t="n"/>
      <c r="LW80" s="111" t="n"/>
      <c r="LX80" s="111" t="n"/>
      <c r="LY80" s="111" t="n"/>
      <c r="LZ80" s="111" t="n"/>
      <c r="MA80" s="111" t="n"/>
      <c r="MB80" s="111" t="n"/>
      <c r="MC80" s="111" t="n"/>
      <c r="MD80" s="111" t="n"/>
      <c r="ME80" s="111" t="n"/>
      <c r="MF80" s="111" t="n"/>
      <c r="MG80" s="111" t="n"/>
      <c r="MH80" s="111" t="n"/>
      <c r="MI80" s="111" t="n"/>
      <c r="MJ80" s="111" t="n"/>
      <c r="MK80" s="111" t="n"/>
      <c r="ML80" s="111" t="n"/>
      <c r="MM80" s="111" t="n"/>
      <c r="MN80" s="111" t="n"/>
      <c r="MO80" s="111" t="n"/>
      <c r="MP80" s="111" t="n"/>
      <c r="MQ80" s="111" t="n"/>
      <c r="MR80" s="111" t="n"/>
      <c r="MS80" s="111" t="n"/>
      <c r="MT80" s="111" t="n"/>
      <c r="MU80" s="111" t="n"/>
      <c r="MV80" s="111" t="n"/>
      <c r="MW80" s="111" t="n"/>
      <c r="MX80" s="111" t="n"/>
      <c r="MY80" s="111" t="n"/>
      <c r="MZ80" s="111" t="n"/>
      <c r="NA80" s="111" t="n"/>
      <c r="NB80" s="111" t="n"/>
      <c r="NC80" s="111" t="n"/>
      <c r="ND80" s="111" t="n"/>
      <c r="NE80" s="111" t="n"/>
      <c r="NF80" s="111" t="n"/>
      <c r="NG80" s="111" t="n"/>
      <c r="NH80" s="111" t="n"/>
      <c r="NI80" s="111" t="n"/>
      <c r="NJ80" s="111" t="n"/>
      <c r="NK80" s="111" t="n"/>
      <c r="NL80" s="111" t="n"/>
      <c r="NM80" s="111" t="n"/>
      <c r="NN80" s="111" t="n"/>
      <c r="NO80" s="111" t="n"/>
    </row>
    <row r="81" customFormat="1" s="17">
      <c r="A81" s="77">
        <f>IF(ISERROR(VALUE(SUBSTITUTE(OFFSET(A81,-1,0,1,1),".",""))),"1",IF(ISERROR(FIND("`",SUBSTITUTE(OFFSET(A81,-1,0,1,1),".","`",1))),TEXT(VALUE(OFFSET(A81,-1,0,1,1))+1,"#"),TEXT(VALUE(LEFT(OFFSET(A81,-1,0,1,1),FIND("`",SUBSTITUTE(OFFSET(A81,-1,0,1,1),".","`",1))-1))+1,"#")))</f>
        <v/>
      </c>
      <c r="B81" s="85" t="inlineStr">
        <is>
          <t>[ Task Summary ]</t>
        </is>
      </c>
      <c r="C81" s="11" t="inlineStr">
        <is>
          <t>[ name ]</t>
        </is>
      </c>
      <c r="D81" s="37" t="n"/>
      <c r="E81" s="37" t="n"/>
      <c r="F81" s="37" t="n"/>
      <c r="G81" s="273">
        <f>MIN(G82:G85)</f>
        <v/>
      </c>
      <c r="H81" s="273">
        <f>MAX(H82:H85)</f>
        <v/>
      </c>
      <c r="I81" s="14">
        <f>IF(OR(G81=0,H81=0),0,NETWORKDAYS(G81,H81,holidays))</f>
        <v/>
      </c>
      <c r="J81" s="83">
        <f>IFERROR(SUMPRODUCT(I82:I84,J82:J84)/SUM(I82:I84),0)</f>
        <v/>
      </c>
      <c r="K81" s="15">
        <f>IF(OR(G81=0,H81=0),0,H81-G81+1)</f>
        <v/>
      </c>
      <c r="L81" s="15">
        <f>WORKDAY(G81,ROUNDDOWN(J81*I81,0),holidays)-G81</f>
        <v/>
      </c>
      <c r="M81" s="14">
        <f>K81-L81</f>
        <v/>
      </c>
      <c r="N81" s="113" t="n"/>
      <c r="P81" s="111" t="n"/>
      <c r="Q81" s="111" t="n"/>
      <c r="R81" s="111" t="n"/>
      <c r="S81" s="111" t="n"/>
      <c r="T81" s="111" t="n"/>
      <c r="U81" s="111" t="n"/>
      <c r="V81" s="111" t="n"/>
      <c r="W81" s="111" t="n"/>
      <c r="X81" s="111" t="n"/>
      <c r="Y81" s="111" t="n"/>
      <c r="Z81" s="111" t="n"/>
      <c r="AA81" s="111" t="n"/>
      <c r="AB81" s="111" t="n"/>
      <c r="AC81" s="111" t="n"/>
      <c r="AD81" s="111" t="n"/>
      <c r="AE81" s="111" t="n"/>
      <c r="AF81" s="111" t="n"/>
      <c r="AG81" s="111" t="n"/>
      <c r="AH81" s="111" t="n"/>
      <c r="AI81" s="111" t="n"/>
      <c r="AJ81" s="111" t="n"/>
      <c r="AK81" s="111" t="n"/>
      <c r="AL81" s="111" t="n"/>
      <c r="AM81" s="111" t="n"/>
      <c r="AN81" s="111" t="n"/>
      <c r="AO81" s="111" t="n"/>
      <c r="AP81" s="111" t="n"/>
      <c r="AQ81" s="111" t="n"/>
      <c r="AR81" s="111" t="n"/>
      <c r="AS81" s="111" t="n"/>
      <c r="AT81" s="111" t="n"/>
      <c r="AU81" s="111" t="n"/>
      <c r="AV81" s="111" t="n"/>
      <c r="AW81" s="111" t="n"/>
      <c r="AX81" s="111" t="n"/>
      <c r="AY81" s="111" t="n"/>
      <c r="AZ81" s="111" t="n"/>
      <c r="BA81" s="111" t="n"/>
      <c r="BB81" s="111" t="n"/>
      <c r="BC81" s="111" t="n"/>
      <c r="BD81" s="111" t="n"/>
      <c r="BE81" s="111" t="n"/>
      <c r="BF81" s="111" t="n"/>
      <c r="BG81" s="111" t="n"/>
      <c r="BH81" s="111" t="n"/>
      <c r="BI81" s="111" t="n"/>
      <c r="BJ81" s="111" t="n"/>
      <c r="BK81" s="111" t="n"/>
      <c r="BL81" s="111" t="n"/>
      <c r="BM81" s="111" t="n"/>
      <c r="BN81" s="111" t="n"/>
      <c r="BO81" s="111" t="n"/>
      <c r="BP81" s="111" t="n"/>
      <c r="BQ81" s="111" t="n"/>
      <c r="BR81" s="111" t="n"/>
      <c r="BS81" s="111" t="n"/>
      <c r="BT81" s="111" t="n"/>
      <c r="BU81" s="111" t="n"/>
      <c r="BV81" s="111" t="n"/>
      <c r="BW81" s="111" t="n"/>
      <c r="BX81" s="111" t="n"/>
      <c r="BY81" s="111" t="n"/>
      <c r="BZ81" s="111" t="n"/>
      <c r="CA81" s="111" t="n"/>
      <c r="CB81" s="111" t="n"/>
      <c r="CC81" s="111" t="n"/>
      <c r="CD81" s="111" t="n"/>
      <c r="CE81" s="111" t="n"/>
      <c r="CF81" s="111" t="n"/>
      <c r="CG81" s="111" t="n"/>
      <c r="CH81" s="111" t="n"/>
      <c r="CI81" s="111" t="n"/>
      <c r="CJ81" s="111" t="n"/>
      <c r="CK81" s="111" t="n"/>
      <c r="CL81" s="111" t="n"/>
      <c r="CM81" s="111" t="n"/>
      <c r="CN81" s="111" t="n"/>
      <c r="CO81" s="111" t="n"/>
      <c r="CP81" s="111" t="n"/>
      <c r="CQ81" s="111" t="n"/>
      <c r="CR81" s="111" t="n"/>
      <c r="CS81" s="111" t="n"/>
      <c r="CT81" s="111" t="n"/>
      <c r="CU81" s="111" t="n"/>
      <c r="CV81" s="111" t="n"/>
      <c r="CW81" s="111" t="n"/>
      <c r="CX81" s="111" t="n"/>
      <c r="CY81" s="111" t="n"/>
      <c r="CZ81" s="111" t="n"/>
      <c r="DA81" s="111" t="n"/>
      <c r="DB81" s="111" t="n"/>
      <c r="DC81" s="111" t="n"/>
      <c r="DD81" s="111" t="n"/>
      <c r="DE81" s="111" t="n"/>
      <c r="DF81" s="111" t="n"/>
      <c r="DG81" s="111" t="n"/>
      <c r="DH81" s="111" t="n"/>
      <c r="DI81" s="111" t="n"/>
      <c r="DJ81" s="111" t="n"/>
      <c r="DK81" s="111" t="n"/>
      <c r="DL81" s="111" t="n"/>
      <c r="DM81" s="111" t="n"/>
      <c r="DN81" s="111" t="n"/>
      <c r="DO81" s="111" t="n"/>
      <c r="DP81" s="111" t="n"/>
      <c r="DQ81" s="111" t="n"/>
      <c r="DR81" s="111" t="n"/>
      <c r="DS81" s="111" t="n"/>
      <c r="DT81" s="111" t="n"/>
      <c r="DU81" s="111" t="n"/>
      <c r="DV81" s="111" t="n"/>
      <c r="DW81" s="111" t="n"/>
      <c r="DX81" s="111" t="n"/>
      <c r="DY81" s="111" t="n"/>
      <c r="DZ81" s="111" t="n"/>
      <c r="EA81" s="111" t="n"/>
      <c r="EB81" s="111" t="n"/>
      <c r="EC81" s="111" t="n"/>
      <c r="ED81" s="111" t="n"/>
      <c r="EE81" s="111" t="n"/>
      <c r="EF81" s="111" t="n"/>
      <c r="EG81" s="111" t="n"/>
      <c r="EH81" s="111" t="n"/>
      <c r="EI81" s="111" t="n"/>
      <c r="EJ81" s="111" t="n"/>
      <c r="EK81" s="111" t="n"/>
      <c r="EL81" s="111" t="n"/>
      <c r="EM81" s="111" t="n"/>
      <c r="EN81" s="111" t="n"/>
      <c r="EO81" s="111" t="n"/>
      <c r="EP81" s="111" t="n"/>
      <c r="EQ81" s="111" t="n"/>
      <c r="ER81" s="111" t="n"/>
      <c r="ES81" s="111" t="n"/>
      <c r="ET81" s="111" t="n"/>
      <c r="EU81" s="111" t="n"/>
      <c r="EV81" s="111" t="n"/>
      <c r="EW81" s="111" t="n"/>
      <c r="EX81" s="111" t="n"/>
      <c r="EY81" s="111" t="n"/>
      <c r="EZ81" s="111" t="n"/>
      <c r="FA81" s="111" t="n"/>
      <c r="FB81" s="111" t="n"/>
      <c r="FC81" s="111" t="n"/>
      <c r="FD81" s="111" t="n"/>
      <c r="FE81" s="111" t="n"/>
      <c r="FF81" s="111" t="n"/>
      <c r="FG81" s="111" t="n"/>
      <c r="FH81" s="111" t="n"/>
      <c r="FI81" s="111" t="n"/>
      <c r="FJ81" s="111" t="n"/>
      <c r="FK81" s="111" t="n"/>
      <c r="FL81" s="111" t="n"/>
      <c r="FM81" s="111" t="n"/>
      <c r="FN81" s="111" t="n"/>
      <c r="FO81" s="111" t="n"/>
      <c r="FP81" s="111" t="n"/>
      <c r="FQ81" s="111" t="n"/>
      <c r="FR81" s="111" t="n"/>
      <c r="FS81" s="111" t="n"/>
      <c r="FT81" s="111" t="n"/>
      <c r="FU81" s="111" t="n"/>
      <c r="FV81" s="111" t="n"/>
      <c r="FW81" s="111" t="n"/>
      <c r="FX81" s="111" t="n"/>
      <c r="FY81" s="111" t="n"/>
      <c r="FZ81" s="111" t="n"/>
      <c r="GA81" s="111" t="n"/>
      <c r="GB81" s="111" t="n"/>
      <c r="GC81" s="111" t="n"/>
      <c r="GD81" s="111" t="n"/>
      <c r="GE81" s="111" t="n"/>
      <c r="GF81" s="111" t="n"/>
      <c r="GG81" s="111" t="n"/>
      <c r="GH81" s="111" t="n"/>
      <c r="GI81" s="111" t="n"/>
      <c r="GJ81" s="111" t="n"/>
      <c r="GK81" s="111" t="n"/>
      <c r="GL81" s="111" t="n"/>
      <c r="GM81" s="111" t="n"/>
      <c r="GN81" s="111" t="n"/>
      <c r="GO81" s="111" t="n"/>
      <c r="GP81" s="111" t="n"/>
      <c r="GQ81" s="111" t="n"/>
      <c r="GR81" s="111" t="n"/>
      <c r="GS81" s="111" t="n"/>
      <c r="GT81" s="111" t="n"/>
      <c r="GU81" s="111" t="n"/>
      <c r="GV81" s="111" t="n"/>
      <c r="GW81" s="111" t="n"/>
      <c r="GX81" s="111" t="n"/>
      <c r="GY81" s="111" t="n"/>
      <c r="GZ81" s="111" t="n"/>
      <c r="HA81" s="111" t="n"/>
      <c r="HB81" s="111" t="n"/>
      <c r="HC81" s="111" t="n"/>
      <c r="HD81" s="111" t="n"/>
      <c r="HE81" s="111" t="n"/>
      <c r="HF81" s="111" t="n"/>
      <c r="HG81" s="111" t="n"/>
      <c r="HH81" s="111" t="n"/>
      <c r="HI81" s="111" t="n"/>
      <c r="HJ81" s="111" t="n"/>
      <c r="HK81" s="111" t="n"/>
      <c r="HL81" s="111" t="n"/>
      <c r="HM81" s="111" t="n"/>
      <c r="HN81" s="111" t="n"/>
      <c r="HO81" s="111" t="n"/>
      <c r="HP81" s="111" t="n"/>
      <c r="HQ81" s="111" t="n"/>
      <c r="HR81" s="111" t="n"/>
      <c r="HS81" s="111" t="n"/>
      <c r="HT81" s="111" t="n"/>
      <c r="HU81" s="111" t="n"/>
      <c r="HV81" s="111" t="n"/>
      <c r="HW81" s="111" t="n"/>
      <c r="HX81" s="111" t="n"/>
      <c r="HY81" s="111" t="n"/>
      <c r="HZ81" s="111" t="n"/>
      <c r="IA81" s="111" t="n"/>
      <c r="IB81" s="111" t="n"/>
      <c r="IC81" s="111" t="n"/>
      <c r="ID81" s="111" t="n"/>
      <c r="IE81" s="111" t="n"/>
      <c r="IF81" s="111" t="n"/>
      <c r="IG81" s="111" t="n"/>
      <c r="IH81" s="111" t="n"/>
      <c r="II81" s="111" t="n"/>
      <c r="IJ81" s="111" t="n"/>
      <c r="IK81" s="111" t="n"/>
      <c r="IL81" s="111" t="n"/>
      <c r="IM81" s="111" t="n"/>
      <c r="IN81" s="111" t="n"/>
      <c r="IO81" s="111" t="n"/>
      <c r="IP81" s="111" t="n"/>
      <c r="IQ81" s="111" t="n"/>
      <c r="IR81" s="111" t="n"/>
      <c r="IS81" s="111" t="n"/>
      <c r="IT81" s="111" t="n"/>
      <c r="IU81" s="111" t="n"/>
      <c r="IV81" s="111" t="n"/>
      <c r="IW81" s="111" t="n"/>
      <c r="IX81" s="111" t="n"/>
      <c r="IY81" s="111" t="n"/>
      <c r="IZ81" s="111" t="n"/>
      <c r="JA81" s="111" t="n"/>
      <c r="JB81" s="111" t="n"/>
      <c r="JC81" s="111" t="n"/>
      <c r="JD81" s="111" t="n"/>
      <c r="JE81" s="111" t="n"/>
      <c r="JF81" s="111" t="n"/>
      <c r="JG81" s="111" t="n"/>
      <c r="JH81" s="111" t="n"/>
      <c r="JI81" s="111" t="n"/>
      <c r="JJ81" s="111" t="n"/>
      <c r="JK81" s="111" t="n"/>
      <c r="JL81" s="111" t="n"/>
      <c r="JM81" s="111" t="n"/>
      <c r="JN81" s="111" t="n"/>
      <c r="JO81" s="111" t="n"/>
      <c r="JP81" s="111" t="n"/>
      <c r="JQ81" s="111" t="n"/>
      <c r="JR81" s="111" t="n"/>
      <c r="JS81" s="111" t="n"/>
      <c r="JT81" s="111" t="n"/>
      <c r="JU81" s="111" t="n"/>
      <c r="JV81" s="111" t="n"/>
      <c r="JW81" s="111" t="n"/>
      <c r="JX81" s="111" t="n"/>
      <c r="JY81" s="111" t="n"/>
      <c r="JZ81" s="111" t="n"/>
      <c r="KA81" s="111" t="n"/>
      <c r="KB81" s="111" t="n"/>
      <c r="KC81" s="111" t="n"/>
      <c r="KD81" s="111" t="n"/>
      <c r="KE81" s="111" t="n"/>
      <c r="KF81" s="111" t="n"/>
      <c r="KG81" s="111" t="n"/>
      <c r="KH81" s="111" t="n"/>
      <c r="KI81" s="111" t="n"/>
      <c r="KJ81" s="111" t="n"/>
      <c r="KK81" s="111" t="n"/>
      <c r="KL81" s="111" t="n"/>
      <c r="KM81" s="111" t="n"/>
      <c r="KN81" s="111" t="n"/>
      <c r="KO81" s="111" t="n"/>
      <c r="KP81" s="111" t="n"/>
      <c r="KQ81" s="111" t="n"/>
      <c r="KR81" s="111" t="n"/>
      <c r="KS81" s="111" t="n"/>
      <c r="KT81" s="111" t="n"/>
      <c r="KU81" s="111" t="n"/>
      <c r="KV81" s="111" t="n"/>
      <c r="KW81" s="111" t="n"/>
      <c r="KX81" s="111" t="n"/>
      <c r="KY81" s="111" t="n"/>
      <c r="KZ81" s="111" t="n"/>
      <c r="LA81" s="111" t="n"/>
      <c r="LB81" s="111" t="n"/>
      <c r="LC81" s="111" t="n"/>
      <c r="LD81" s="111" t="n"/>
      <c r="LE81" s="111" t="n"/>
      <c r="LF81" s="111" t="n"/>
      <c r="LG81" s="111" t="n"/>
      <c r="LH81" s="111" t="n"/>
      <c r="LI81" s="111" t="n"/>
      <c r="LJ81" s="111" t="n"/>
      <c r="LK81" s="111" t="n"/>
      <c r="LL81" s="111" t="n"/>
      <c r="LM81" s="111" t="n"/>
      <c r="LN81" s="111" t="n"/>
      <c r="LO81" s="111" t="n"/>
      <c r="LP81" s="111" t="n"/>
      <c r="LQ81" s="111" t="n"/>
      <c r="LR81" s="111" t="n"/>
      <c r="LS81" s="111" t="n"/>
      <c r="LT81" s="111" t="n"/>
      <c r="LU81" s="111" t="n"/>
      <c r="LV81" s="111" t="n"/>
      <c r="LW81" s="111" t="n"/>
      <c r="LX81" s="111" t="n"/>
      <c r="LY81" s="111" t="n"/>
      <c r="LZ81" s="111" t="n"/>
      <c r="MA81" s="111" t="n"/>
      <c r="MB81" s="111" t="n"/>
      <c r="MC81" s="111" t="n"/>
      <c r="MD81" s="111" t="n"/>
      <c r="ME81" s="111" t="n"/>
      <c r="MF81" s="111" t="n"/>
      <c r="MG81" s="111" t="n"/>
      <c r="MH81" s="111" t="n"/>
      <c r="MI81" s="111" t="n"/>
      <c r="MJ81" s="111" t="n"/>
      <c r="MK81" s="111" t="n"/>
      <c r="ML81" s="111" t="n"/>
      <c r="MM81" s="111" t="n"/>
      <c r="MN81" s="111" t="n"/>
      <c r="MO81" s="111" t="n"/>
      <c r="MP81" s="111" t="n"/>
      <c r="MQ81" s="111" t="n"/>
      <c r="MR81" s="111" t="n"/>
      <c r="MS81" s="111" t="n"/>
      <c r="MT81" s="111" t="n"/>
      <c r="MU81" s="111" t="n"/>
      <c r="MV81" s="111" t="n"/>
      <c r="MW81" s="111" t="n"/>
      <c r="MX81" s="111" t="n"/>
      <c r="MY81" s="111" t="n"/>
      <c r="MZ81" s="111" t="n"/>
      <c r="NA81" s="111" t="n"/>
      <c r="NB81" s="111" t="n"/>
      <c r="NC81" s="111" t="n"/>
      <c r="ND81" s="111" t="n"/>
      <c r="NE81" s="111" t="n"/>
      <c r="NF81" s="111" t="n"/>
      <c r="NG81" s="111" t="n"/>
      <c r="NH81" s="111" t="n"/>
      <c r="NI81" s="111" t="n"/>
      <c r="NJ81" s="111" t="n"/>
      <c r="NK81" s="111" t="n"/>
      <c r="NL81" s="111" t="n"/>
      <c r="NM81" s="111" t="n"/>
      <c r="NN81" s="111" t="n"/>
      <c r="NO81" s="111" t="n"/>
    </row>
    <row r="82" customFormat="1" s="17">
      <c r="A82" s="33">
        <f>IF(ISERROR(VALUE(SUBSTITUTE(OFFSET(A82,-1,0,1,1),".",""))),"0.1",IF(ISERROR(FIND("`",SUBSTITUTE(OFFSET(A82,-1,0,1,1),".","`",1))),OFFSET(A82,-1,0,1,1)&amp;".1",LEFT(OFFSET(A82,-1,0,1,1),FIND("`",SUBSTITUTE(OFFSET(A82,-1,0,1,1),".","`",1)))&amp;IF(ISERROR(FIND("`",SUBSTITUTE(OFFSET(A82,-1,0,1,1),".","`",2))),VALUE(RIGHT(OFFSET(A82,-1,0,1,1),LEN(OFFSET(A82,-1,0,1,1))-FIND("`",SUBSTITUTE(OFFSET(A82,-1,0,1,1),".","`",1))))+1,VALUE(MID(OFFSET(A82,-1,0,1,1),FIND("`",SUBSTITUTE(OFFSET(A82,-1,0,1,1),".","`",1))+1,(FIND("`",SUBSTITUTE(OFFSET(A82,-1,0,1,1),".","`",2))-FIND("`",SUBSTITUTE(OFFSET(A82,-1,0,1,1),".","`",1))-1)))+1)))</f>
        <v/>
      </c>
      <c r="B82" s="238" t="inlineStr">
        <is>
          <t>[ Start date and End date ]</t>
        </is>
      </c>
      <c r="C82" s="11" t="n"/>
      <c r="D82" s="37" t="n"/>
      <c r="E82" s="37" t="n"/>
      <c r="F82" s="37" t="n"/>
      <c r="G82" s="274" t="n"/>
      <c r="H82" s="274" t="n"/>
      <c r="I82" s="14">
        <f>IF(OR(G82=0,H82=0),0,NETWORKDAYS(G82,H82,holidays))</f>
        <v/>
      </c>
      <c r="J82" s="80" t="n"/>
      <c r="K82" s="15">
        <f>IF(OR(G82=0,H82=0),0,H82-G82+1)</f>
        <v/>
      </c>
      <c r="L82" s="15">
        <f>WORKDAY(G82,ROUNDDOWN(J82*I82,0),holidays)-G82</f>
        <v/>
      </c>
      <c r="M82" s="14">
        <f>K82-L82</f>
        <v/>
      </c>
      <c r="N82" s="113" t="inlineStr">
        <is>
          <t>k</t>
        </is>
      </c>
      <c r="P82" s="111" t="n"/>
      <c r="Q82" s="111"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1" t="n"/>
      <c r="AY82" s="111" t="n"/>
      <c r="AZ82" s="111" t="n"/>
      <c r="BA82" s="111" t="n"/>
      <c r="BB82" s="111" t="n"/>
      <c r="BC82" s="111" t="n"/>
      <c r="BD82" s="111" t="n"/>
      <c r="BE82" s="111" t="n"/>
      <c r="BF82" s="111" t="n"/>
      <c r="BG82" s="111" t="n"/>
      <c r="BH82" s="111" t="n"/>
      <c r="BI82" s="111" t="n"/>
      <c r="BJ82" s="111" t="n"/>
      <c r="BK82" s="111" t="n"/>
      <c r="BL82" s="111" t="n"/>
      <c r="BM82" s="111" t="n"/>
      <c r="BN82" s="111" t="n"/>
      <c r="BO82" s="111" t="n"/>
      <c r="BP82" s="111" t="n"/>
      <c r="BQ82" s="111" t="n"/>
      <c r="BR82" s="111" t="n"/>
      <c r="BS82" s="111" t="n"/>
      <c r="BT82" s="111" t="n"/>
      <c r="BU82" s="111" t="n"/>
      <c r="BV82" s="111" t="n"/>
      <c r="BW82" s="111" t="n"/>
      <c r="BX82" s="111" t="n"/>
      <c r="BY82" s="111" t="n"/>
      <c r="BZ82" s="111" t="n"/>
      <c r="CA82" s="111" t="n"/>
      <c r="CB82" s="111" t="n"/>
      <c r="CC82" s="111" t="n"/>
      <c r="CD82" s="111" t="n"/>
      <c r="CE82" s="111" t="n"/>
      <c r="CF82" s="111"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1" t="n"/>
      <c r="DS82" s="111" t="n"/>
      <c r="DT82" s="111" t="n"/>
      <c r="DU82" s="111" t="n"/>
      <c r="DV82" s="111" t="n"/>
      <c r="DW82" s="111" t="n"/>
      <c r="DX82" s="111" t="n"/>
      <c r="DY82" s="111" t="n"/>
      <c r="DZ82" s="111" t="n"/>
      <c r="EA82" s="111" t="n"/>
      <c r="EB82" s="111" t="n"/>
      <c r="EC82" s="111" t="n"/>
      <c r="ED82" s="111" t="n"/>
      <c r="EE82" s="111" t="n"/>
      <c r="EF82" s="111" t="n"/>
      <c r="EG82" s="111" t="n"/>
      <c r="EH82" s="111" t="n"/>
      <c r="EI82" s="111" t="n"/>
      <c r="EJ82" s="111" t="n"/>
      <c r="EK82" s="111" t="n"/>
      <c r="EL82" s="111" t="n"/>
      <c r="EM82" s="111" t="n"/>
      <c r="EN82" s="111" t="n"/>
      <c r="EO82" s="111" t="n"/>
      <c r="EP82" s="111" t="n"/>
      <c r="EQ82" s="111" t="n"/>
      <c r="ER82" s="111" t="n"/>
      <c r="ES82" s="111" t="n"/>
      <c r="ET82" s="111" t="n"/>
      <c r="EU82" s="111" t="n"/>
      <c r="EV82" s="111" t="n"/>
      <c r="EW82" s="111" t="n"/>
      <c r="EX82" s="111" t="n"/>
      <c r="EY82" s="111" t="n"/>
      <c r="EZ82" s="111" t="n"/>
      <c r="FA82" s="111" t="n"/>
      <c r="FB82" s="111"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1" t="n"/>
      <c r="GH82" s="111" t="n"/>
      <c r="GI82" s="111" t="n"/>
      <c r="GJ82" s="111" t="n"/>
      <c r="GK82" s="111" t="n"/>
      <c r="GL82" s="111" t="n"/>
      <c r="GM82" s="111" t="n"/>
      <c r="GN82" s="111" t="n"/>
      <c r="GO82" s="111" t="n"/>
      <c r="GP82" s="111" t="n"/>
      <c r="GQ82" s="111" t="n"/>
      <c r="GR82" s="111" t="n"/>
      <c r="GS82" s="111" t="n"/>
      <c r="GT82" s="111" t="n"/>
      <c r="GU82" s="111" t="n"/>
      <c r="GV82" s="111" t="n"/>
      <c r="GW82" s="111" t="n"/>
      <c r="GX82" s="111" t="n"/>
      <c r="GY82" s="111" t="n"/>
      <c r="GZ82" s="111" t="n"/>
      <c r="HA82" s="111" t="n"/>
      <c r="HB82" s="111" t="n"/>
      <c r="HC82" s="111" t="n"/>
      <c r="HD82" s="111" t="n"/>
      <c r="HE82" s="111" t="n"/>
      <c r="HF82" s="111" t="n"/>
      <c r="HG82" s="111" t="n"/>
      <c r="HH82" s="111" t="n"/>
      <c r="HI82" s="111" t="n"/>
      <c r="HJ82" s="111" t="n"/>
      <c r="HK82" s="111" t="n"/>
      <c r="HL82" s="111" t="n"/>
      <c r="HM82" s="111" t="n"/>
      <c r="HN82" s="111" t="n"/>
      <c r="HO82" s="111" t="n"/>
      <c r="HP82" s="111" t="n"/>
      <c r="HQ82" s="111" t="n"/>
      <c r="HR82" s="111" t="n"/>
      <c r="HS82" s="111" t="n"/>
      <c r="HT82" s="111" t="n"/>
      <c r="HU82" s="111" t="n"/>
      <c r="HV82" s="111" t="n"/>
      <c r="HW82" s="111" t="n"/>
      <c r="HX82" s="111" t="n"/>
      <c r="HY82" s="111" t="n"/>
      <c r="HZ82" s="111" t="n"/>
      <c r="IA82" s="111" t="n"/>
      <c r="IB82" s="111" t="n"/>
      <c r="IC82" s="111" t="n"/>
      <c r="ID82" s="111" t="n"/>
      <c r="IE82" s="111" t="n"/>
      <c r="IF82" s="111" t="n"/>
      <c r="IG82" s="111" t="n"/>
      <c r="IH82" s="111" t="n"/>
      <c r="II82" s="111" t="n"/>
      <c r="IJ82" s="111" t="n"/>
      <c r="IK82" s="111" t="n"/>
      <c r="IL82" s="111" t="n"/>
      <c r="IM82" s="111" t="n"/>
      <c r="IN82" s="111" t="n"/>
      <c r="IO82" s="111" t="n"/>
      <c r="IP82" s="111" t="n"/>
      <c r="IQ82" s="111" t="n"/>
      <c r="IR82" s="111" t="n"/>
      <c r="IS82" s="111" t="n"/>
      <c r="IT82" s="111" t="n"/>
      <c r="IU82" s="111" t="n"/>
      <c r="IV82" s="111" t="n"/>
      <c r="IW82" s="111" t="n"/>
      <c r="IX82" s="111" t="n"/>
      <c r="IY82" s="111" t="n"/>
      <c r="IZ82" s="111" t="n"/>
      <c r="JA82" s="111" t="n"/>
      <c r="JB82" s="111" t="n"/>
      <c r="JC82" s="111" t="n"/>
      <c r="JD82" s="111" t="n"/>
      <c r="JE82" s="111" t="n"/>
      <c r="JF82" s="111" t="n"/>
      <c r="JG82" s="111" t="n"/>
      <c r="JH82" s="111" t="n"/>
      <c r="JI82" s="111" t="n"/>
      <c r="JJ82" s="111" t="n"/>
      <c r="JK82" s="111" t="n"/>
      <c r="JL82" s="111" t="n"/>
      <c r="JM82" s="111" t="n"/>
      <c r="JN82" s="111" t="n"/>
      <c r="JO82" s="111" t="n"/>
      <c r="JP82" s="111" t="n"/>
      <c r="JQ82" s="111" t="n"/>
      <c r="JR82" s="111" t="n"/>
      <c r="JS82" s="111" t="n"/>
      <c r="JT82" s="111" t="n"/>
      <c r="JU82" s="111" t="n"/>
      <c r="JV82" s="111" t="n"/>
      <c r="JW82" s="111" t="n"/>
      <c r="JX82" s="111" t="n"/>
      <c r="JY82" s="111" t="n"/>
      <c r="JZ82" s="111" t="n"/>
      <c r="KA82" s="111" t="n"/>
      <c r="KB82" s="111" t="n"/>
      <c r="KC82" s="111" t="n"/>
      <c r="KD82" s="111" t="n"/>
      <c r="KE82" s="111" t="n"/>
      <c r="KF82" s="111" t="n"/>
      <c r="KG82" s="111" t="n"/>
      <c r="KH82" s="111" t="n"/>
      <c r="KI82" s="111" t="n"/>
      <c r="KJ82" s="111" t="n"/>
      <c r="KK82" s="111" t="n"/>
      <c r="KL82" s="111" t="n"/>
      <c r="KM82" s="111" t="n"/>
      <c r="KN82" s="111" t="n"/>
      <c r="KO82" s="111" t="n"/>
      <c r="KP82" s="111" t="n"/>
      <c r="KQ82" s="111" t="n"/>
      <c r="KR82" s="111" t="n"/>
      <c r="KS82" s="111" t="n"/>
      <c r="KT82" s="111" t="n"/>
      <c r="KU82" s="111" t="n"/>
      <c r="KV82" s="111" t="n"/>
      <c r="KW82" s="111" t="n"/>
      <c r="KX82" s="111" t="n"/>
      <c r="KY82" s="111" t="n"/>
      <c r="KZ82" s="111" t="n"/>
      <c r="LA82" s="111" t="n"/>
      <c r="LB82" s="111" t="n"/>
      <c r="LC82" s="111" t="n"/>
      <c r="LD82" s="111" t="n"/>
      <c r="LE82" s="111" t="n"/>
      <c r="LF82" s="111" t="n"/>
      <c r="LG82" s="111" t="n"/>
      <c r="LH82" s="111" t="n"/>
      <c r="LI82" s="111" t="n"/>
      <c r="LJ82" s="111" t="n"/>
      <c r="LK82" s="111" t="n"/>
      <c r="LL82" s="111" t="n"/>
      <c r="LM82" s="111" t="n"/>
      <c r="LN82" s="111" t="n"/>
      <c r="LO82" s="111" t="n"/>
      <c r="LP82" s="111" t="n"/>
      <c r="LQ82" s="111" t="n"/>
      <c r="LR82" s="111" t="n"/>
      <c r="LS82" s="111" t="n"/>
      <c r="LT82" s="111" t="n"/>
      <c r="LU82" s="111" t="n"/>
      <c r="LV82" s="111" t="n"/>
      <c r="LW82" s="111" t="n"/>
      <c r="LX82" s="111" t="n"/>
      <c r="LY82" s="111" t="n"/>
      <c r="LZ82" s="111" t="n"/>
      <c r="MA82" s="111" t="n"/>
      <c r="MB82" s="111" t="n"/>
      <c r="MC82" s="111" t="n"/>
      <c r="MD82" s="111" t="n"/>
      <c r="ME82" s="111" t="n"/>
      <c r="MF82" s="111" t="n"/>
      <c r="MG82" s="111" t="n"/>
      <c r="MH82" s="111" t="n"/>
      <c r="MI82" s="111" t="n"/>
      <c r="MJ82" s="111" t="n"/>
      <c r="MK82" s="111" t="n"/>
      <c r="ML82" s="111" t="n"/>
      <c r="MM82" s="111" t="n"/>
      <c r="MN82" s="111" t="n"/>
      <c r="MO82" s="111" t="n"/>
      <c r="MP82" s="111" t="n"/>
      <c r="MQ82" s="111" t="n"/>
      <c r="MR82" s="111" t="n"/>
      <c r="MS82" s="111" t="n"/>
      <c r="MT82" s="111" t="n"/>
      <c r="MU82" s="111" t="n"/>
      <c r="MV82" s="111" t="n"/>
      <c r="MW82" s="111" t="n"/>
      <c r="MX82" s="111" t="n"/>
      <c r="MY82" s="111" t="n"/>
      <c r="MZ82" s="111" t="n"/>
      <c r="NA82" s="111" t="n"/>
      <c r="NB82" s="111" t="n"/>
      <c r="NC82" s="111" t="n"/>
      <c r="ND82" s="111" t="n"/>
      <c r="NE82" s="111" t="n"/>
      <c r="NF82" s="111" t="n"/>
      <c r="NG82" s="111" t="n"/>
      <c r="NH82" s="111" t="n"/>
      <c r="NI82" s="111" t="n"/>
      <c r="NJ82" s="111" t="n"/>
      <c r="NK82" s="111" t="n"/>
      <c r="NL82" s="111" t="n"/>
      <c r="NM82" s="111" t="n"/>
      <c r="NN82" s="111" t="n"/>
      <c r="NO82" s="111" t="n"/>
    </row>
    <row r="83" customFormat="1" s="17">
      <c r="A83" s="33">
        <f>IF(ISERROR(VALUE(SUBSTITUTE(OFFSET(A83,-1,0,1,1),".",""))),"0.1",IF(ISERROR(FIND("`",SUBSTITUTE(OFFSET(A83,-1,0,1,1),".","`",1))),OFFSET(A83,-1,0,1,1)&amp;".1",LEFT(OFFSET(A83,-1,0,1,1),FIND("`",SUBSTITUTE(OFFSET(A83,-1,0,1,1),".","`",1)))&amp;IF(ISERROR(FIND("`",SUBSTITUTE(OFFSET(A83,-1,0,1,1),".","`",2))),VALUE(RIGHT(OFFSET(A83,-1,0,1,1),LEN(OFFSET(A83,-1,0,1,1))-FIND("`",SUBSTITUTE(OFFSET(A83,-1,0,1,1),".","`",1))))+1,VALUE(MID(OFFSET(A83,-1,0,1,1),FIND("`",SUBSTITUTE(OFFSET(A83,-1,0,1,1),".","`",1))+1,(FIND("`",SUBSTITUTE(OFFSET(A83,-1,0,1,1),".","`",2))-FIND("`",SUBSTITUTE(OFFSET(A83,-1,0,1,1),".","`",1))-1)))+1)))</f>
        <v/>
      </c>
      <c r="B83" s="135" t="inlineStr">
        <is>
          <t>[ Start date and Calendar Days ]</t>
        </is>
      </c>
      <c r="C83" s="11" t="n"/>
      <c r="D83" s="37" t="n"/>
      <c r="E83" s="37" t="n"/>
      <c r="F83" s="37" t="n"/>
      <c r="G83" s="274" t="n"/>
      <c r="H83" s="275">
        <f>IF(K83=0,G83,G83+K83-1)</f>
        <v/>
      </c>
      <c r="I83" s="14">
        <f>IF(OR(G83=0,H83=0),0,NETWORKDAYS(G83,H83,holidays))</f>
        <v/>
      </c>
      <c r="J83" s="80" t="n"/>
      <c r="K83" s="79" t="n"/>
      <c r="L83" s="15">
        <f>WORKDAY(G83,ROUNDDOWN(J83*I83,0),holidays)-G83</f>
        <v/>
      </c>
      <c r="M83" s="14">
        <f>K83-L83</f>
        <v/>
      </c>
      <c r="N83" s="113" t="n"/>
      <c r="O83" s="17"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1" t="n"/>
      <c r="AY83" s="111" t="n"/>
      <c r="AZ83" s="111" t="n"/>
      <c r="BA83" s="111" t="n"/>
      <c r="BB83" s="111" t="n"/>
      <c r="BC83" s="111" t="n"/>
      <c r="BD83" s="111" t="n"/>
      <c r="BE83" s="111" t="n"/>
      <c r="BF83" s="111" t="n"/>
      <c r="BG83" s="111" t="n"/>
      <c r="BH83" s="111" t="n"/>
      <c r="BI83" s="111" t="n"/>
      <c r="BJ83" s="111" t="n"/>
      <c r="BK83" s="111" t="n"/>
      <c r="BL83" s="111" t="n"/>
      <c r="BM83" s="111" t="n"/>
      <c r="BN83" s="111" t="n"/>
      <c r="BO83" s="111" t="n"/>
      <c r="BP83" s="111" t="n"/>
      <c r="BQ83" s="111" t="n"/>
      <c r="BR83" s="111" t="n"/>
      <c r="BS83" s="111" t="n"/>
      <c r="BT83" s="111" t="n"/>
      <c r="BU83" s="111" t="n"/>
      <c r="BV83" s="111" t="n"/>
      <c r="BW83" s="111" t="n"/>
      <c r="BX83" s="111" t="n"/>
      <c r="BY83" s="111" t="n"/>
      <c r="BZ83" s="111" t="n"/>
      <c r="CA83" s="111" t="n"/>
      <c r="CB83" s="111" t="n"/>
      <c r="CC83" s="111" t="n"/>
      <c r="CD83" s="111" t="n"/>
      <c r="CE83" s="111" t="n"/>
      <c r="CF83" s="111"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1" t="n"/>
      <c r="DS83" s="111" t="n"/>
      <c r="DT83" s="111" t="n"/>
      <c r="DU83" s="111" t="n"/>
      <c r="DV83" s="111" t="n"/>
      <c r="DW83" s="111" t="n"/>
      <c r="DX83" s="111" t="n"/>
      <c r="DY83" s="111" t="n"/>
      <c r="DZ83" s="111" t="n"/>
      <c r="EA83" s="111" t="n"/>
      <c r="EB83" s="111" t="n"/>
      <c r="EC83" s="111" t="n"/>
      <c r="ED83" s="111" t="n"/>
      <c r="EE83" s="111" t="n"/>
      <c r="EF83" s="111" t="n"/>
      <c r="EG83" s="111" t="n"/>
      <c r="EH83" s="111" t="n"/>
      <c r="EI83" s="111" t="n"/>
      <c r="EJ83" s="111" t="n"/>
      <c r="EK83" s="111" t="n"/>
      <c r="EL83" s="111" t="n"/>
      <c r="EM83" s="111" t="n"/>
      <c r="EN83" s="111" t="n"/>
      <c r="EO83" s="111" t="n"/>
      <c r="EP83" s="111" t="n"/>
      <c r="EQ83" s="111" t="n"/>
      <c r="ER83" s="111" t="n"/>
      <c r="ES83" s="111" t="n"/>
      <c r="ET83" s="111" t="n"/>
      <c r="EU83" s="111" t="n"/>
      <c r="EV83" s="111" t="n"/>
      <c r="EW83" s="111" t="n"/>
      <c r="EX83" s="111" t="n"/>
      <c r="EY83" s="111" t="n"/>
      <c r="EZ83" s="111" t="n"/>
      <c r="FA83" s="111" t="n"/>
      <c r="FB83" s="111"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1" t="n"/>
      <c r="GH83" s="111" t="n"/>
      <c r="GI83" s="111" t="n"/>
      <c r="GJ83" s="111" t="n"/>
      <c r="GK83" s="111" t="n"/>
      <c r="GL83" s="111" t="n"/>
      <c r="GM83" s="111" t="n"/>
      <c r="GN83" s="111" t="n"/>
      <c r="GO83" s="111" t="n"/>
      <c r="GP83" s="111" t="n"/>
      <c r="GQ83" s="111" t="n"/>
      <c r="GR83" s="111" t="n"/>
      <c r="GS83" s="111" t="n"/>
      <c r="GT83" s="111" t="n"/>
      <c r="GU83" s="111" t="n"/>
      <c r="GV83" s="111" t="n"/>
      <c r="GW83" s="111" t="n"/>
      <c r="GX83" s="111" t="n"/>
      <c r="GY83" s="111" t="n"/>
      <c r="GZ83" s="111" t="n"/>
      <c r="HA83" s="111" t="n"/>
      <c r="HB83" s="111" t="n"/>
      <c r="HC83" s="111" t="n"/>
      <c r="HD83" s="111" t="n"/>
      <c r="HE83" s="111" t="n"/>
      <c r="HF83" s="111" t="n"/>
      <c r="HG83" s="111" t="n"/>
      <c r="HH83" s="111" t="n"/>
      <c r="HI83" s="111" t="n"/>
      <c r="HJ83" s="111" t="n"/>
      <c r="HK83" s="111" t="n"/>
      <c r="HL83" s="111" t="n"/>
      <c r="HM83" s="111" t="n"/>
      <c r="HN83" s="111" t="n"/>
      <c r="HO83" s="111" t="n"/>
      <c r="HP83" s="111" t="n"/>
      <c r="HQ83" s="111" t="n"/>
      <c r="HR83" s="111" t="n"/>
      <c r="HS83" s="111" t="n"/>
      <c r="HT83" s="111" t="n"/>
      <c r="HU83" s="111" t="n"/>
      <c r="HV83" s="111" t="n"/>
      <c r="HW83" s="111" t="n"/>
      <c r="HX83" s="111" t="n"/>
      <c r="HY83" s="111" t="n"/>
      <c r="HZ83" s="111" t="n"/>
      <c r="IA83" s="111" t="n"/>
      <c r="IB83" s="111" t="n"/>
      <c r="IC83" s="111" t="n"/>
      <c r="ID83" s="111" t="n"/>
      <c r="IE83" s="111" t="n"/>
      <c r="IF83" s="111" t="n"/>
      <c r="IG83" s="111" t="n"/>
      <c r="IH83" s="111" t="n"/>
      <c r="II83" s="111" t="n"/>
      <c r="IJ83" s="111" t="n"/>
      <c r="IK83" s="111" t="n"/>
      <c r="IL83" s="111" t="n"/>
      <c r="IM83" s="111" t="n"/>
      <c r="IN83" s="111" t="n"/>
      <c r="IO83" s="111" t="n"/>
      <c r="IP83" s="111" t="n"/>
      <c r="IQ83" s="111" t="n"/>
      <c r="IR83" s="111" t="n"/>
      <c r="IS83" s="111" t="n"/>
      <c r="IT83" s="111" t="n"/>
      <c r="IU83" s="111" t="n"/>
      <c r="IV83" s="111" t="n"/>
      <c r="IW83" s="111" t="n"/>
      <c r="IX83" s="111" t="n"/>
      <c r="IY83" s="111" t="n"/>
      <c r="IZ83" s="111" t="n"/>
      <c r="JA83" s="111" t="n"/>
      <c r="JB83" s="111" t="n"/>
      <c r="JC83" s="111" t="n"/>
      <c r="JD83" s="111" t="n"/>
      <c r="JE83" s="111" t="n"/>
      <c r="JF83" s="111" t="n"/>
      <c r="JG83" s="111" t="n"/>
      <c r="JH83" s="111" t="n"/>
      <c r="JI83" s="111" t="n"/>
      <c r="JJ83" s="111" t="n"/>
      <c r="JK83" s="111" t="n"/>
      <c r="JL83" s="111" t="n"/>
      <c r="JM83" s="111" t="n"/>
      <c r="JN83" s="111" t="n"/>
      <c r="JO83" s="111" t="n"/>
      <c r="JP83" s="111" t="n"/>
      <c r="JQ83" s="111" t="n"/>
      <c r="JR83" s="111" t="n"/>
      <c r="JS83" s="111" t="n"/>
      <c r="JT83" s="111" t="n"/>
      <c r="JU83" s="111" t="n"/>
      <c r="JV83" s="111" t="n"/>
      <c r="JW83" s="111" t="n"/>
      <c r="JX83" s="111" t="n"/>
      <c r="JY83" s="111" t="n"/>
      <c r="JZ83" s="111" t="n"/>
      <c r="KA83" s="111" t="n"/>
      <c r="KB83" s="111" t="n"/>
      <c r="KC83" s="111" t="n"/>
      <c r="KD83" s="111" t="n"/>
      <c r="KE83" s="111" t="n"/>
      <c r="KF83" s="111" t="n"/>
      <c r="KG83" s="111" t="n"/>
      <c r="KH83" s="111" t="n"/>
      <c r="KI83" s="111" t="n"/>
      <c r="KJ83" s="111" t="n"/>
      <c r="KK83" s="111" t="n"/>
      <c r="KL83" s="111" t="n"/>
      <c r="KM83" s="111" t="n"/>
      <c r="KN83" s="111" t="n"/>
      <c r="KO83" s="111" t="n"/>
      <c r="KP83" s="111" t="n"/>
      <c r="KQ83" s="111" t="n"/>
      <c r="KR83" s="111" t="n"/>
      <c r="KS83" s="111" t="n"/>
      <c r="KT83" s="111" t="n"/>
      <c r="KU83" s="111" t="n"/>
      <c r="KV83" s="111" t="n"/>
      <c r="KW83" s="111" t="n"/>
      <c r="KX83" s="111" t="n"/>
      <c r="KY83" s="111" t="n"/>
      <c r="KZ83" s="111" t="n"/>
      <c r="LA83" s="111" t="n"/>
      <c r="LB83" s="111" t="n"/>
      <c r="LC83" s="111" t="n"/>
      <c r="LD83" s="111" t="n"/>
      <c r="LE83" s="111" t="n"/>
      <c r="LF83" s="111" t="n"/>
      <c r="LG83" s="111" t="n"/>
      <c r="LH83" s="111" t="n"/>
      <c r="LI83" s="111" t="n"/>
      <c r="LJ83" s="111" t="n"/>
      <c r="LK83" s="111" t="n"/>
      <c r="LL83" s="111" t="n"/>
      <c r="LM83" s="111" t="n"/>
      <c r="LN83" s="111" t="n"/>
      <c r="LO83" s="111" t="n"/>
      <c r="LP83" s="111" t="n"/>
      <c r="LQ83" s="111" t="n"/>
      <c r="LR83" s="111" t="n"/>
      <c r="LS83" s="111" t="n"/>
      <c r="LT83" s="111" t="n"/>
      <c r="LU83" s="111" t="n"/>
      <c r="LV83" s="111" t="n"/>
      <c r="LW83" s="111" t="n"/>
      <c r="LX83" s="111" t="n"/>
      <c r="LY83" s="111" t="n"/>
      <c r="LZ83" s="111" t="n"/>
      <c r="MA83" s="111" t="n"/>
      <c r="MB83" s="111" t="n"/>
      <c r="MC83" s="111" t="n"/>
      <c r="MD83" s="111" t="n"/>
      <c r="ME83" s="111" t="n"/>
      <c r="MF83" s="111" t="n"/>
      <c r="MG83" s="111" t="n"/>
      <c r="MH83" s="111" t="n"/>
      <c r="MI83" s="111" t="n"/>
      <c r="MJ83" s="111" t="n"/>
      <c r="MK83" s="111" t="n"/>
      <c r="ML83" s="111" t="n"/>
      <c r="MM83" s="111" t="n"/>
      <c r="MN83" s="111" t="n"/>
      <c r="MO83" s="111" t="n"/>
      <c r="MP83" s="111" t="n"/>
      <c r="MQ83" s="111" t="n"/>
      <c r="MR83" s="111" t="n"/>
      <c r="MS83" s="111" t="n"/>
      <c r="MT83" s="111" t="n"/>
      <c r="MU83" s="111" t="n"/>
      <c r="MV83" s="111" t="n"/>
      <c r="MW83" s="111" t="n"/>
      <c r="MX83" s="111" t="n"/>
      <c r="MY83" s="111" t="n"/>
      <c r="MZ83" s="111" t="n"/>
      <c r="NA83" s="111" t="n"/>
      <c r="NB83" s="111" t="n"/>
      <c r="NC83" s="111" t="n"/>
      <c r="ND83" s="111" t="n"/>
      <c r="NE83" s="111" t="n"/>
      <c r="NF83" s="111" t="n"/>
      <c r="NG83" s="111" t="n"/>
      <c r="NH83" s="111" t="n"/>
      <c r="NI83" s="111" t="n"/>
      <c r="NJ83" s="111" t="n"/>
      <c r="NK83" s="111" t="n"/>
      <c r="NL83" s="111" t="n"/>
      <c r="NM83" s="111" t="n"/>
      <c r="NN83" s="111" t="n"/>
      <c r="NO83" s="111" t="n"/>
    </row>
    <row r="84" customFormat="1" s="17">
      <c r="A84" s="33">
        <f>IF(ISERROR(VALUE(SUBSTITUTE(OFFSET(A84,-1,0,1,1),".",""))),"0.1",IF(ISERROR(FIND("`",SUBSTITUTE(OFFSET(A84,-1,0,1,1),".","`",1))),OFFSET(A84,-1,0,1,1)&amp;".1",LEFT(OFFSET(A84,-1,0,1,1),FIND("`",SUBSTITUTE(OFFSET(A84,-1,0,1,1),".","`",1)))&amp;IF(ISERROR(FIND("`",SUBSTITUTE(OFFSET(A84,-1,0,1,1),".","`",2))),VALUE(RIGHT(OFFSET(A84,-1,0,1,1),LEN(OFFSET(A84,-1,0,1,1))-FIND("`",SUBSTITUTE(OFFSET(A84,-1,0,1,1),".","`",1))))+1,VALUE(MID(OFFSET(A84,-1,0,1,1),FIND("`",SUBSTITUTE(OFFSET(A84,-1,0,1,1),".","`",1))+1,(FIND("`",SUBSTITUTE(OFFSET(A84,-1,0,1,1),".","`",2))-FIND("`",SUBSTITUTE(OFFSET(A84,-1,0,1,1),".","`",1))-1)))+1)))</f>
        <v/>
      </c>
      <c r="B84" s="135" t="inlineStr">
        <is>
          <t>[ Predecessors and Calendar Days ]</t>
        </is>
      </c>
      <c r="C84" s="11" t="n"/>
      <c r="D84" s="81" t="n"/>
      <c r="E84" s="81" t="n"/>
      <c r="F84" s="81" t="n"/>
      <c r="G84" s="275">
        <f>MAX(IF(D84="",$G$6,1+INDEX(H:H,MATCH(D84,A:A,0))),IF(E84="",$G$6,1+INDEX(H:H,MATCH(E84,A:A,0))),IF(F84="",$G$6,1+INDEX(H:H,MATCH(F84,A:A,0))))</f>
        <v/>
      </c>
      <c r="H84" s="275">
        <f>IF(K84=0,G84,G84+K84-1)</f>
        <v/>
      </c>
      <c r="I84" s="14">
        <f>IF(OR(G84=0,H84=0),0,NETWORKDAYS(G84,H84,holidays))</f>
        <v/>
      </c>
      <c r="J84" s="80" t="n"/>
      <c r="K84" s="79" t="n"/>
      <c r="L84" s="15">
        <f>WORKDAY(G84,ROUNDDOWN(J84*I84,0),holidays)-G84</f>
        <v/>
      </c>
      <c r="M84" s="14">
        <f>K84-L84</f>
        <v/>
      </c>
      <c r="N84" s="113" t="n"/>
      <c r="O84" s="17" t="n"/>
      <c r="P84" s="111" t="n"/>
      <c r="Q84" s="111" t="n"/>
      <c r="R84" s="111" t="n"/>
      <c r="S84" s="111" t="n"/>
      <c r="T84" s="111" t="n"/>
      <c r="U84" s="111" t="n"/>
      <c r="V84" s="111" t="n"/>
      <c r="W84" s="111" t="n"/>
      <c r="X84" s="111" t="n"/>
      <c r="Y84" s="111" t="n"/>
      <c r="Z84" s="111" t="n"/>
      <c r="AA84" s="111" t="n"/>
      <c r="AB84" s="111" t="n"/>
      <c r="AC84" s="111" t="n"/>
      <c r="AD84" s="111" t="n"/>
      <c r="AE84" s="111" t="n"/>
      <c r="AF84" s="111" t="n"/>
      <c r="AG84" s="111" t="n"/>
      <c r="AH84" s="111" t="n"/>
      <c r="AI84" s="111" t="n"/>
      <c r="AJ84" s="111" t="n"/>
      <c r="AK84" s="111" t="n"/>
      <c r="AL84" s="111" t="n"/>
      <c r="AM84" s="111" t="n"/>
      <c r="AN84" s="111" t="n"/>
      <c r="AO84" s="111" t="n"/>
      <c r="AP84" s="111" t="n"/>
      <c r="AQ84" s="111" t="n"/>
      <c r="AR84" s="111" t="n"/>
      <c r="AS84" s="111" t="n"/>
      <c r="AT84" s="111" t="n"/>
      <c r="AU84" s="111" t="n"/>
      <c r="AV84" s="111" t="n"/>
      <c r="AW84" s="111" t="n"/>
      <c r="AX84" s="111" t="n"/>
      <c r="AY84" s="111" t="n"/>
      <c r="AZ84" s="111" t="n"/>
      <c r="BA84" s="111" t="n"/>
      <c r="BB84" s="111" t="n"/>
      <c r="BC84" s="111" t="n"/>
      <c r="BD84" s="111" t="n"/>
      <c r="BE84" s="111" t="n"/>
      <c r="BF84" s="111" t="n"/>
      <c r="BG84" s="111" t="n"/>
      <c r="BH84" s="111" t="n"/>
      <c r="BI84" s="111" t="n"/>
      <c r="BJ84" s="111" t="n"/>
      <c r="BK84" s="111" t="n"/>
      <c r="BL84" s="111" t="n"/>
      <c r="BM84" s="111" t="n"/>
      <c r="BN84" s="111" t="n"/>
      <c r="BO84" s="111" t="n"/>
      <c r="BP84" s="111" t="n"/>
      <c r="BQ84" s="111" t="n"/>
      <c r="BR84" s="111" t="n"/>
      <c r="BS84" s="111" t="n"/>
      <c r="BT84" s="111" t="n"/>
      <c r="BU84" s="111" t="n"/>
      <c r="BV84" s="111" t="n"/>
      <c r="BW84" s="111" t="n"/>
      <c r="BX84" s="111" t="n"/>
      <c r="BY84" s="111" t="n"/>
      <c r="BZ84" s="111" t="n"/>
      <c r="CA84" s="111" t="n"/>
      <c r="CB84" s="111" t="n"/>
      <c r="CC84" s="111" t="n"/>
      <c r="CD84" s="111" t="n"/>
      <c r="CE84" s="111" t="n"/>
      <c r="CF84" s="111" t="n"/>
      <c r="CG84" s="111" t="n"/>
      <c r="CH84" s="111" t="n"/>
      <c r="CI84" s="111" t="n"/>
      <c r="CJ84" s="111" t="n"/>
      <c r="CK84" s="111" t="n"/>
      <c r="CL84" s="111" t="n"/>
      <c r="CM84" s="111" t="n"/>
      <c r="CN84" s="111" t="n"/>
      <c r="CO84" s="111" t="n"/>
      <c r="CP84" s="111" t="n"/>
      <c r="CQ84" s="111" t="n"/>
      <c r="CR84" s="111" t="n"/>
      <c r="CS84" s="111" t="n"/>
      <c r="CT84" s="111" t="n"/>
      <c r="CU84" s="111" t="n"/>
      <c r="CV84" s="111" t="n"/>
      <c r="CW84" s="111" t="n"/>
      <c r="CX84" s="111" t="n"/>
      <c r="CY84" s="111" t="n"/>
      <c r="CZ84" s="111" t="n"/>
      <c r="DA84" s="111" t="n"/>
      <c r="DB84" s="111" t="n"/>
      <c r="DC84" s="111" t="n"/>
      <c r="DD84" s="111" t="n"/>
      <c r="DE84" s="111" t="n"/>
      <c r="DF84" s="111" t="n"/>
      <c r="DG84" s="111" t="n"/>
      <c r="DH84" s="111" t="n"/>
      <c r="DI84" s="111" t="n"/>
      <c r="DJ84" s="111" t="n"/>
      <c r="DK84" s="111" t="n"/>
      <c r="DL84" s="111" t="n"/>
      <c r="DM84" s="111" t="n"/>
      <c r="DN84" s="111" t="n"/>
      <c r="DO84" s="111" t="n"/>
      <c r="DP84" s="111" t="n"/>
      <c r="DQ84" s="111" t="n"/>
      <c r="DR84" s="111" t="n"/>
      <c r="DS84" s="111" t="n"/>
      <c r="DT84" s="111" t="n"/>
      <c r="DU84" s="111" t="n"/>
      <c r="DV84" s="111" t="n"/>
      <c r="DW84" s="111" t="n"/>
      <c r="DX84" s="111" t="n"/>
      <c r="DY84" s="111" t="n"/>
      <c r="DZ84" s="111" t="n"/>
      <c r="EA84" s="111" t="n"/>
      <c r="EB84" s="111" t="n"/>
      <c r="EC84" s="111" t="n"/>
      <c r="ED84" s="111" t="n"/>
      <c r="EE84" s="111" t="n"/>
      <c r="EF84" s="111" t="n"/>
      <c r="EG84" s="111" t="n"/>
      <c r="EH84" s="111" t="n"/>
      <c r="EI84" s="111" t="n"/>
      <c r="EJ84" s="111" t="n"/>
      <c r="EK84" s="111" t="n"/>
      <c r="EL84" s="111" t="n"/>
      <c r="EM84" s="111" t="n"/>
      <c r="EN84" s="111" t="n"/>
      <c r="EO84" s="111" t="n"/>
      <c r="EP84" s="111" t="n"/>
      <c r="EQ84" s="111" t="n"/>
      <c r="ER84" s="111" t="n"/>
      <c r="ES84" s="111" t="n"/>
      <c r="ET84" s="111" t="n"/>
      <c r="EU84" s="111" t="n"/>
      <c r="EV84" s="111" t="n"/>
      <c r="EW84" s="111" t="n"/>
      <c r="EX84" s="111" t="n"/>
      <c r="EY84" s="111" t="n"/>
      <c r="EZ84" s="111" t="n"/>
      <c r="FA84" s="111" t="n"/>
      <c r="FB84" s="111" t="n"/>
      <c r="FC84" s="111" t="n"/>
      <c r="FD84" s="111" t="n"/>
      <c r="FE84" s="111" t="n"/>
      <c r="FF84" s="111" t="n"/>
      <c r="FG84" s="111" t="n"/>
      <c r="FH84" s="111" t="n"/>
      <c r="FI84" s="111" t="n"/>
      <c r="FJ84" s="111" t="n"/>
      <c r="FK84" s="111" t="n"/>
      <c r="FL84" s="111" t="n"/>
      <c r="FM84" s="111" t="n"/>
      <c r="FN84" s="111" t="n"/>
      <c r="FO84" s="111" t="n"/>
      <c r="FP84" s="111" t="n"/>
      <c r="FQ84" s="111" t="n"/>
      <c r="FR84" s="111" t="n"/>
      <c r="FS84" s="111" t="n"/>
      <c r="FT84" s="111" t="n"/>
      <c r="FU84" s="111" t="n"/>
      <c r="FV84" s="111" t="n"/>
      <c r="FW84" s="111" t="n"/>
      <c r="FX84" s="111" t="n"/>
      <c r="FY84" s="111" t="n"/>
      <c r="FZ84" s="111" t="n"/>
      <c r="GA84" s="111" t="n"/>
      <c r="GB84" s="111" t="n"/>
      <c r="GC84" s="111" t="n"/>
      <c r="GD84" s="111" t="n"/>
      <c r="GE84" s="111" t="n"/>
      <c r="GF84" s="111" t="n"/>
      <c r="GG84" s="111" t="n"/>
      <c r="GH84" s="111" t="n"/>
      <c r="GI84" s="111" t="n"/>
      <c r="GJ84" s="111" t="n"/>
      <c r="GK84" s="111" t="n"/>
      <c r="GL84" s="111" t="n"/>
      <c r="GM84" s="111" t="n"/>
      <c r="GN84" s="111" t="n"/>
      <c r="GO84" s="111" t="n"/>
      <c r="GP84" s="111" t="n"/>
      <c r="GQ84" s="111" t="n"/>
      <c r="GR84" s="111" t="n"/>
      <c r="GS84" s="111" t="n"/>
      <c r="GT84" s="111" t="n"/>
      <c r="GU84" s="111" t="n"/>
      <c r="GV84" s="111" t="n"/>
      <c r="GW84" s="111" t="n"/>
      <c r="GX84" s="111" t="n"/>
      <c r="GY84" s="111" t="n"/>
      <c r="GZ84" s="111" t="n"/>
      <c r="HA84" s="111" t="n"/>
      <c r="HB84" s="111" t="n"/>
      <c r="HC84" s="111" t="n"/>
      <c r="HD84" s="111" t="n"/>
      <c r="HE84" s="111" t="n"/>
      <c r="HF84" s="111" t="n"/>
      <c r="HG84" s="111" t="n"/>
      <c r="HH84" s="111" t="n"/>
      <c r="HI84" s="111" t="n"/>
      <c r="HJ84" s="111" t="n"/>
      <c r="HK84" s="111" t="n"/>
      <c r="HL84" s="111" t="n"/>
      <c r="HM84" s="111" t="n"/>
      <c r="HN84" s="111" t="n"/>
      <c r="HO84" s="111" t="n"/>
      <c r="HP84" s="111" t="n"/>
      <c r="HQ84" s="111" t="n"/>
      <c r="HR84" s="111" t="n"/>
      <c r="HS84" s="111" t="n"/>
      <c r="HT84" s="111" t="n"/>
      <c r="HU84" s="111" t="n"/>
      <c r="HV84" s="111" t="n"/>
      <c r="HW84" s="111" t="n"/>
      <c r="HX84" s="111" t="n"/>
      <c r="HY84" s="111" t="n"/>
      <c r="HZ84" s="111" t="n"/>
      <c r="IA84" s="111" t="n"/>
      <c r="IB84" s="111" t="n"/>
      <c r="IC84" s="111" t="n"/>
      <c r="ID84" s="111" t="n"/>
      <c r="IE84" s="111" t="n"/>
      <c r="IF84" s="111" t="n"/>
      <c r="IG84" s="111" t="n"/>
      <c r="IH84" s="111" t="n"/>
      <c r="II84" s="111" t="n"/>
      <c r="IJ84" s="111" t="n"/>
      <c r="IK84" s="111" t="n"/>
      <c r="IL84" s="111" t="n"/>
      <c r="IM84" s="111" t="n"/>
      <c r="IN84" s="111" t="n"/>
      <c r="IO84" s="111" t="n"/>
      <c r="IP84" s="111" t="n"/>
      <c r="IQ84" s="111" t="n"/>
      <c r="IR84" s="111" t="n"/>
      <c r="IS84" s="111" t="n"/>
      <c r="IT84" s="111" t="n"/>
      <c r="IU84" s="111" t="n"/>
      <c r="IV84" s="111" t="n"/>
      <c r="IW84" s="111" t="n"/>
      <c r="IX84" s="111" t="n"/>
      <c r="IY84" s="111" t="n"/>
      <c r="IZ84" s="111" t="n"/>
      <c r="JA84" s="111" t="n"/>
      <c r="JB84" s="111" t="n"/>
      <c r="JC84" s="111" t="n"/>
      <c r="JD84" s="111" t="n"/>
      <c r="JE84" s="111" t="n"/>
      <c r="JF84" s="111" t="n"/>
      <c r="JG84" s="111" t="n"/>
      <c r="JH84" s="111" t="n"/>
      <c r="JI84" s="111" t="n"/>
      <c r="JJ84" s="111" t="n"/>
      <c r="JK84" s="111" t="n"/>
      <c r="JL84" s="111" t="n"/>
      <c r="JM84" s="111" t="n"/>
      <c r="JN84" s="111" t="n"/>
      <c r="JO84" s="111" t="n"/>
      <c r="JP84" s="111" t="n"/>
      <c r="JQ84" s="111" t="n"/>
      <c r="JR84" s="111" t="n"/>
      <c r="JS84" s="111" t="n"/>
      <c r="JT84" s="111" t="n"/>
      <c r="JU84" s="111" t="n"/>
      <c r="JV84" s="111" t="n"/>
      <c r="JW84" s="111" t="n"/>
      <c r="JX84" s="111" t="n"/>
      <c r="JY84" s="111" t="n"/>
      <c r="JZ84" s="111" t="n"/>
      <c r="KA84" s="111" t="n"/>
      <c r="KB84" s="111" t="n"/>
      <c r="KC84" s="111" t="n"/>
      <c r="KD84" s="111" t="n"/>
      <c r="KE84" s="111" t="n"/>
      <c r="KF84" s="111" t="n"/>
      <c r="KG84" s="111" t="n"/>
      <c r="KH84" s="111" t="n"/>
      <c r="KI84" s="111" t="n"/>
      <c r="KJ84" s="111" t="n"/>
      <c r="KK84" s="111" t="n"/>
      <c r="KL84" s="111" t="n"/>
      <c r="KM84" s="111" t="n"/>
      <c r="KN84" s="111" t="n"/>
      <c r="KO84" s="111" t="n"/>
      <c r="KP84" s="111" t="n"/>
      <c r="KQ84" s="111" t="n"/>
      <c r="KR84" s="111" t="n"/>
      <c r="KS84" s="111" t="n"/>
      <c r="KT84" s="111" t="n"/>
      <c r="KU84" s="111" t="n"/>
      <c r="KV84" s="111" t="n"/>
      <c r="KW84" s="111" t="n"/>
      <c r="KX84" s="111" t="n"/>
      <c r="KY84" s="111" t="n"/>
      <c r="KZ84" s="111" t="n"/>
      <c r="LA84" s="111" t="n"/>
      <c r="LB84" s="111" t="n"/>
      <c r="LC84" s="111" t="n"/>
      <c r="LD84" s="111" t="n"/>
      <c r="LE84" s="111" t="n"/>
      <c r="LF84" s="111" t="n"/>
      <c r="LG84" s="111" t="n"/>
      <c r="LH84" s="111" t="n"/>
      <c r="LI84" s="111" t="n"/>
      <c r="LJ84" s="111" t="n"/>
      <c r="LK84" s="111" t="n"/>
      <c r="LL84" s="111" t="n"/>
      <c r="LM84" s="111" t="n"/>
      <c r="LN84" s="111" t="n"/>
      <c r="LO84" s="111" t="n"/>
      <c r="LP84" s="111" t="n"/>
      <c r="LQ84" s="111" t="n"/>
      <c r="LR84" s="111" t="n"/>
      <c r="LS84" s="111" t="n"/>
      <c r="LT84" s="111" t="n"/>
      <c r="LU84" s="111" t="n"/>
      <c r="LV84" s="111" t="n"/>
      <c r="LW84" s="111" t="n"/>
      <c r="LX84" s="111" t="n"/>
      <c r="LY84" s="111" t="n"/>
      <c r="LZ84" s="111" t="n"/>
      <c r="MA84" s="111" t="n"/>
      <c r="MB84" s="111" t="n"/>
      <c r="MC84" s="111" t="n"/>
      <c r="MD84" s="111" t="n"/>
      <c r="ME84" s="111" t="n"/>
      <c r="MF84" s="111" t="n"/>
      <c r="MG84" s="111" t="n"/>
      <c r="MH84" s="111" t="n"/>
      <c r="MI84" s="111" t="n"/>
      <c r="MJ84" s="111" t="n"/>
      <c r="MK84" s="111" t="n"/>
      <c r="ML84" s="111" t="n"/>
      <c r="MM84" s="111" t="n"/>
      <c r="MN84" s="111" t="n"/>
      <c r="MO84" s="111" t="n"/>
      <c r="MP84" s="111" t="n"/>
      <c r="MQ84" s="111" t="n"/>
      <c r="MR84" s="111" t="n"/>
      <c r="MS84" s="111" t="n"/>
      <c r="MT84" s="111" t="n"/>
      <c r="MU84" s="111" t="n"/>
      <c r="MV84" s="111" t="n"/>
      <c r="MW84" s="111" t="n"/>
      <c r="MX84" s="111" t="n"/>
      <c r="MY84" s="111" t="n"/>
      <c r="MZ84" s="111" t="n"/>
      <c r="NA84" s="111" t="n"/>
      <c r="NB84" s="111" t="n"/>
      <c r="NC84" s="111" t="n"/>
      <c r="ND84" s="111" t="n"/>
      <c r="NE84" s="111" t="n"/>
      <c r="NF84" s="111" t="n"/>
      <c r="NG84" s="111" t="n"/>
      <c r="NH84" s="111" t="n"/>
      <c r="NI84" s="111" t="n"/>
      <c r="NJ84" s="111" t="n"/>
      <c r="NK84" s="111" t="n"/>
      <c r="NL84" s="111" t="n"/>
      <c r="NM84" s="111" t="n"/>
      <c r="NN84" s="111" t="n"/>
      <c r="NO84" s="111" t="n"/>
    </row>
    <row r="85" customFormat="1" s="17">
      <c r="A85" s="33">
        <f>IF(ISERROR(VALUE(SUBSTITUTE(OFFSET(A85,-1,0,1,1),".",""))),"0.1",IF(ISERROR(FIND("`",SUBSTITUTE(OFFSET(A85,-1,0,1,1),".","`",1))),OFFSET(A85,-1,0,1,1)&amp;".1",LEFT(OFFSET(A85,-1,0,1,1),FIND("`",SUBSTITUTE(OFFSET(A85,-1,0,1,1),".","`",1)))&amp;IF(ISERROR(FIND("`",SUBSTITUTE(OFFSET(A85,-1,0,1,1),".","`",2))),VALUE(RIGHT(OFFSET(A85,-1,0,1,1),LEN(OFFSET(A85,-1,0,1,1))-FIND("`",SUBSTITUTE(OFFSET(A85,-1,0,1,1),".","`",1))))+1,VALUE(MID(OFFSET(A85,-1,0,1,1),FIND("`",SUBSTITUTE(OFFSET(A85,-1,0,1,1),".","`",1))+1,(FIND("`",SUBSTITUTE(OFFSET(A85,-1,0,1,1),".","`",2))-FIND("`",SUBSTITUTE(OFFSET(A85,-1,0,1,1),".","`",1))-1)))+1)))</f>
        <v/>
      </c>
      <c r="B85" s="135" t="inlineStr">
        <is>
          <t>[ Predecessors and End date ]</t>
        </is>
      </c>
      <c r="C85" s="11" t="n"/>
      <c r="D85" s="81" t="n"/>
      <c r="E85" s="81" t="n"/>
      <c r="F85" s="81" t="n"/>
      <c r="G85" s="275">
        <f>MAX(IF(D85="",$G$6,1+INDEX(H:H,MATCH(D85,A:A,0))),IF(E85="",$G$6,1+INDEX(H:H,MATCH(E85,A:A,0))),IF(F85="",$G$6,1+INDEX(H:H,MATCH(F85,A:A,0))))</f>
        <v/>
      </c>
      <c r="H85" s="274" t="n"/>
      <c r="I85" s="14">
        <f>IF(OR(G85=0,H85=0),0,NETWORKDAYS(G85,H85,holidays))</f>
        <v/>
      </c>
      <c r="J85" s="80" t="n"/>
      <c r="K85" s="15">
        <f>IF(OR(G85=0,H85=0),0,H85-G85+1)</f>
        <v/>
      </c>
      <c r="L85" s="15">
        <f>WORKDAY(G85,ROUNDDOWN(J85*I85,0),holidays)-G85</f>
        <v/>
      </c>
      <c r="M85" s="14">
        <f>K85-L85</f>
        <v/>
      </c>
      <c r="N85" s="113" t="n"/>
      <c r="P85" s="111" t="n"/>
      <c r="Q85" s="111" t="n"/>
      <c r="R85" s="111" t="n"/>
      <c r="S85" s="111" t="n"/>
      <c r="T85" s="111" t="n"/>
      <c r="U85" s="111" t="n"/>
      <c r="V85" s="111" t="n"/>
      <c r="W85" s="111" t="n"/>
      <c r="X85" s="111" t="n"/>
      <c r="Y85" s="111" t="n"/>
      <c r="Z85" s="111" t="n"/>
      <c r="AA85" s="111" t="n"/>
      <c r="AB85" s="111" t="n"/>
      <c r="AC85" s="111" t="n"/>
      <c r="AD85" s="111" t="n"/>
      <c r="AE85" s="111" t="n"/>
      <c r="AF85" s="111" t="n"/>
      <c r="AG85" s="111" t="n"/>
      <c r="AH85" s="111" t="n"/>
      <c r="AI85" s="111" t="n"/>
      <c r="AJ85" s="111" t="n"/>
      <c r="AK85" s="111" t="n"/>
      <c r="AL85" s="111" t="n"/>
      <c r="AM85" s="111" t="n"/>
      <c r="AN85" s="111" t="n"/>
      <c r="AO85" s="111" t="n"/>
      <c r="AP85" s="111" t="n"/>
      <c r="AQ85" s="111" t="n"/>
      <c r="AR85" s="111" t="n"/>
      <c r="AS85" s="111" t="n"/>
      <c r="AT85" s="111" t="n"/>
      <c r="AU85" s="111" t="n"/>
      <c r="AV85" s="111" t="n"/>
      <c r="AW85" s="111" t="n"/>
      <c r="AX85" s="111" t="n"/>
      <c r="AY85" s="111" t="n"/>
      <c r="AZ85" s="111" t="n"/>
      <c r="BA85" s="111" t="n"/>
      <c r="BB85" s="111" t="n"/>
      <c r="BC85" s="111" t="n"/>
      <c r="BD85" s="111" t="n"/>
      <c r="BE85" s="111" t="n"/>
      <c r="BF85" s="111" t="n"/>
      <c r="BG85" s="111" t="n"/>
      <c r="BH85" s="111" t="n"/>
      <c r="BI85" s="111" t="n"/>
      <c r="BJ85" s="111" t="n"/>
      <c r="BK85" s="111" t="n"/>
      <c r="BL85" s="111" t="n"/>
      <c r="BM85" s="111" t="n"/>
      <c r="BN85" s="111" t="n"/>
      <c r="BO85" s="111" t="n"/>
      <c r="BP85" s="111" t="n"/>
      <c r="BQ85" s="111" t="n"/>
      <c r="BR85" s="111" t="n"/>
      <c r="BS85" s="111" t="n"/>
      <c r="BT85" s="111" t="n"/>
      <c r="BU85" s="111" t="n"/>
      <c r="BV85" s="111" t="n"/>
      <c r="BW85" s="111" t="n"/>
      <c r="BX85" s="111" t="n"/>
      <c r="BY85" s="111" t="n"/>
      <c r="BZ85" s="111" t="n"/>
      <c r="CA85" s="111" t="n"/>
      <c r="CB85" s="111" t="n"/>
      <c r="CC85" s="111" t="n"/>
      <c r="CD85" s="111" t="n"/>
      <c r="CE85" s="111" t="n"/>
      <c r="CF85" s="111" t="n"/>
      <c r="CG85" s="111" t="n"/>
      <c r="CH85" s="111" t="n"/>
      <c r="CI85" s="111" t="n"/>
      <c r="CJ85" s="111" t="n"/>
      <c r="CK85" s="111" t="n"/>
      <c r="CL85" s="111" t="n"/>
      <c r="CM85" s="111" t="n"/>
      <c r="CN85" s="111" t="n"/>
      <c r="CO85" s="111" t="n"/>
      <c r="CP85" s="111" t="n"/>
      <c r="CQ85" s="111" t="n"/>
      <c r="CR85" s="111" t="n"/>
      <c r="CS85" s="111" t="n"/>
      <c r="CT85" s="111" t="n"/>
      <c r="CU85" s="111" t="n"/>
      <c r="CV85" s="111" t="n"/>
      <c r="CW85" s="111" t="n"/>
      <c r="CX85" s="111" t="n"/>
      <c r="CY85" s="111" t="n"/>
      <c r="CZ85" s="111" t="n"/>
      <c r="DA85" s="111" t="n"/>
      <c r="DB85" s="111" t="n"/>
      <c r="DC85" s="111" t="n"/>
      <c r="DD85" s="111" t="n"/>
      <c r="DE85" s="111" t="n"/>
      <c r="DF85" s="111" t="n"/>
      <c r="DG85" s="111" t="n"/>
      <c r="DH85" s="111" t="n"/>
      <c r="DI85" s="111" t="n"/>
      <c r="DJ85" s="111" t="n"/>
      <c r="DK85" s="111" t="n"/>
      <c r="DL85" s="111" t="n"/>
      <c r="DM85" s="111" t="n"/>
      <c r="DN85" s="111" t="n"/>
      <c r="DO85" s="111" t="n"/>
      <c r="DP85" s="111" t="n"/>
      <c r="DQ85" s="111" t="n"/>
      <c r="DR85" s="111" t="n"/>
      <c r="DS85" s="111" t="n"/>
      <c r="DT85" s="111" t="n"/>
      <c r="DU85" s="111" t="n"/>
      <c r="DV85" s="111" t="n"/>
      <c r="DW85" s="111" t="n"/>
      <c r="DX85" s="111" t="n"/>
      <c r="DY85" s="111" t="n"/>
      <c r="DZ85" s="111" t="n"/>
      <c r="EA85" s="111" t="n"/>
      <c r="EB85" s="111" t="n"/>
      <c r="EC85" s="111" t="n"/>
      <c r="ED85" s="111" t="n"/>
      <c r="EE85" s="111" t="n"/>
      <c r="EF85" s="111" t="n"/>
      <c r="EG85" s="111" t="n"/>
      <c r="EH85" s="111" t="n"/>
      <c r="EI85" s="111" t="n"/>
      <c r="EJ85" s="111" t="n"/>
      <c r="EK85" s="111" t="n"/>
      <c r="EL85" s="111" t="n"/>
      <c r="EM85" s="111" t="n"/>
      <c r="EN85" s="111" t="n"/>
      <c r="EO85" s="111" t="n"/>
      <c r="EP85" s="111" t="n"/>
      <c r="EQ85" s="111" t="n"/>
      <c r="ER85" s="111" t="n"/>
      <c r="ES85" s="111" t="n"/>
      <c r="ET85" s="111" t="n"/>
      <c r="EU85" s="111" t="n"/>
      <c r="EV85" s="111" t="n"/>
      <c r="EW85" s="111" t="n"/>
      <c r="EX85" s="111" t="n"/>
      <c r="EY85" s="111" t="n"/>
      <c r="EZ85" s="111" t="n"/>
      <c r="FA85" s="111" t="n"/>
      <c r="FB85" s="111" t="n"/>
      <c r="FC85" s="111" t="n"/>
      <c r="FD85" s="111" t="n"/>
      <c r="FE85" s="111" t="n"/>
      <c r="FF85" s="111" t="n"/>
      <c r="FG85" s="111" t="n"/>
      <c r="FH85" s="111" t="n"/>
      <c r="FI85" s="111" t="n"/>
      <c r="FJ85" s="111" t="n"/>
      <c r="FK85" s="111" t="n"/>
      <c r="FL85" s="111" t="n"/>
      <c r="FM85" s="111" t="n"/>
      <c r="FN85" s="111" t="n"/>
      <c r="FO85" s="111" t="n"/>
      <c r="FP85" s="111" t="n"/>
      <c r="FQ85" s="111" t="n"/>
      <c r="FR85" s="111" t="n"/>
      <c r="FS85" s="111" t="n"/>
      <c r="FT85" s="111" t="n"/>
      <c r="FU85" s="111" t="n"/>
      <c r="FV85" s="111" t="n"/>
      <c r="FW85" s="111" t="n"/>
      <c r="FX85" s="111" t="n"/>
      <c r="FY85" s="111" t="n"/>
      <c r="FZ85" s="111" t="n"/>
      <c r="GA85" s="111" t="n"/>
      <c r="GB85" s="111" t="n"/>
      <c r="GC85" s="111" t="n"/>
      <c r="GD85" s="111" t="n"/>
      <c r="GE85" s="111" t="n"/>
      <c r="GF85" s="111" t="n"/>
      <c r="GG85" s="111" t="n"/>
      <c r="GH85" s="111" t="n"/>
      <c r="GI85" s="111" t="n"/>
      <c r="GJ85" s="111" t="n"/>
      <c r="GK85" s="111" t="n"/>
      <c r="GL85" s="111" t="n"/>
      <c r="GM85" s="111" t="n"/>
      <c r="GN85" s="111" t="n"/>
      <c r="GO85" s="111" t="n"/>
      <c r="GP85" s="111" t="n"/>
      <c r="GQ85" s="111" t="n"/>
      <c r="GR85" s="111" t="n"/>
      <c r="GS85" s="111" t="n"/>
      <c r="GT85" s="111" t="n"/>
      <c r="GU85" s="111" t="n"/>
      <c r="GV85" s="111" t="n"/>
      <c r="GW85" s="111" t="n"/>
      <c r="GX85" s="111" t="n"/>
      <c r="GY85" s="111" t="n"/>
      <c r="GZ85" s="111" t="n"/>
      <c r="HA85" s="111" t="n"/>
      <c r="HB85" s="111" t="n"/>
      <c r="HC85" s="111" t="n"/>
      <c r="HD85" s="111" t="n"/>
      <c r="HE85" s="111" t="n"/>
      <c r="HF85" s="111" t="n"/>
      <c r="HG85" s="111" t="n"/>
      <c r="HH85" s="111" t="n"/>
      <c r="HI85" s="111" t="n"/>
      <c r="HJ85" s="111" t="n"/>
      <c r="HK85" s="111" t="n"/>
      <c r="HL85" s="111" t="n"/>
      <c r="HM85" s="111" t="n"/>
      <c r="HN85" s="111" t="n"/>
      <c r="HO85" s="111" t="n"/>
      <c r="HP85" s="111" t="n"/>
      <c r="HQ85" s="111" t="n"/>
      <c r="HR85" s="111" t="n"/>
      <c r="HS85" s="111" t="n"/>
      <c r="HT85" s="111" t="n"/>
      <c r="HU85" s="111" t="n"/>
      <c r="HV85" s="111" t="n"/>
      <c r="HW85" s="111" t="n"/>
      <c r="HX85" s="111" t="n"/>
      <c r="HY85" s="111" t="n"/>
      <c r="HZ85" s="111" t="n"/>
      <c r="IA85" s="111" t="n"/>
      <c r="IB85" s="111" t="n"/>
      <c r="IC85" s="111" t="n"/>
      <c r="ID85" s="111" t="n"/>
      <c r="IE85" s="111" t="n"/>
      <c r="IF85" s="111" t="n"/>
      <c r="IG85" s="111" t="n"/>
      <c r="IH85" s="111" t="n"/>
      <c r="II85" s="111" t="n"/>
      <c r="IJ85" s="111" t="n"/>
      <c r="IK85" s="111" t="n"/>
      <c r="IL85" s="111" t="n"/>
      <c r="IM85" s="111" t="n"/>
      <c r="IN85" s="111" t="n"/>
      <c r="IO85" s="111" t="n"/>
      <c r="IP85" s="111" t="n"/>
      <c r="IQ85" s="111" t="n"/>
      <c r="IR85" s="111" t="n"/>
      <c r="IS85" s="111" t="n"/>
      <c r="IT85" s="111" t="n"/>
      <c r="IU85" s="111" t="n"/>
      <c r="IV85" s="111" t="n"/>
      <c r="IW85" s="111" t="n"/>
      <c r="IX85" s="111" t="n"/>
      <c r="IY85" s="111" t="n"/>
      <c r="IZ85" s="111" t="n"/>
      <c r="JA85" s="111" t="n"/>
      <c r="JB85" s="111" t="n"/>
      <c r="JC85" s="111" t="n"/>
      <c r="JD85" s="111" t="n"/>
      <c r="JE85" s="111" t="n"/>
      <c r="JF85" s="111" t="n"/>
      <c r="JG85" s="111" t="n"/>
      <c r="JH85" s="111" t="n"/>
      <c r="JI85" s="111" t="n"/>
      <c r="JJ85" s="111" t="n"/>
      <c r="JK85" s="111" t="n"/>
      <c r="JL85" s="111" t="n"/>
      <c r="JM85" s="111" t="n"/>
      <c r="JN85" s="111" t="n"/>
      <c r="JO85" s="111" t="n"/>
      <c r="JP85" s="111" t="n"/>
      <c r="JQ85" s="111" t="n"/>
      <c r="JR85" s="111" t="n"/>
      <c r="JS85" s="111" t="n"/>
      <c r="JT85" s="111" t="n"/>
      <c r="JU85" s="111" t="n"/>
      <c r="JV85" s="111" t="n"/>
      <c r="JW85" s="111" t="n"/>
      <c r="JX85" s="111" t="n"/>
      <c r="JY85" s="111" t="n"/>
      <c r="JZ85" s="111" t="n"/>
      <c r="KA85" s="111" t="n"/>
      <c r="KB85" s="111" t="n"/>
      <c r="KC85" s="111" t="n"/>
      <c r="KD85" s="111" t="n"/>
      <c r="KE85" s="111" t="n"/>
      <c r="KF85" s="111" t="n"/>
      <c r="KG85" s="111" t="n"/>
      <c r="KH85" s="111" t="n"/>
      <c r="KI85" s="111" t="n"/>
      <c r="KJ85" s="111" t="n"/>
      <c r="KK85" s="111" t="n"/>
      <c r="KL85" s="111" t="n"/>
      <c r="KM85" s="111" t="n"/>
      <c r="KN85" s="111" t="n"/>
      <c r="KO85" s="111" t="n"/>
      <c r="KP85" s="111" t="n"/>
      <c r="KQ85" s="111" t="n"/>
      <c r="KR85" s="111" t="n"/>
      <c r="KS85" s="111" t="n"/>
      <c r="KT85" s="111" t="n"/>
      <c r="KU85" s="111" t="n"/>
      <c r="KV85" s="111" t="n"/>
      <c r="KW85" s="111" t="n"/>
      <c r="KX85" s="111" t="n"/>
      <c r="KY85" s="111" t="n"/>
      <c r="KZ85" s="111" t="n"/>
      <c r="LA85" s="111" t="n"/>
      <c r="LB85" s="111" t="n"/>
      <c r="LC85" s="111" t="n"/>
      <c r="LD85" s="111" t="n"/>
      <c r="LE85" s="111" t="n"/>
      <c r="LF85" s="111" t="n"/>
      <c r="LG85" s="111" t="n"/>
      <c r="LH85" s="111" t="n"/>
      <c r="LI85" s="111" t="n"/>
      <c r="LJ85" s="111" t="n"/>
      <c r="LK85" s="111" t="n"/>
      <c r="LL85" s="111" t="n"/>
      <c r="LM85" s="111" t="n"/>
      <c r="LN85" s="111" t="n"/>
      <c r="LO85" s="111" t="n"/>
      <c r="LP85" s="111" t="n"/>
      <c r="LQ85" s="111" t="n"/>
      <c r="LR85" s="111" t="n"/>
      <c r="LS85" s="111" t="n"/>
      <c r="LT85" s="111" t="n"/>
      <c r="LU85" s="111" t="n"/>
      <c r="LV85" s="111" t="n"/>
      <c r="LW85" s="111" t="n"/>
      <c r="LX85" s="111" t="n"/>
      <c r="LY85" s="111" t="n"/>
      <c r="LZ85" s="111" t="n"/>
      <c r="MA85" s="111" t="n"/>
      <c r="MB85" s="111" t="n"/>
      <c r="MC85" s="111" t="n"/>
      <c r="MD85" s="111" t="n"/>
      <c r="ME85" s="111" t="n"/>
      <c r="MF85" s="111" t="n"/>
      <c r="MG85" s="111" t="n"/>
      <c r="MH85" s="111" t="n"/>
      <c r="MI85" s="111" t="n"/>
      <c r="MJ85" s="111" t="n"/>
      <c r="MK85" s="111" t="n"/>
      <c r="ML85" s="111" t="n"/>
      <c r="MM85" s="111" t="n"/>
      <c r="MN85" s="111" t="n"/>
      <c r="MO85" s="111" t="n"/>
      <c r="MP85" s="111" t="n"/>
      <c r="MQ85" s="111" t="n"/>
      <c r="MR85" s="111" t="n"/>
      <c r="MS85" s="111" t="n"/>
      <c r="MT85" s="111" t="n"/>
      <c r="MU85" s="111" t="n"/>
      <c r="MV85" s="111" t="n"/>
      <c r="MW85" s="111" t="n"/>
      <c r="MX85" s="111" t="n"/>
      <c r="MY85" s="111" t="n"/>
      <c r="MZ85" s="111" t="n"/>
      <c r="NA85" s="111" t="n"/>
      <c r="NB85" s="111" t="n"/>
      <c r="NC85" s="111" t="n"/>
      <c r="ND85" s="111" t="n"/>
      <c r="NE85" s="111" t="n"/>
      <c r="NF85" s="111" t="n"/>
      <c r="NG85" s="111" t="n"/>
      <c r="NH85" s="111" t="n"/>
      <c r="NI85" s="111" t="n"/>
      <c r="NJ85" s="111" t="n"/>
      <c r="NK85" s="111" t="n"/>
      <c r="NL85" s="111" t="n"/>
      <c r="NM85" s="111" t="n"/>
      <c r="NN85" s="111" t="n"/>
      <c r="NO85" s="111" t="n"/>
    </row>
    <row r="87">
      <c r="K87" s="239" t="inlineStr">
        <is>
          <t>Formula to copy/paste for color-coding based on urgency (see help):</t>
        </is>
      </c>
      <c r="N87" s="105">
        <f>IF(H87&lt;$G$7 +  INDEX(urgency_days,1),"r",IF(H87&lt;$G$7 +  INDEX(urgency_days,2),"o",IF(H87&lt;$G$7 +  INDEX(urgency_days,3),"y","")))</f>
        <v/>
      </c>
    </row>
    <row r="88">
      <c r="K88" s="239" t="inlineStr">
        <is>
          <t>Formula to copy/paste for color-coding based on task lead (see help):</t>
        </is>
      </c>
      <c r="N88" s="105">
        <f>IFERROR( INDEX( lead_color, MATCH(C88, lead, 0) ), "")</f>
        <v/>
      </c>
    </row>
    <row r="89">
      <c r="K89" s="239" t="inlineStr">
        <is>
          <t>Combined (urgency first, task lead second):</t>
        </is>
      </c>
      <c r="N89" s="105">
        <f>IF(H89&lt;$G$7 +  INDEX(urgency_days,1),"r",IF(H89&lt;$G$7 +  INDEX(urgency_days,2),"o",IF(H89&lt;$G$7 +  INDEX(urgency_days,3),"y", IFERROR( INDEX( lead_color, MATCH(C89, lead, 0) ), "") )))</f>
        <v/>
      </c>
    </row>
  </sheetData>
  <mergeCells count="174">
    <mergeCell ref="EZ9:FF9"/>
    <mergeCell ref="B7:F7"/>
    <mergeCell ref="AY10:BE10"/>
    <mergeCell ref="JA9:JG9"/>
    <mergeCell ref="FG8:FM8"/>
    <mergeCell ref="IF8:IL8"/>
    <mergeCell ref="DQ8:DW8"/>
    <mergeCell ref="CA8:CG8"/>
    <mergeCell ref="GW10:HC10"/>
    <mergeCell ref="HR8:HX8"/>
    <mergeCell ref="FG10:FM10"/>
    <mergeCell ref="FU8:GA8"/>
    <mergeCell ref="EE8:EK8"/>
    <mergeCell ref="HK10:HQ10"/>
    <mergeCell ref="DQ10:DW10"/>
    <mergeCell ref="GI8:GO8"/>
    <mergeCell ref="LS9:LY9"/>
    <mergeCell ref="HR10:HX10"/>
    <mergeCell ref="DC9:DI9"/>
    <mergeCell ref="FU10:GA10"/>
    <mergeCell ref="AD8:AJ8"/>
    <mergeCell ref="JV10:KB10"/>
    <mergeCell ref="IF10:IL10"/>
    <mergeCell ref="DQ9:DW9"/>
    <mergeCell ref="P10:V10"/>
    <mergeCell ref="HR9:HX9"/>
    <mergeCell ref="JV9:KB9"/>
    <mergeCell ref="AK9:AQ9"/>
    <mergeCell ref="P9:V9"/>
    <mergeCell ref="GB9:GH9"/>
    <mergeCell ref="B8:B10"/>
    <mergeCell ref="CO9:CU9"/>
    <mergeCell ref="NB8:NH8"/>
    <mergeCell ref="CV8:DB8"/>
    <mergeCell ref="JO8:JU8"/>
    <mergeCell ref="EZ8:FF8"/>
    <mergeCell ref="B6:F6"/>
    <mergeCell ref="EL10:ER10"/>
    <mergeCell ref="CV10:DB10"/>
    <mergeCell ref="MN9:MT9"/>
    <mergeCell ref="IM10:IS10"/>
    <mergeCell ref="BT8:BZ8"/>
    <mergeCell ref="EZ10:FF10"/>
    <mergeCell ref="EL9:ER9"/>
    <mergeCell ref="DX8:ED8"/>
    <mergeCell ref="AK10:AQ10"/>
    <mergeCell ref="BF9:BL9"/>
    <mergeCell ref="W8:AC8"/>
    <mergeCell ref="DX10:ED10"/>
    <mergeCell ref="MU8:NA8"/>
    <mergeCell ref="LE8:LK8"/>
    <mergeCell ref="DJ9:DP9"/>
    <mergeCell ref="HK9:HQ9"/>
    <mergeCell ref="MU10:NA10"/>
    <mergeCell ref="G7:H7"/>
    <mergeCell ref="IT8:IZ8"/>
    <mergeCell ref="HD8:HJ8"/>
    <mergeCell ref="NI10:NO10"/>
    <mergeCell ref="CO8:CU8"/>
    <mergeCell ref="G8:G10"/>
    <mergeCell ref="CA10:CG10"/>
    <mergeCell ref="ES8:EY8"/>
    <mergeCell ref="EE10:EK10"/>
    <mergeCell ref="GP9:GV9"/>
    <mergeCell ref="JO9:JU9"/>
    <mergeCell ref="CO10:CU10"/>
    <mergeCell ref="CA9:CG9"/>
    <mergeCell ref="BM8:BS8"/>
    <mergeCell ref="AR8:AX8"/>
    <mergeCell ref="ES10:EY10"/>
    <mergeCell ref="LZ8:MF8"/>
    <mergeCell ref="EE9:EK9"/>
    <mergeCell ref="AD10:AJ10"/>
    <mergeCell ref="BM10:BS10"/>
    <mergeCell ref="HK8:HQ8"/>
    <mergeCell ref="AR10:AX10"/>
    <mergeCell ref="AY9:BE9"/>
    <mergeCell ref="LZ10:MF10"/>
    <mergeCell ref="B5:F5"/>
    <mergeCell ref="N8:N10"/>
    <mergeCell ref="BF8:BL8"/>
    <mergeCell ref="KX8:LD8"/>
    <mergeCell ref="HY8:IE8"/>
    <mergeCell ref="MG9:MM9"/>
    <mergeCell ref="BM9:BS9"/>
    <mergeCell ref="DJ8:DP8"/>
    <mergeCell ref="A8:A10"/>
    <mergeCell ref="KJ9:KP9"/>
    <mergeCell ref="DJ10:DP10"/>
    <mergeCell ref="NB10:NH10"/>
    <mergeCell ref="CH8:CN8"/>
    <mergeCell ref="FN10:FT10"/>
    <mergeCell ref="FU9:GA9"/>
    <mergeCell ref="BT10:BZ10"/>
    <mergeCell ref="CH10:CN10"/>
    <mergeCell ref="BT9:BZ9"/>
    <mergeCell ref="AD9:AJ9"/>
    <mergeCell ref="NB9:NH9"/>
    <mergeCell ref="LS8:LY8"/>
    <mergeCell ref="W10:AC10"/>
    <mergeCell ref="CH9:CN9"/>
    <mergeCell ref="LE10:LK10"/>
    <mergeCell ref="H8:H10"/>
    <mergeCell ref="JO10:JU10"/>
    <mergeCell ref="MG8:MM8"/>
    <mergeCell ref="J8:J10"/>
    <mergeCell ref="IM8:IS8"/>
    <mergeCell ref="LS10:LY10"/>
    <mergeCell ref="AY8:BE8"/>
    <mergeCell ref="LE9:LK9"/>
    <mergeCell ref="DC8:DI8"/>
    <mergeCell ref="P8:V8"/>
    <mergeCell ref="HY9:IE9"/>
    <mergeCell ref="KQ10:KW10"/>
    <mergeCell ref="KC9:KI9"/>
    <mergeCell ref="DC10:DI10"/>
    <mergeCell ref="KJ8:KP8"/>
    <mergeCell ref="I8:I10"/>
    <mergeCell ref="KQ9:KW9"/>
    <mergeCell ref="NI8:NO8"/>
    <mergeCell ref="K8:K10"/>
    <mergeCell ref="MN8:MT8"/>
    <mergeCell ref="C8:C10"/>
    <mergeCell ref="GI10:GO10"/>
    <mergeCell ref="KJ10:KP10"/>
    <mergeCell ref="JH8:JN8"/>
    <mergeCell ref="MN10:MT10"/>
    <mergeCell ref="W9:AC9"/>
    <mergeCell ref="MU9:NA9"/>
    <mergeCell ref="IT10:IZ10"/>
    <mergeCell ref="LL8:LR8"/>
    <mergeCell ref="JV8:KB8"/>
    <mergeCell ref="KX10:LD10"/>
    <mergeCell ref="NI9:NO9"/>
    <mergeCell ref="JH10:JN10"/>
    <mergeCell ref="ES9:EY9"/>
    <mergeCell ref="AK8:AQ8"/>
    <mergeCell ref="IT9:IZ9"/>
    <mergeCell ref="M8:M10"/>
    <mergeCell ref="HD9:HJ9"/>
    <mergeCell ref="LL10:LR10"/>
    <mergeCell ref="FG9:FM9"/>
    <mergeCell ref="BF10:BL10"/>
    <mergeCell ref="KX9:LD9"/>
    <mergeCell ref="JH9:JN9"/>
    <mergeCell ref="LL9:LR9"/>
    <mergeCell ref="G6:H6"/>
    <mergeCell ref="HD10:HJ10"/>
    <mergeCell ref="D8:F10"/>
    <mergeCell ref="GB8:GH8"/>
    <mergeCell ref="IF9:IL9"/>
    <mergeCell ref="EL8:ER8"/>
    <mergeCell ref="KC8:KI8"/>
    <mergeCell ref="AR9:AX9"/>
    <mergeCell ref="G5:H5"/>
    <mergeCell ref="GP8:GV8"/>
    <mergeCell ref="LZ9:MF9"/>
    <mergeCell ref="HY10:IE10"/>
    <mergeCell ref="KQ8:KW8"/>
    <mergeCell ref="GB10:GH10"/>
    <mergeCell ref="GW8:HC8"/>
    <mergeCell ref="KC10:KI10"/>
    <mergeCell ref="FN9:FT9"/>
    <mergeCell ref="DX9:ED9"/>
    <mergeCell ref="JA8:JG8"/>
    <mergeCell ref="GP10:GV10"/>
    <mergeCell ref="MG10:MM10"/>
    <mergeCell ref="FN8:FT8"/>
    <mergeCell ref="L8:L10"/>
    <mergeCell ref="GI9:GO9"/>
    <mergeCell ref="JA10:JG10"/>
    <mergeCell ref="CV9:DB9"/>
    <mergeCell ref="IM9:IS9"/>
    <mergeCell ref="GW9:HC9"/>
  </mergeCells>
  <conditionalFormatting sqref="P8:NO10">
    <cfRule type="expression" priority="437" dxfId="16">
      <formula>OR($L$1=3,WEEKDAY(P$7,1)=$M$1)</formula>
    </cfRule>
  </conditionalFormatting>
  <conditionalFormatting sqref="P12:NO85">
    <cfRule type="expression" priority="438" dxfId="15" stopIfTrue="1">
      <formula>AND($G$7&gt;=P$7,$G$7&lt;Q$7)</formula>
    </cfRule>
    <cfRule type="expression" priority="439" dxfId="14">
      <formula>AND(OR(P$7&lt;$G12,P$7&gt;$H12),AND($L$1&lt;&gt;3,WEEKDAY(P$9,1)=$M$1))</formula>
    </cfRule>
    <cfRule type="expression" priority="440" stopIfTrue="1">
      <formula>IF($L$1=3,OR(Q$7&lt;=$G12,P$7&gt;$H12),OR(P$7&gt;$H12,P$7&lt;$G12))</formula>
    </cfRule>
    <cfRule type="expression" priority="441" dxfId="13" stopIfTrue="1">
      <formula>OR($J12&gt;=1,IF($L$1=3,Q$7&lt;=$G12+$L12,P$7&lt;$G12+$L12))</formula>
    </cfRule>
    <cfRule type="expression" priority="442" dxfId="12" stopIfTrue="1">
      <formula>$N12="k"</formula>
    </cfRule>
    <cfRule type="expression" priority="443" dxfId="11" stopIfTrue="1">
      <formula>$N12="o"</formula>
    </cfRule>
    <cfRule type="expression" priority="444" dxfId="10" stopIfTrue="1">
      <formula>$N12="y"</formula>
    </cfRule>
    <cfRule type="expression" priority="445" dxfId="9" stopIfTrue="1">
      <formula>$N12="p"</formula>
    </cfRule>
    <cfRule type="expression" priority="446" dxfId="8" stopIfTrue="1">
      <formula>$N12="g"</formula>
    </cfRule>
    <cfRule type="expression" priority="447" dxfId="7" stopIfTrue="1">
      <formula>$N12="r"</formula>
    </cfRule>
    <cfRule type="expression" priority="448" dxfId="6" stopIfTrue="1">
      <formula>$N12=1</formula>
    </cfRule>
    <cfRule type="expression" priority="449" dxfId="5" stopIfTrue="1">
      <formula>$N12=2</formula>
    </cfRule>
    <cfRule type="expression" priority="450" dxfId="4" stopIfTrue="1">
      <formula>$N12=3</formula>
    </cfRule>
    <cfRule type="expression" priority="451" dxfId="3" stopIfTrue="1">
      <formula>$N12=4</formula>
    </cfRule>
    <cfRule type="expression" priority="452" dxfId="2" stopIfTrue="1">
      <formula>$N12=5</formula>
    </cfRule>
    <cfRule type="expression" priority="453" dxfId="1" stopIfTrue="1">
      <formula>$N12=6</formula>
    </cfRule>
    <cfRule type="expression" priority="454" dxfId="0" stopIfTrue="1">
      <formula>TRUE</formula>
    </cfRule>
  </conditionalFormatting>
  <pageMargins left="0.25" right="0.25" top="0.5" bottom="0.5" header="0.5" footer="0.25"/>
  <pageSetup orientation="landscape" scale="56" fitToHeight="0"/>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C133"/>
  <sheetViews>
    <sheetView showGridLines="0" topLeftCell="A16" workbookViewId="0">
      <selection activeCell="C54" sqref="C54"/>
    </sheetView>
  </sheetViews>
  <sheetFormatPr baseColWidth="8" defaultRowHeight="12.75"/>
  <cols>
    <col width="12.7109375" customWidth="1" style="99" min="1" max="1"/>
    <col width="34.5703125" customWidth="1" style="99" min="2" max="2"/>
    <col width="12.7109375" customWidth="1" style="99" min="3" max="3"/>
  </cols>
  <sheetData>
    <row r="1" ht="15.75" customHeight="1" s="99">
      <c r="A1" s="20" t="inlineStr">
        <is>
          <t>Holidays to Exclude from Work Days</t>
        </is>
      </c>
    </row>
    <row r="3" ht="12.75" customHeight="1" s="99">
      <c r="A3" s="217" t="inlineStr">
        <is>
          <t>List special dates that should be considered non-working days. You do not need to list weekends because the NETWORKDAYS() and WORKDAY() functions already exclude weekends.</t>
        </is>
      </c>
    </row>
    <row r="4"/>
    <row r="5"/>
    <row r="6">
      <c r="A6" s="217" t="n"/>
      <c r="B6" s="217" t="n"/>
    </row>
    <row r="7" ht="12.75" customHeight="1" s="99">
      <c r="A7" s="217" t="inlineStr">
        <is>
          <t>If your project spans more than one year, add separate dates for each holiday for each year.</t>
        </is>
      </c>
    </row>
    <row r="8"/>
    <row r="10" ht="15" customHeight="1" s="99">
      <c r="A10" s="138" t="inlineStr">
        <is>
          <t>Date</t>
        </is>
      </c>
      <c r="B10" s="139" t="inlineStr">
        <is>
          <t>Description</t>
        </is>
      </c>
    </row>
    <row r="11">
      <c r="A11" s="140" t="n">
        <v>41268</v>
      </c>
      <c r="B11" s="141" t="inlineStr">
        <is>
          <t>Christmas</t>
        </is>
      </c>
    </row>
    <row r="12">
      <c r="A12" s="140" t="n">
        <v>41633</v>
      </c>
      <c r="B12" s="141" t="inlineStr">
        <is>
          <t>Christmas</t>
        </is>
      </c>
    </row>
    <row r="13">
      <c r="A13" s="140" t="n">
        <v>41998</v>
      </c>
      <c r="B13" s="141" t="inlineStr">
        <is>
          <t>Christmas</t>
        </is>
      </c>
    </row>
    <row r="14">
      <c r="A14" s="140" t="n">
        <v>42363</v>
      </c>
      <c r="B14" s="141" t="inlineStr">
        <is>
          <t>Christmas</t>
        </is>
      </c>
    </row>
    <row r="15">
      <c r="A15" s="140" t="n">
        <v>42729</v>
      </c>
      <c r="B15" s="141" t="inlineStr">
        <is>
          <t>Christmas</t>
        </is>
      </c>
    </row>
    <row r="16">
      <c r="A16" s="140" t="n">
        <v>43094</v>
      </c>
      <c r="B16" s="141" t="inlineStr">
        <is>
          <t>Christmas</t>
        </is>
      </c>
    </row>
    <row r="17">
      <c r="A17" s="140" t="n">
        <v>43459</v>
      </c>
      <c r="B17" s="141" t="inlineStr">
        <is>
          <t>Christmas</t>
        </is>
      </c>
    </row>
    <row r="18">
      <c r="A18" s="140" t="n">
        <v>43824</v>
      </c>
      <c r="B18" s="141" t="inlineStr">
        <is>
          <t>Christmas</t>
        </is>
      </c>
    </row>
    <row r="19">
      <c r="A19" s="140" t="n">
        <v>44190</v>
      </c>
      <c r="B19" s="141" t="inlineStr">
        <is>
          <t>Christmas</t>
        </is>
      </c>
    </row>
    <row r="20">
      <c r="A20" s="140" t="n">
        <v>44555</v>
      </c>
      <c r="B20" s="141" t="inlineStr">
        <is>
          <t>Christmas</t>
        </is>
      </c>
    </row>
    <row r="21">
      <c r="A21" s="140" t="n">
        <v>44920</v>
      </c>
      <c r="B21" s="141" t="inlineStr">
        <is>
          <t>Christmas</t>
        </is>
      </c>
    </row>
    <row r="22">
      <c r="A22" s="140" t="n">
        <v>41190</v>
      </c>
      <c r="B22" s="141" t="inlineStr">
        <is>
          <t>Columbus Day</t>
        </is>
      </c>
    </row>
    <row r="23">
      <c r="A23" s="140" t="n">
        <v>41561</v>
      </c>
      <c r="B23" s="141" t="inlineStr">
        <is>
          <t>Columbus Day</t>
        </is>
      </c>
    </row>
    <row r="24">
      <c r="A24" s="140" t="n">
        <v>41925</v>
      </c>
      <c r="B24" s="141" t="inlineStr">
        <is>
          <t>Columbus Day</t>
        </is>
      </c>
    </row>
    <row r="25">
      <c r="A25" s="140" t="n">
        <v>42289</v>
      </c>
      <c r="B25" s="141" t="inlineStr">
        <is>
          <t>Columbus Day</t>
        </is>
      </c>
    </row>
    <row r="26">
      <c r="A26" s="140" t="n">
        <v>42653</v>
      </c>
      <c r="B26" s="141" t="inlineStr">
        <is>
          <t>Columbus Day</t>
        </is>
      </c>
    </row>
    <row r="27">
      <c r="A27" s="140" t="n">
        <v>43017</v>
      </c>
      <c r="B27" s="141" t="inlineStr">
        <is>
          <t>Columbus Day</t>
        </is>
      </c>
    </row>
    <row r="28">
      <c r="A28" s="140" t="n">
        <v>43381</v>
      </c>
      <c r="B28" s="141" t="inlineStr">
        <is>
          <t>Columbus Day</t>
        </is>
      </c>
    </row>
    <row r="29">
      <c r="A29" s="140" t="n">
        <v>43752</v>
      </c>
      <c r="B29" s="141" t="inlineStr">
        <is>
          <t>Columbus Day</t>
        </is>
      </c>
    </row>
    <row r="30">
      <c r="A30" s="140" t="n">
        <v>44116</v>
      </c>
      <c r="B30" s="141" t="inlineStr">
        <is>
          <t>Columbus Day</t>
        </is>
      </c>
    </row>
    <row r="31">
      <c r="A31" s="140" t="n">
        <v>44480</v>
      </c>
      <c r="B31" s="141" t="inlineStr">
        <is>
          <t>Columbus Day</t>
        </is>
      </c>
    </row>
    <row r="32">
      <c r="A32" s="140" t="n">
        <v>44844</v>
      </c>
      <c r="B32" s="141" t="inlineStr">
        <is>
          <t>Columbus Day</t>
        </is>
      </c>
    </row>
    <row r="33">
      <c r="A33" s="140" t="n">
        <v>41094</v>
      </c>
      <c r="B33" s="141" t="inlineStr">
        <is>
          <t>Independence Day</t>
        </is>
      </c>
    </row>
    <row r="34">
      <c r="A34" s="140" t="n">
        <v>41459</v>
      </c>
      <c r="B34" s="141" t="inlineStr">
        <is>
          <t>Independence Day</t>
        </is>
      </c>
    </row>
    <row r="35">
      <c r="A35" s="140" t="n">
        <v>41824</v>
      </c>
      <c r="B35" s="141" t="inlineStr">
        <is>
          <t>Independence Day</t>
        </is>
      </c>
    </row>
    <row r="36">
      <c r="A36" s="140" t="n">
        <v>42189</v>
      </c>
      <c r="B36" s="141" t="inlineStr">
        <is>
          <t>Independence Day</t>
        </is>
      </c>
    </row>
    <row r="37">
      <c r="A37" s="140" t="n">
        <v>42555</v>
      </c>
      <c r="B37" s="141" t="inlineStr">
        <is>
          <t>Independence Day</t>
        </is>
      </c>
    </row>
    <row r="38">
      <c r="A38" s="140" t="n">
        <v>42920</v>
      </c>
      <c r="B38" s="141" t="inlineStr">
        <is>
          <t>Independence Day</t>
        </is>
      </c>
    </row>
    <row r="39">
      <c r="A39" s="140" t="n">
        <v>43285</v>
      </c>
      <c r="B39" s="141" t="inlineStr">
        <is>
          <t>Independence Day</t>
        </is>
      </c>
    </row>
    <row r="40">
      <c r="A40" s="140" t="n">
        <v>43650</v>
      </c>
      <c r="B40" s="141" t="inlineStr">
        <is>
          <t>Independence Day</t>
        </is>
      </c>
    </row>
    <row r="41">
      <c r="A41" s="140" t="n">
        <v>44016</v>
      </c>
      <c r="B41" s="141" t="inlineStr">
        <is>
          <t>Independence Day</t>
        </is>
      </c>
    </row>
    <row r="42">
      <c r="A42" s="140" t="n">
        <v>44381</v>
      </c>
      <c r="B42" s="141" t="inlineStr">
        <is>
          <t>Independence Day</t>
        </is>
      </c>
    </row>
    <row r="43">
      <c r="A43" s="140" t="n">
        <v>44746</v>
      </c>
      <c r="B43" s="141" t="inlineStr">
        <is>
          <t>Independence Day</t>
        </is>
      </c>
    </row>
    <row r="44">
      <c r="A44" s="140" t="n">
        <v>41155</v>
      </c>
      <c r="B44" s="141" t="inlineStr">
        <is>
          <t>Labor Day</t>
        </is>
      </c>
    </row>
    <row r="45">
      <c r="A45" s="140" t="n">
        <v>41519</v>
      </c>
      <c r="B45" s="141" t="inlineStr">
        <is>
          <t>Labor Day</t>
        </is>
      </c>
    </row>
    <row r="46">
      <c r="A46" s="140" t="n">
        <v>41883</v>
      </c>
      <c r="B46" s="141" t="inlineStr">
        <is>
          <t>Labor Day</t>
        </is>
      </c>
    </row>
    <row r="47">
      <c r="A47" s="140" t="n">
        <v>42254</v>
      </c>
      <c r="B47" s="141" t="inlineStr">
        <is>
          <t>Labor Day</t>
        </is>
      </c>
    </row>
    <row r="48">
      <c r="A48" s="140" t="n">
        <v>42618</v>
      </c>
      <c r="B48" s="141" t="inlineStr">
        <is>
          <t>Labor Day</t>
        </is>
      </c>
    </row>
    <row r="49">
      <c r="A49" s="140" t="n">
        <v>42982</v>
      </c>
      <c r="B49" s="141" t="inlineStr">
        <is>
          <t>Labor Day</t>
        </is>
      </c>
    </row>
    <row r="50">
      <c r="A50" s="140" t="n">
        <v>43346</v>
      </c>
      <c r="B50" s="141" t="inlineStr">
        <is>
          <t>Labor Day</t>
        </is>
      </c>
    </row>
    <row r="51">
      <c r="A51" s="140" t="n">
        <v>43710</v>
      </c>
      <c r="B51" s="141" t="inlineStr">
        <is>
          <t>Labor Day</t>
        </is>
      </c>
    </row>
    <row r="52">
      <c r="A52" s="140" t="n">
        <v>44081</v>
      </c>
      <c r="B52" s="141" t="inlineStr">
        <is>
          <t>Labor Day</t>
        </is>
      </c>
    </row>
    <row r="53">
      <c r="A53" s="140" t="n">
        <v>44445</v>
      </c>
      <c r="B53" s="141" t="inlineStr">
        <is>
          <t>Labor Day</t>
        </is>
      </c>
    </row>
    <row r="54">
      <c r="A54" s="140" t="n">
        <v>44809</v>
      </c>
      <c r="B54" s="141" t="inlineStr">
        <is>
          <t>Labor Day</t>
        </is>
      </c>
    </row>
    <row r="55">
      <c r="A55" s="140" t="n">
        <v>40924</v>
      </c>
      <c r="B55" s="141" t="inlineStr">
        <is>
          <t>M.L.King Jr. Day</t>
        </is>
      </c>
    </row>
    <row r="56">
      <c r="A56" s="140" t="n">
        <v>41295</v>
      </c>
      <c r="B56" s="141" t="inlineStr">
        <is>
          <t>M.L.King Jr. Day</t>
        </is>
      </c>
    </row>
    <row r="57">
      <c r="A57" s="140" t="n">
        <v>41659</v>
      </c>
      <c r="B57" s="141" t="inlineStr">
        <is>
          <t>M.L.King Jr. Day</t>
        </is>
      </c>
    </row>
    <row r="58">
      <c r="A58" s="140" t="n">
        <v>42023</v>
      </c>
      <c r="B58" s="141" t="inlineStr">
        <is>
          <t>M.L.King Jr. Day</t>
        </is>
      </c>
    </row>
    <row r="59">
      <c r="A59" s="140" t="n">
        <v>42387</v>
      </c>
      <c r="B59" s="141" t="inlineStr">
        <is>
          <t>M.L.King Jr. Day</t>
        </is>
      </c>
    </row>
    <row r="60">
      <c r="A60" s="140" t="n">
        <v>42751</v>
      </c>
      <c r="B60" s="141" t="inlineStr">
        <is>
          <t>M.L.King Jr. Day</t>
        </is>
      </c>
    </row>
    <row r="61">
      <c r="A61" s="140" t="n">
        <v>43115</v>
      </c>
      <c r="B61" s="141" t="inlineStr">
        <is>
          <t>M.L.King Jr. Day</t>
        </is>
      </c>
    </row>
    <row r="62">
      <c r="A62" s="140" t="n">
        <v>43486</v>
      </c>
      <c r="B62" s="141" t="inlineStr">
        <is>
          <t>M.L.King Jr. Day</t>
        </is>
      </c>
    </row>
    <row r="63">
      <c r="A63" s="140" t="n">
        <v>43850</v>
      </c>
      <c r="B63" s="141" t="inlineStr">
        <is>
          <t>M.L.King Jr. Day</t>
        </is>
      </c>
    </row>
    <row r="64">
      <c r="A64" s="140" t="n">
        <v>41057</v>
      </c>
      <c r="B64" s="141" t="inlineStr">
        <is>
          <t>Memorial Day</t>
        </is>
      </c>
    </row>
    <row r="65">
      <c r="A65" s="140" t="n">
        <v>41421</v>
      </c>
      <c r="B65" s="141" t="inlineStr">
        <is>
          <t>Memorial Day</t>
        </is>
      </c>
    </row>
    <row r="66">
      <c r="A66" s="140" t="n">
        <v>41785</v>
      </c>
      <c r="B66" s="141" t="inlineStr">
        <is>
          <t>Memorial Day</t>
        </is>
      </c>
    </row>
    <row r="67">
      <c r="A67" s="140" t="n">
        <v>42149</v>
      </c>
      <c r="B67" s="141" t="inlineStr">
        <is>
          <t>Memorial Day</t>
        </is>
      </c>
    </row>
    <row r="68">
      <c r="A68" s="140" t="n">
        <v>42520</v>
      </c>
      <c r="B68" s="141" t="inlineStr">
        <is>
          <t>Memorial Day</t>
        </is>
      </c>
    </row>
    <row r="69">
      <c r="A69" s="140" t="n">
        <v>42884</v>
      </c>
      <c r="B69" s="141" t="inlineStr">
        <is>
          <t>Memorial Day</t>
        </is>
      </c>
    </row>
    <row r="70">
      <c r="A70" s="140" t="n">
        <v>43248</v>
      </c>
      <c r="B70" s="141" t="inlineStr">
        <is>
          <t>Memorial Day</t>
        </is>
      </c>
    </row>
    <row r="71">
      <c r="A71" s="140" t="n">
        <v>43612</v>
      </c>
      <c r="B71" s="141" t="inlineStr">
        <is>
          <t>Memorial Day</t>
        </is>
      </c>
    </row>
    <row r="72">
      <c r="A72" s="140" t="n">
        <v>43976</v>
      </c>
      <c r="B72" s="141" t="inlineStr">
        <is>
          <t>Memorial Day</t>
        </is>
      </c>
    </row>
    <row r="73">
      <c r="A73" s="140" t="n">
        <v>40909</v>
      </c>
      <c r="B73" s="141" t="inlineStr">
        <is>
          <t>New Year's Day</t>
        </is>
      </c>
    </row>
    <row r="74">
      <c r="A74" s="140" t="n">
        <v>41275</v>
      </c>
      <c r="B74" s="141" t="inlineStr">
        <is>
          <t>New Year's Day</t>
        </is>
      </c>
    </row>
    <row r="75">
      <c r="A75" s="140" t="n">
        <v>41640</v>
      </c>
      <c r="B75" s="141" t="inlineStr">
        <is>
          <t>New Year's Day</t>
        </is>
      </c>
    </row>
    <row r="76">
      <c r="A76" s="140" t="n">
        <v>42005</v>
      </c>
      <c r="B76" s="141" t="inlineStr">
        <is>
          <t>New Year's Day</t>
        </is>
      </c>
    </row>
    <row r="77">
      <c r="A77" s="140" t="n">
        <v>42370</v>
      </c>
      <c r="B77" s="141" t="inlineStr">
        <is>
          <t>New Year's Day</t>
        </is>
      </c>
    </row>
    <row r="78">
      <c r="A78" s="140" t="n">
        <v>42736</v>
      </c>
      <c r="B78" s="141" t="inlineStr">
        <is>
          <t>New Year's Day</t>
        </is>
      </c>
    </row>
    <row r="79">
      <c r="A79" s="140" t="n">
        <v>43101</v>
      </c>
      <c r="B79" s="141" t="inlineStr">
        <is>
          <t>New Year's Day</t>
        </is>
      </c>
    </row>
    <row r="80">
      <c r="A80" s="140" t="n">
        <v>43466</v>
      </c>
      <c r="B80" s="141" t="inlineStr">
        <is>
          <t>New Year's Day</t>
        </is>
      </c>
    </row>
    <row r="81">
      <c r="A81" s="140" t="n">
        <v>43831</v>
      </c>
      <c r="B81" s="141" t="inlineStr">
        <is>
          <t>New Year's Day</t>
        </is>
      </c>
    </row>
    <row r="82">
      <c r="A82" s="140" t="n">
        <v>40959</v>
      </c>
      <c r="B82" s="141" t="inlineStr">
        <is>
          <t>Presidents Day</t>
        </is>
      </c>
    </row>
    <row r="83">
      <c r="A83" s="140" t="n">
        <v>41323</v>
      </c>
      <c r="B83" s="141" t="inlineStr">
        <is>
          <t>Presidents Day</t>
        </is>
      </c>
    </row>
    <row r="84">
      <c r="A84" s="140" t="n">
        <v>41687</v>
      </c>
      <c r="B84" s="141" t="inlineStr">
        <is>
          <t>Presidents Day</t>
        </is>
      </c>
    </row>
    <row r="85">
      <c r="A85" s="140" t="n">
        <v>42051</v>
      </c>
      <c r="B85" s="141" t="inlineStr">
        <is>
          <t>Presidents Day</t>
        </is>
      </c>
    </row>
    <row r="86">
      <c r="A86" s="140" t="n">
        <v>42415</v>
      </c>
      <c r="B86" s="141" t="inlineStr">
        <is>
          <t>Presidents Day</t>
        </is>
      </c>
    </row>
    <row r="87">
      <c r="A87" s="140" t="n">
        <v>42786</v>
      </c>
      <c r="B87" s="141" t="inlineStr">
        <is>
          <t>Presidents Day</t>
        </is>
      </c>
    </row>
    <row r="88">
      <c r="A88" s="140" t="n">
        <v>43150</v>
      </c>
      <c r="B88" s="141" t="inlineStr">
        <is>
          <t>Presidents Day</t>
        </is>
      </c>
    </row>
    <row r="89">
      <c r="A89" s="140" t="n">
        <v>43514</v>
      </c>
      <c r="B89" s="141" t="inlineStr">
        <is>
          <t>Presidents Day</t>
        </is>
      </c>
    </row>
    <row r="90">
      <c r="A90" s="140" t="n">
        <v>43878</v>
      </c>
      <c r="B90" s="141" t="inlineStr">
        <is>
          <t>Presidents Day</t>
        </is>
      </c>
    </row>
    <row r="91">
      <c r="A91" s="140" t="n">
        <v>40507</v>
      </c>
      <c r="B91" s="141" t="inlineStr">
        <is>
          <t>Thanksgiving</t>
        </is>
      </c>
    </row>
    <row r="92">
      <c r="A92" s="140" t="n">
        <v>40871</v>
      </c>
      <c r="B92" s="141" t="inlineStr">
        <is>
          <t>Thanksgiving</t>
        </is>
      </c>
    </row>
    <row r="93">
      <c r="A93" s="140" t="n">
        <v>41235</v>
      </c>
      <c r="B93" s="141" t="inlineStr">
        <is>
          <t>Thanksgiving</t>
        </is>
      </c>
    </row>
    <row r="94">
      <c r="A94" s="140" t="n">
        <v>41606</v>
      </c>
      <c r="B94" s="141" t="inlineStr">
        <is>
          <t>Thanksgiving</t>
        </is>
      </c>
    </row>
    <row r="95">
      <c r="A95" s="140" t="n">
        <v>41970</v>
      </c>
      <c r="B95" s="141" t="inlineStr">
        <is>
          <t>Thanksgiving</t>
        </is>
      </c>
    </row>
    <row r="96">
      <c r="A96" s="140" t="n">
        <v>42334</v>
      </c>
      <c r="B96" s="141" t="inlineStr">
        <is>
          <t>Thanksgiving</t>
        </is>
      </c>
    </row>
    <row r="97">
      <c r="A97" s="140" t="n">
        <v>42698</v>
      </c>
      <c r="B97" s="141" t="inlineStr">
        <is>
          <t>Thanksgiving</t>
        </is>
      </c>
    </row>
    <row r="98">
      <c r="A98" s="140" t="n">
        <v>43062</v>
      </c>
      <c r="B98" s="141" t="inlineStr">
        <is>
          <t>Thanksgiving</t>
        </is>
      </c>
    </row>
    <row r="99">
      <c r="A99" s="140" t="n">
        <v>43426</v>
      </c>
      <c r="B99" s="141" t="inlineStr">
        <is>
          <t>Thanksgiving</t>
        </is>
      </c>
    </row>
    <row r="100">
      <c r="A100" s="140" t="n">
        <v>43797</v>
      </c>
      <c r="B100" s="141" t="inlineStr">
        <is>
          <t>Thanksgiving</t>
        </is>
      </c>
    </row>
    <row r="101">
      <c r="A101" s="140" t="n">
        <v>44161</v>
      </c>
      <c r="B101" s="141" t="inlineStr">
        <is>
          <t>Thanksgiving</t>
        </is>
      </c>
    </row>
    <row r="102">
      <c r="A102" s="140" t="n">
        <v>41224</v>
      </c>
      <c r="B102" s="141" t="inlineStr">
        <is>
          <t>Veterans Day</t>
        </is>
      </c>
    </row>
    <row r="103">
      <c r="A103" s="140" t="n">
        <v>41589</v>
      </c>
      <c r="B103" s="141" t="inlineStr">
        <is>
          <t>Veterans Day</t>
        </is>
      </c>
    </row>
    <row r="104">
      <c r="A104" s="140" t="n">
        <v>41954</v>
      </c>
      <c r="B104" s="141" t="inlineStr">
        <is>
          <t>Veterans Day</t>
        </is>
      </c>
    </row>
    <row r="105">
      <c r="A105" s="140" t="n">
        <v>42319</v>
      </c>
      <c r="B105" s="141" t="inlineStr">
        <is>
          <t>Veterans Day</t>
        </is>
      </c>
    </row>
    <row r="106">
      <c r="A106" s="140" t="n">
        <v>42685</v>
      </c>
      <c r="B106" s="141" t="inlineStr">
        <is>
          <t>Veterans Day</t>
        </is>
      </c>
    </row>
    <row r="107">
      <c r="A107" s="140" t="n">
        <v>43050</v>
      </c>
      <c r="B107" s="141" t="inlineStr">
        <is>
          <t>Veterans Day</t>
        </is>
      </c>
    </row>
    <row r="108">
      <c r="A108" s="140" t="n">
        <v>43415</v>
      </c>
      <c r="B108" s="141" t="inlineStr">
        <is>
          <t>Veterans Day</t>
        </is>
      </c>
    </row>
    <row r="109">
      <c r="A109" s="140" t="n">
        <v>43780</v>
      </c>
      <c r="B109" s="141" t="inlineStr">
        <is>
          <t>Veterans Day</t>
        </is>
      </c>
    </row>
    <row r="110">
      <c r="A110" s="140" t="n">
        <v>44146</v>
      </c>
      <c r="B110" s="141" t="inlineStr">
        <is>
          <t>Veterans Day</t>
        </is>
      </c>
    </row>
    <row r="111">
      <c r="A111" s="140" t="n"/>
      <c r="B111" s="141" t="n"/>
    </row>
    <row r="112">
      <c r="A112" s="140" t="n"/>
      <c r="B112" s="141" t="n"/>
    </row>
    <row r="113">
      <c r="A113" s="140" t="n"/>
      <c r="B113" s="141" t="n"/>
    </row>
    <row r="114">
      <c r="A114" s="140" t="n"/>
      <c r="B114" s="141" t="n"/>
    </row>
    <row r="115">
      <c r="A115" s="140" t="n"/>
      <c r="B115" s="141" t="n"/>
    </row>
    <row r="116">
      <c r="A116" s="140" t="n"/>
      <c r="B116" s="141" t="n"/>
    </row>
    <row r="117">
      <c r="A117" s="140" t="n"/>
      <c r="B117" s="141" t="n"/>
    </row>
    <row r="118">
      <c r="A118" s="140" t="n"/>
      <c r="B118" s="141" t="n"/>
    </row>
    <row r="119">
      <c r="A119" s="140" t="n"/>
      <c r="B119" s="141" t="n"/>
    </row>
    <row r="120">
      <c r="A120" s="140" t="n"/>
      <c r="B120" s="141" t="n"/>
    </row>
    <row r="121">
      <c r="A121" s="140" t="n"/>
      <c r="B121" s="141" t="n"/>
    </row>
    <row r="122">
      <c r="A122" s="140" t="n"/>
      <c r="B122" s="141" t="n"/>
    </row>
    <row r="123">
      <c r="A123" s="140" t="n"/>
      <c r="B123" s="141" t="n"/>
    </row>
    <row r="124">
      <c r="A124" s="140" t="n"/>
      <c r="B124" s="141" t="n"/>
    </row>
    <row r="125">
      <c r="A125" s="140" t="n"/>
      <c r="B125" s="141" t="n"/>
    </row>
    <row r="126">
      <c r="A126" s="140" t="n"/>
      <c r="B126" s="141" t="n"/>
    </row>
    <row r="127">
      <c r="A127" s="140" t="n"/>
      <c r="B127" s="141" t="n"/>
    </row>
    <row r="128">
      <c r="A128" s="140" t="n"/>
      <c r="B128" s="141" t="n"/>
    </row>
    <row r="129">
      <c r="A129" s="140" t="n"/>
      <c r="B129" s="141" t="n"/>
    </row>
    <row r="130">
      <c r="A130" s="140" t="n"/>
      <c r="B130" s="141" t="n"/>
    </row>
    <row r="131">
      <c r="A131" s="140" t="n"/>
      <c r="B131" s="141" t="n"/>
    </row>
    <row r="132">
      <c r="A132" s="140" t="n"/>
      <c r="B132" s="141" t="n"/>
    </row>
    <row r="133">
      <c r="A133" s="140" t="n"/>
      <c r="B133" s="141" t="n"/>
    </row>
  </sheetData>
  <mergeCells count="2">
    <mergeCell ref="A3:C5"/>
    <mergeCell ref="A7:C8"/>
  </mergeCells>
  <pageMargins left="0.75" right="0.75" top="1" bottom="1" header="0.5" footer="0.5"/>
  <pageSetup orientation="portrait"/>
</worksheet>
</file>

<file path=xl/worksheets/sheet5.xml><?xml version="1.0" encoding="utf-8"?>
<worksheet xmlns="http://schemas.openxmlformats.org/spreadsheetml/2006/main">
  <sheetPr codeName="Sheet5">
    <outlinePr summaryBelow="1" summaryRight="1"/>
    <pageSetUpPr fitToPage="1"/>
  </sheetPr>
  <dimension ref="A1:I230"/>
  <sheetViews>
    <sheetView showGridLines="0" topLeftCell="A169" workbookViewId="0">
      <selection activeCell="B178" sqref="B178"/>
    </sheetView>
  </sheetViews>
  <sheetFormatPr baseColWidth="8" defaultRowHeight="12.75"/>
  <cols>
    <col width="12.28515625" customWidth="1" style="99" min="1" max="1"/>
    <col width="81.7109375" customWidth="1" style="99" min="2" max="2"/>
    <col width="14" customWidth="1" style="99" min="3" max="3"/>
    <col width="8.140625" customWidth="1" style="99" min="4" max="5"/>
    <col width="9.140625" customWidth="1" style="99" min="6" max="6"/>
  </cols>
  <sheetData>
    <row r="1" ht="23.25" customHeight="1" s="99">
      <c r="A1" s="241" t="inlineStr">
        <is>
          <t>Gantt Chart Template</t>
        </is>
      </c>
      <c r="B1" s="242" t="n"/>
      <c r="C1" s="242" t="n"/>
    </row>
    <row r="2" ht="18" customHeight="1" s="99">
      <c r="A2" s="41" t="inlineStr">
        <is>
          <t>INSTRUCTIONS</t>
        </is>
      </c>
      <c r="B2" s="42" t="n"/>
      <c r="C2" s="43" t="inlineStr">
        <is>
          <t>© 2006-2014 Vertex42 LLC</t>
        </is>
      </c>
    </row>
    <row r="3">
      <c r="B3" s="108" t="inlineStr">
        <is>
          <t>If this page does not answer your questions, visit the following page:</t>
        </is>
      </c>
      <c r="C3" s="47" t="inlineStr">
        <is>
          <t>Support</t>
        </is>
      </c>
    </row>
    <row r="4" ht="18" customHeight="1" s="99">
      <c r="A4" s="52" t="inlineStr">
        <is>
          <t>Intro</t>
        </is>
      </c>
      <c r="B4" s="45" t="n"/>
    </row>
    <row r="5" ht="15" customHeight="1" s="99">
      <c r="B5" s="50" t="inlineStr">
        <is>
          <t>The Vertex42® Gantt Chart Template is designed to make creating a project schedule very</t>
        </is>
      </c>
    </row>
    <row r="6" ht="15" customHeight="1" s="99">
      <c r="B6" s="50" t="inlineStr">
        <is>
          <t>simple. You only need to know some very basic Excel techniques to make this gantt chart</t>
        </is>
      </c>
    </row>
    <row r="7" ht="15" customHeight="1" s="99">
      <c r="B7" s="50" t="inlineStr">
        <is>
          <t>work for you, such as how to copy and paste entire rows. Be sure to read the Getting Started</t>
        </is>
      </c>
    </row>
    <row r="8" ht="15" customHeight="1" s="99">
      <c r="B8" s="50" t="inlineStr">
        <is>
          <t>Tips below.</t>
        </is>
      </c>
    </row>
    <row r="9" s="99">
      <c r="B9" s="46" t="n"/>
    </row>
    <row r="10" ht="18" customHeight="1" s="99">
      <c r="A10" s="52" t="inlineStr">
        <is>
          <t>Cell Color Key</t>
        </is>
      </c>
    </row>
    <row r="12" ht="15" customHeight="1" s="99">
      <c r="A12" s="53" t="inlineStr">
        <is>
          <t>Input Cell</t>
        </is>
      </c>
      <c r="B12" s="61" t="inlineStr">
        <is>
          <t xml:space="preserve"> :: Indicates which set of inputs to use</t>
        </is>
      </c>
    </row>
    <row r="13" ht="15" customHeight="1" s="99">
      <c r="A13" s="51" t="inlineStr">
        <is>
          <t>Formula to Edit</t>
        </is>
      </c>
      <c r="B13" s="61" t="inlineStr">
        <is>
          <t xml:space="preserve"> :: Indicates formulas you may need to verify</t>
        </is>
      </c>
    </row>
    <row r="14" ht="15" customHeight="1" s="99">
      <c r="A14" s="243" t="inlineStr">
        <is>
          <t>Incomplete Task</t>
        </is>
      </c>
      <c r="B14" s="61" t="inlineStr">
        <is>
          <t xml:space="preserve"> :: In the Gantt chart, indicates the incomplete portion of the task</t>
        </is>
      </c>
    </row>
    <row r="15" ht="15" customHeight="1" s="99">
      <c r="A15" s="244" t="inlineStr">
        <is>
          <t>Completed Task</t>
        </is>
      </c>
      <c r="B15" s="61" t="inlineStr">
        <is>
          <t xml:space="preserve"> :: In the Gantt chart, indicates the completed portion of the task</t>
        </is>
      </c>
    </row>
    <row r="17" ht="18" customHeight="1" s="99">
      <c r="A17" s="52" t="inlineStr">
        <is>
          <t>Getting Started Tips</t>
        </is>
      </c>
    </row>
    <row r="19" ht="15.75" customHeight="1" s="99">
      <c r="B19" s="109" t="inlineStr">
        <is>
          <t>Watch the Demo Videos</t>
        </is>
      </c>
    </row>
    <row r="21" ht="15" customHeight="1" s="99">
      <c r="B21" s="61" t="inlineStr">
        <is>
          <t xml:space="preserve"> • Input cells have a light green background.</t>
        </is>
      </c>
      <c r="C21" s="54" t="inlineStr">
        <is>
          <t>Input Cell</t>
        </is>
      </c>
    </row>
    <row r="22" ht="15" customHeight="1" s="99">
      <c r="B22" s="61" t="inlineStr">
        <is>
          <t xml:space="preserve"> • Cells with a darker green background are formulas you may need to verify and edit.</t>
        </is>
      </c>
      <c r="C22" s="55" t="inlineStr">
        <is>
          <t>Formula to Edit</t>
        </is>
      </c>
    </row>
    <row r="23" ht="15" customHeight="1" s="99">
      <c r="B23" s="59" t="inlineStr">
        <is>
          <t>When you insert new rows or move rows around, you should double-check these formulas.</t>
        </is>
      </c>
    </row>
    <row r="24" ht="15" customHeight="1" s="99">
      <c r="B24" s="61" t="inlineStr">
        <is>
          <t xml:space="preserve"> • [ Bracketed Text ] is meant to be edited, like the project title and task descriptions.</t>
        </is>
      </c>
    </row>
    <row r="25" ht="15" customHeight="1" s="99">
      <c r="B25" s="61" t="inlineStr">
        <is>
          <t xml:space="preserve"> • Some of the labels include cell comments (marked with little red triangles) to provide</t>
        </is>
      </c>
      <c r="C25" s="48" t="inlineStr">
        <is>
          <t>Label</t>
        </is>
      </c>
    </row>
    <row r="26" ht="15" customHeight="1" s="99">
      <c r="B26" s="59" t="inlineStr">
        <is>
          <t>extra help information.</t>
        </is>
      </c>
    </row>
    <row r="27" ht="15" customHeight="1" s="99">
      <c r="B27" s="61" t="inlineStr">
        <is>
          <t xml:space="preserve"> • The Project Start Date determines the first week shown in the gantt chart, and may </t>
        </is>
      </c>
    </row>
    <row r="28" ht="15" customHeight="1" s="99">
      <c r="B28" s="59" t="inlineStr">
        <is>
          <t>also be referenced by some tasks, so be careful when changing it.</t>
        </is>
      </c>
    </row>
    <row r="29" ht="15" customHeight="1" s="99">
      <c r="B29" s="61" t="inlineStr">
        <is>
          <t xml:space="preserve"> • Instead of changing the Project Start Date, use the slider bar to adjust the range of dates</t>
        </is>
      </c>
    </row>
    <row r="30" ht="15" customHeight="1" s="99">
      <c r="B30" s="59" t="inlineStr">
        <is>
          <t>shown in the gantt chart.</t>
        </is>
      </c>
    </row>
    <row r="31" ht="15" customHeight="1" s="99">
      <c r="B31" s="61" t="inlineStr">
        <is>
          <t xml:space="preserve"> • The red line in the gantt chart represents the date in the Today's Date cell.</t>
        </is>
      </c>
    </row>
    <row r="32" ht="15" customHeight="1" s="99">
      <c r="B32" s="59" t="inlineStr">
        <is>
          <t>You can enter Today's Date manually or use the formula =TODAY()</t>
        </is>
      </c>
    </row>
    <row r="33" ht="15" customHeight="1" s="99">
      <c r="B33" s="59" t="inlineStr">
        <is>
          <t>The range of dates displayed is limited by the number of columns in Excel 2003.</t>
        </is>
      </c>
    </row>
    <row r="34" ht="15" customHeight="1" s="99">
      <c r="B34" s="59" t="inlineStr">
        <is>
          <t>Excel 2007 lets you increase the number of columns. See the FAQ below.</t>
        </is>
      </c>
    </row>
    <row r="35" ht="15" customHeight="1" s="99">
      <c r="B35" s="60" t="inlineStr">
        <is>
          <t xml:space="preserve"> • To insert additional tasks, copy an exising row from the selection of Template Rows at </t>
        </is>
      </c>
    </row>
    <row r="36" ht="15" customHeight="1" s="99">
      <c r="B36" s="59" t="inlineStr">
        <is>
          <t>the bottom of the worksheet.</t>
        </is>
      </c>
    </row>
    <row r="37" ht="15" customHeight="1" s="99">
      <c r="B37" s="61" t="inlineStr">
        <is>
          <t xml:space="preserve"> • Edit the Holidays worksheet to choose which dates you want to exclude from Work Days.</t>
        </is>
      </c>
    </row>
    <row r="38" ht="15" customHeight="1" s="99">
      <c r="B38" s="61" t="inlineStr">
        <is>
          <t xml:space="preserve"> • If you see "#####" in a cell, widen the COLUMN to display the cell contents.</t>
        </is>
      </c>
    </row>
    <row r="39" ht="15" customHeight="1" s="99">
      <c r="B39" s="60" t="inlineStr">
        <is>
          <t xml:space="preserve"> • This workbook uses a lot of conditional formatting. Look up "conditional formatting" in the</t>
        </is>
      </c>
    </row>
    <row r="40" ht="15" customHeight="1" s="99">
      <c r="B40" s="59" t="inlineStr">
        <is>
          <t>Excel help system (F1) if you want to know how it works.</t>
        </is>
      </c>
    </row>
    <row r="41" ht="15" customHeight="1" s="99">
      <c r="B41" s="49" t="inlineStr">
        <is>
          <t xml:space="preserve"> • Backup your file regularly to avoid losing data! Excel files DO get corrupted occasionally.</t>
        </is>
      </c>
    </row>
    <row r="42" ht="15" customHeight="1" s="99">
      <c r="B42" s="61" t="n"/>
    </row>
    <row r="43" ht="18" customHeight="1" s="99">
      <c r="A43" s="52" t="inlineStr">
        <is>
          <t>Changing the Display Mode from Daily to Weekly to Monthly</t>
        </is>
      </c>
    </row>
    <row r="44" ht="15" customHeight="1" s="99">
      <c r="B44" s="116" t="inlineStr">
        <is>
          <t>Use the drop-down field to change the display of the gantt chart to daily, weekly, or monthly.</t>
        </is>
      </c>
      <c r="C44" s="112" t="inlineStr">
        <is>
          <t>Daily</t>
        </is>
      </c>
    </row>
    <row r="45" ht="15" customHeight="1" s="99">
      <c r="B45" s="117" t="inlineStr">
        <is>
          <t>NOTE: When using the monthly view, the LENGTH of the bar in the gantt chart does not</t>
        </is>
      </c>
      <c r="C45" s="112" t="inlineStr">
        <is>
          <t>Weekly</t>
        </is>
      </c>
    </row>
    <row r="46" ht="15" customHeight="1" s="99">
      <c r="B46" s="116" t="inlineStr">
        <is>
          <t>represent a true relative duration because each month has a different number of days, and</t>
        </is>
      </c>
      <c r="C46" s="112" t="inlineStr">
        <is>
          <t>Monthly</t>
        </is>
      </c>
    </row>
    <row r="47" ht="15" customHeight="1" s="99">
      <c r="B47" s="116" t="inlineStr">
        <is>
          <t>each column shows a 4-day period (except for the last column in the month, which is variable).</t>
        </is>
      </c>
    </row>
    <row r="48" ht="15" customHeight="1" s="99">
      <c r="B48" s="116" t="n"/>
    </row>
    <row r="49" ht="15" customHeight="1" s="99">
      <c r="B49" s="117" t="inlineStr">
        <is>
          <t>Show Weekends: When using the Daily display, check the "Show Weekends" box if you want to</t>
        </is>
      </c>
    </row>
    <row r="50" ht="15" customHeight="1" s="99">
      <c r="B50" s="116" t="inlineStr">
        <is>
          <t>show Saturday and Sunday in the gantt chart.</t>
        </is>
      </c>
    </row>
    <row r="51" ht="15" customHeight="1" s="99">
      <c r="B51" s="61" t="n"/>
    </row>
    <row r="52" ht="18" customHeight="1" s="99">
      <c r="A52" s="52" t="inlineStr">
        <is>
          <t>Using the Template Rows for Different Sets of Inputs</t>
        </is>
      </c>
    </row>
    <row r="53" ht="15" customHeight="1" s="99">
      <c r="B53" s="61" t="inlineStr">
        <is>
          <t>There are many ways to define the Start Date, End Date, and Duration of a task. Sometimes</t>
        </is>
      </c>
    </row>
    <row r="54" ht="15" customHeight="1" s="99">
      <c r="B54" s="61" t="inlineStr">
        <is>
          <t>you may want to enter the Start date manually, and other times you may want to calculate the</t>
        </is>
      </c>
    </row>
    <row r="55" ht="15" customHeight="1" s="99">
      <c r="B55" s="61" t="inlineStr">
        <is>
          <t xml:space="preserve">Start date based on the End date of another task. The most common way to define the </t>
        </is>
      </c>
    </row>
    <row r="56" ht="15" customHeight="1" s="99">
      <c r="B56" s="61" t="inlineStr">
        <is>
          <t>duration of a task is by entering the number of Work Days, but for some tasks you may want</t>
        </is>
      </c>
    </row>
    <row r="57" ht="15" customHeight="1" s="99">
      <c r="B57" s="61" t="inlineStr">
        <is>
          <t xml:space="preserve">to choose the End date. The template rows at the bottom of the gantt chart are designed to </t>
        </is>
      </c>
    </row>
    <row r="58" ht="15" customHeight="1" s="99">
      <c r="B58" s="61" t="inlineStr">
        <is>
          <t>let you choose the set of inputs you want to use for a particular task.</t>
        </is>
      </c>
    </row>
    <row r="59" ht="15" customHeight="1" s="99">
      <c r="B59" s="106" t="inlineStr">
        <is>
          <t>Remember: Inputs are the light green cells.</t>
        </is>
      </c>
    </row>
    <row r="60" ht="15" customHeight="1" s="99">
      <c r="B60" s="61" t="n"/>
    </row>
    <row r="61" ht="15" customHeight="1" s="99">
      <c r="B61" s="65" t="inlineStr">
        <is>
          <t>To use a Template Row:</t>
        </is>
      </c>
    </row>
    <row r="62" ht="15" customHeight="1" s="99">
      <c r="B62" s="62" t="inlineStr">
        <is>
          <t>Note: Use row operations by right-clicking on the Row #</t>
        </is>
      </c>
    </row>
    <row r="63" ht="15" customHeight="1" s="99">
      <c r="B63" s="61" t="inlineStr">
        <is>
          <t>1. Copy the row you want to use.</t>
        </is>
      </c>
    </row>
    <row r="64" ht="15" customHeight="1" s="99">
      <c r="B64" s="61" t="inlineStr">
        <is>
          <t>2. Right-click on the row below where you want to insert the new task and select Insert Copied Cells</t>
        </is>
      </c>
    </row>
    <row r="65" ht="15" customHeight="1" s="99">
      <c r="B65" s="61" t="inlineStr">
        <is>
          <t>3. Find a cell containing the WBS level you want to use, then copy and paste from that cell.</t>
        </is>
      </c>
    </row>
    <row r="66" ht="15" customHeight="1" s="99">
      <c r="B66" s="61" t="n"/>
    </row>
    <row r="67" ht="15" customHeight="1" s="99">
      <c r="B67" s="65" t="inlineStr">
        <is>
          <t>Changing WBS Numbering</t>
        </is>
      </c>
    </row>
    <row r="68" ht="15" customHeight="1" s="99">
      <c r="B68" s="61" t="inlineStr">
        <is>
          <t>The WBS numbering uses a different formula for each level, but the formula does not reference</t>
        </is>
      </c>
    </row>
    <row r="69" ht="15" customHeight="1" s="99">
      <c r="B69" s="61" t="inlineStr">
        <is>
          <t>any other cell in the row. So, you can copy and paste just the WBS cell that you want to use.</t>
        </is>
      </c>
    </row>
    <row r="70" ht="15" customHeight="1" s="99">
      <c r="B70" s="61" t="inlineStr">
        <is>
          <t>Note: If you leave a blank cell above a WBS number, the numbering will reset to 0.x.x</t>
        </is>
      </c>
    </row>
    <row r="71" ht="15" customHeight="1" s="99">
      <c r="B71" s="61" t="n"/>
    </row>
    <row r="72" ht="15" customHeight="1" s="99">
      <c r="B72" s="65" t="inlineStr">
        <is>
          <t>Category Tasks and Tasks Defined by Sub-Tasks</t>
        </is>
      </c>
    </row>
    <row r="73" ht="15" customHeight="1" s="99">
      <c r="B73" s="61" t="inlineStr">
        <is>
          <t>You can use tasks that are just labels, but it can also be useful for the category task to display</t>
        </is>
      </c>
    </row>
    <row r="74" ht="15" customHeight="1" s="99">
      <c r="B74" s="61" t="inlineStr">
        <is>
          <t>the minimum Start date and maximum End date of its sub tasks. To do this, use the formulas:</t>
        </is>
      </c>
    </row>
    <row r="75" ht="15" customHeight="1" s="99">
      <c r="B75" s="61" t="inlineStr">
        <is>
          <t xml:space="preserve"> =MIN(startdates_of_subtasks) and =MAX(enddates_of_subtasks)</t>
        </is>
      </c>
    </row>
    <row r="76" ht="15" customHeight="1" s="99">
      <c r="B76" s="61" t="inlineStr">
        <is>
          <t>The % Complete for the summary task can be calculated using the following formula:</t>
        </is>
      </c>
    </row>
    <row r="77" ht="15" customHeight="1" s="99">
      <c r="B77" s="106" t="inlineStr">
        <is>
          <t xml:space="preserve"> =SUMPRODUCT( workdays_range, percentcomplete_range) / SUM(workdays_range)</t>
        </is>
      </c>
    </row>
    <row r="78" ht="15" customHeight="1" s="99">
      <c r="B78" s="61" t="inlineStr">
        <is>
          <t>where workdays_range references the range of cells for the sub taks in the Work Days column,</t>
        </is>
      </c>
    </row>
    <row r="79" ht="15" customHeight="1" s="99">
      <c r="B79" s="61" t="inlineStr">
        <is>
          <t>and percentcomplete_range references the range of cells in the % Done column.</t>
        </is>
      </c>
    </row>
    <row r="80" ht="15" customHeight="1" s="99">
      <c r="B80" s="61" t="inlineStr">
        <is>
          <t>The "Task Summary" template rows provide examples of these formulas.</t>
        </is>
      </c>
    </row>
    <row r="81" ht="15" customHeight="1" s="99">
      <c r="B81" s="61" t="n"/>
    </row>
    <row r="82" ht="15" customHeight="1" s="99">
      <c r="B82" s="65" t="inlineStr">
        <is>
          <t>Changing the set of inputs for a task that is already defined</t>
        </is>
      </c>
    </row>
    <row r="83" ht="15" customHeight="1" s="99">
      <c r="B83" s="61" t="inlineStr">
        <is>
          <t>If you already have a row with the WBS and task description entered, and you just want to</t>
        </is>
      </c>
    </row>
    <row r="84" ht="15" customHeight="1" s="99">
      <c r="B84" s="61" t="inlineStr">
        <is>
          <t>change which set of inputs to use (e.g. Start/End instead of Start/Workdays), you do not</t>
        </is>
      </c>
    </row>
    <row r="85" ht="15" customHeight="1" s="99">
      <c r="B85" s="61" t="inlineStr">
        <is>
          <t>necessarily need to copy/paste an entire template row over the top of your existing task.</t>
        </is>
      </c>
    </row>
    <row r="86" ht="15" customHeight="1" s="99">
      <c r="B86" s="61" t="inlineStr">
        <is>
          <t>Instead, you can copy/paste just the cells in columns D through N from the appropriate</t>
        </is>
      </c>
    </row>
    <row r="87" ht="15" customHeight="1" s="99">
      <c r="B87" s="61" t="inlineStr">
        <is>
          <t>template row.</t>
        </is>
      </c>
    </row>
    <row r="88" ht="15" customHeight="1" s="99">
      <c r="B88" s="61" t="n"/>
    </row>
    <row r="89" ht="18" customHeight="1" s="99">
      <c r="A89" s="52" t="inlineStr">
        <is>
          <t>Creating Task Dependencies</t>
        </is>
      </c>
    </row>
    <row r="90" ht="15" customHeight="1" s="99">
      <c r="B90" s="65" t="inlineStr">
        <is>
          <t>Using Your Own Custom Formulas</t>
        </is>
      </c>
    </row>
    <row r="91" ht="15" customHeight="1" s="99">
      <c r="B91" s="61" t="inlineStr">
        <is>
          <t>You can enter the Start date manually, or define your own dependecies using a formula.</t>
        </is>
      </c>
    </row>
    <row r="92" ht="15" customHeight="1" s="99">
      <c r="B92" s="61" t="inlineStr">
        <is>
          <t>You should use a Template Row where the Start date is highlighted green (to indicate that it</t>
        </is>
      </c>
    </row>
    <row r="93" ht="15" customHeight="1" s="99">
      <c r="B93" s="61" t="inlineStr">
        <is>
          <t>is an input), as in rows 12 and 13 shown below.</t>
        </is>
      </c>
    </row>
    <row r="94" ht="15" customHeight="1" s="99">
      <c r="B94" s="61" t="n"/>
    </row>
    <row r="95" ht="15" customHeight="1" s="99">
      <c r="B95" s="61" t="n"/>
    </row>
    <row r="96" ht="15" customHeight="1" s="99">
      <c r="B96" s="61" t="n"/>
    </row>
    <row r="97" ht="15" customHeight="1" s="99">
      <c r="B97" s="61" t="n"/>
    </row>
    <row r="98" ht="15" customHeight="1" s="99">
      <c r="B98" s="61" t="n"/>
    </row>
    <row r="99" ht="15" customHeight="1" s="99">
      <c r="B99" s="61" t="inlineStr">
        <is>
          <t>Below are the most common options for entering the Start date:</t>
        </is>
      </c>
    </row>
    <row r="100" ht="15" customHeight="1" s="99">
      <c r="A100" s="56" t="n"/>
      <c r="B100" s="106" t="inlineStr">
        <is>
          <t>A. Enter the date manually (e.g. 1/3/2011)</t>
        </is>
      </c>
    </row>
    <row r="101" ht="15" customHeight="1" s="99">
      <c r="B101" s="106" t="inlineStr">
        <is>
          <t>B. Reference the Project Start Date (e.g. =$G$7 )</t>
        </is>
      </c>
    </row>
    <row r="102" ht="15" customHeight="1" s="99">
      <c r="B102" s="106" t="inlineStr">
        <is>
          <t>C. Set the Start date to the next Work Day after another task's End date</t>
        </is>
      </c>
    </row>
    <row r="103" ht="15" customHeight="1" s="99">
      <c r="B103" s="59" t="inlineStr">
        <is>
          <t>This is the example shown in the screenshot above: =WORKDAY(enddate,1,holidays)</t>
        </is>
      </c>
    </row>
    <row r="104" ht="15" customHeight="1" s="99">
      <c r="B104" s="101" t="inlineStr">
        <is>
          <t>where enddate is the reference to the End date of task 1.1 and "holidays" is a named range</t>
        </is>
      </c>
    </row>
    <row r="105" ht="15" customHeight="1" s="99">
      <c r="B105" s="59" t="inlineStr">
        <is>
          <t>that refers to the list in the Holidays worksheet.</t>
        </is>
      </c>
    </row>
    <row r="106" ht="15" customHeight="1" s="99">
      <c r="B106" s="59" t="inlineStr">
        <is>
          <t>For multiple predecessors, the formula would be:</t>
        </is>
      </c>
    </row>
    <row r="107" ht="15" customHeight="1" s="99">
      <c r="B107" s="66" t="inlineStr">
        <is>
          <t>=MAX( WORKDAY(enddate1,1,holidays), WORKDAY(enddate2,1,holidays) )</t>
        </is>
      </c>
    </row>
    <row r="108" ht="15" customHeight="1" s="99">
      <c r="B108" s="106" t="inlineStr">
        <is>
          <t>D. Set the Start date to the next Calendar Day after another task's End date.</t>
        </is>
      </c>
    </row>
    <row r="109" ht="15" customHeight="1" s="99">
      <c r="B109" s="59" t="inlineStr">
        <is>
          <t>This formula is even simpler: =enddate+1</t>
        </is>
      </c>
    </row>
    <row r="110" ht="15" customHeight="1" s="99">
      <c r="B110" s="59" t="inlineStr">
        <is>
          <t>For multiple predecessors, the formula would be:</t>
        </is>
      </c>
    </row>
    <row r="111" ht="15" customHeight="1" s="99">
      <c r="B111" s="66" t="inlineStr">
        <is>
          <t>=MAX( enddate1, enddate2, enddate3 ) + 1</t>
        </is>
      </c>
    </row>
    <row r="112" ht="15" customHeight="1" s="99">
      <c r="B112" s="106" t="inlineStr">
        <is>
          <t>E. Set the Start date to a number of days before or after another date.</t>
        </is>
      </c>
    </row>
    <row r="113" ht="15" customHeight="1" s="99">
      <c r="B113" s="50" t="inlineStr">
        <is>
          <t>This formula is just like the one in C or D, except that in place of the "1" you enter the</t>
        </is>
      </c>
    </row>
    <row r="114" ht="15" customHeight="1" s="99">
      <c r="B114" s="50" t="inlineStr">
        <is>
          <t>number of days, such as =WORKDAY(enddate, 5, holidays) or =WORKDAY(startdate, -5, holidays)</t>
        </is>
      </c>
    </row>
    <row r="115" ht="15" customHeight="1" s="99">
      <c r="B115" s="66" t="n"/>
    </row>
    <row r="116" ht="15" customHeight="1" s="99">
      <c r="B116" s="65" t="inlineStr">
        <is>
          <t>Using the Predecessor Columns</t>
        </is>
      </c>
    </row>
    <row r="117" ht="15" customHeight="1" s="99">
      <c r="B117" s="61" t="inlineStr">
        <is>
          <t xml:space="preserve"> - The predecessor columns and the template rows that use them, are hidden by default.</t>
        </is>
      </c>
    </row>
    <row r="118" ht="15" customHeight="1" s="99">
      <c r="B118" s="59" t="inlineStr">
        <is>
          <t>They use a special formula for the task Start date that allows you to make the start date</t>
        </is>
      </c>
    </row>
    <row r="119" ht="15" customHeight="1" s="99">
      <c r="B119" s="59" t="inlineStr">
        <is>
          <t>depend on the End date of another task by just referencing the WBS of that task.</t>
        </is>
      </c>
    </row>
    <row r="120" ht="15" customHeight="1" s="99">
      <c r="B120" s="106" t="inlineStr">
        <is>
          <t>1. Reference a Predecessor using a formula.</t>
        </is>
      </c>
    </row>
    <row r="121" ht="15" customHeight="1" s="99">
      <c r="B121" s="59" t="inlineStr">
        <is>
          <t>The screenshot below shows how to use a formula to set task 1.3.1 as a Predecessor for</t>
        </is>
      </c>
    </row>
    <row r="122" ht="15" customHeight="1" s="99">
      <c r="B122" s="59" t="inlineStr">
        <is>
          <t>task 1.4. Press "=" then click on the cell containing the WBS you want to reference. This</t>
        </is>
      </c>
    </row>
    <row r="123" ht="15" customHeight="1" s="99">
      <c r="B123" s="59" t="inlineStr">
        <is>
          <t>method is preferred because if you move rows around, the reference will adjust.</t>
        </is>
      </c>
    </row>
    <row r="124" ht="15" customHeight="1" s="99">
      <c r="B124" s="59" t="n"/>
    </row>
    <row r="125" ht="15" customHeight="1" s="99">
      <c r="B125" s="59" t="n"/>
    </row>
    <row r="126" ht="15" customHeight="1" s="99">
      <c r="B126" s="59" t="n"/>
    </row>
    <row r="127" ht="15" customHeight="1" s="99">
      <c r="B127" s="59" t="n"/>
    </row>
    <row r="128" ht="15" customHeight="1" s="99">
      <c r="B128" s="59" t="n"/>
    </row>
    <row r="129" ht="15" customHeight="1" s="99">
      <c r="B129" s="59" t="n"/>
    </row>
    <row r="130" ht="15" customHeight="1" s="99">
      <c r="B130" s="59" t="n"/>
    </row>
    <row r="131" ht="15" customHeight="1" s="99">
      <c r="B131" s="59" t="n"/>
    </row>
    <row r="133" ht="15" customHeight="1" s="99">
      <c r="B133" s="106" t="inlineStr">
        <is>
          <t>2. Enter the Predecessor manually as text.</t>
        </is>
      </c>
    </row>
    <row r="134" ht="15" customHeight="1" s="99">
      <c r="B134" s="59" t="inlineStr">
        <is>
          <t>You can enter the Predecessor manually, but you must make sure that you enter it as text,</t>
        </is>
      </c>
    </row>
    <row r="135" ht="15" customHeight="1" s="99">
      <c r="B135" s="59" t="inlineStr">
        <is>
          <t>or you will end up with a bunch of #NA errors. To enter 1.3 as text, just add an apostrophe</t>
        </is>
      </c>
    </row>
    <row r="136" ht="15" customHeight="1" s="99">
      <c r="B136" s="59" t="inlineStr">
        <is>
          <t>at the beginning like this: '1.3.</t>
        </is>
      </c>
    </row>
    <row r="137" ht="15" customHeight="1" s="99">
      <c r="B137" s="64" t="inlineStr">
        <is>
          <t>Note: This is not the best method, because if you insert a new task, you'll have to update</t>
        </is>
      </c>
    </row>
    <row r="138" ht="15" customHeight="1" s="99">
      <c r="B138" s="59" t="inlineStr">
        <is>
          <t>all of the Predecessors again, or at least verify that they are still correct.</t>
        </is>
      </c>
    </row>
    <row r="139" ht="15" customHeight="1" s="99">
      <c r="B139" s="61" t="n"/>
    </row>
    <row r="140" ht="18" customHeight="1" s="99">
      <c r="A140" s="52" t="inlineStr">
        <is>
          <t>Color-Coding the Bars of the Gantt Chart</t>
        </is>
      </c>
    </row>
    <row r="141" ht="15" customHeight="1" s="99">
      <c r="B141" s="61" t="inlineStr">
        <is>
          <t>The Color column is a new feature available only in this new Excel 2007+ version of Gantt Chart</t>
        </is>
      </c>
    </row>
    <row r="142" ht="15" customHeight="1" s="99">
      <c r="B142" s="61" t="inlineStr">
        <is>
          <t xml:space="preserve">Template Pro. This version has been configured to allow you to change the colors of the </t>
        </is>
      </c>
    </row>
    <row r="143" ht="15" customHeight="1" s="99">
      <c r="B143" s="61" t="inlineStr">
        <is>
          <t>bars in the chart area by entering a color code into the Color column. The codes include:</t>
        </is>
      </c>
    </row>
    <row r="144" ht="15" customHeight="1" s="99">
      <c r="B144" s="61" t="inlineStr">
        <is>
          <t>k (black), r (red), o (orange), y (yellow), p (purple), g (green), 1 - 6 (theme-based accent colors)</t>
        </is>
      </c>
    </row>
    <row r="145" ht="15" customHeight="1" s="99">
      <c r="B145" s="61" t="n"/>
    </row>
    <row r="146" ht="15" customHeight="1" s="99">
      <c r="B146" s="65" t="inlineStr">
        <is>
          <t>How it Works …</t>
        </is>
      </c>
      <c r="D146" s="102" t="inlineStr">
        <is>
          <t>Names</t>
        </is>
      </c>
      <c r="E146" s="102" t="inlineStr">
        <is>
          <t>Color</t>
        </is>
      </c>
    </row>
    <row r="147" ht="15" customHeight="1" s="99">
      <c r="B147" s="61" t="inlineStr">
        <is>
          <t>The chart area uses conditional formatting based on the value of the cell in the chart area.</t>
        </is>
      </c>
      <c r="D147" s="245" t="inlineStr">
        <is>
          <t>Bob</t>
        </is>
      </c>
      <c r="E147" s="104" t="n">
        <v>1</v>
      </c>
    </row>
    <row r="148" ht="15" customHeight="1" s="99">
      <c r="B148" s="61" t="inlineStr">
        <is>
          <t>Formulas define "t" as the current date (red), "x" as the completed portion of a task (gray),</t>
        </is>
      </c>
      <c r="D148" s="245" t="inlineStr">
        <is>
          <t>Sarah</t>
        </is>
      </c>
      <c r="E148" s="104" t="n">
        <v>2</v>
      </c>
    </row>
    <row r="149" ht="15" customHeight="1" s="99">
      <c r="B149" s="61" t="inlineStr">
        <is>
          <t>and "o" as the incomplete portion of the task (blue). If a value is entered into the Color column,</t>
        </is>
      </c>
      <c r="D149" s="245" t="inlineStr">
        <is>
          <t>Bill</t>
        </is>
      </c>
      <c r="E149" s="104" t="n">
        <v>3</v>
      </c>
    </row>
    <row r="150" ht="15" customHeight="1" s="99">
      <c r="B150" s="61" t="inlineStr">
        <is>
          <t>that value will be used in place of "o".</t>
        </is>
      </c>
      <c r="D150" s="245" t="inlineStr">
        <is>
          <t>Jim</t>
        </is>
      </c>
      <c r="E150" s="104" t="n">
        <v>4</v>
      </c>
    </row>
    <row r="151" ht="15" customHeight="1" s="99">
      <c r="B151" s="61" t="n"/>
      <c r="D151" s="103" t="n"/>
      <c r="E151" s="104" t="n">
        <v>5</v>
      </c>
    </row>
    <row r="152" ht="15" customHeight="1" s="99">
      <c r="B152" s="65" t="inlineStr">
        <is>
          <t>Color-coding based on Task Lead</t>
        </is>
      </c>
      <c r="D152" s="103" t="n"/>
      <c r="E152" s="104" t="n">
        <v>6</v>
      </c>
    </row>
    <row r="153" ht="15" customHeight="1" s="99">
      <c r="B153" s="61" t="inlineStr">
        <is>
          <t xml:space="preserve">One popular reason for color-coding is to help identify ownership of a task. To do this, </t>
        </is>
      </c>
      <c r="D153" s="103" t="n"/>
      <c r="E153" s="246" t="inlineStr">
        <is>
          <t>p</t>
        </is>
      </c>
    </row>
    <row r="154" ht="15" customHeight="1" s="99">
      <c r="B154" s="61" t="inlineStr">
        <is>
          <t>you could create your own nested IF formula: =IF(ref="Bob","o",If(ref="Sally","p",""))</t>
        </is>
      </c>
      <c r="D154" s="103" t="n"/>
      <c r="E154" s="246" t="inlineStr">
        <is>
          <t>g</t>
        </is>
      </c>
    </row>
    <row r="155" ht="15" customHeight="1" s="99">
      <c r="B155" s="61" t="inlineStr">
        <is>
          <t>where "ref" is the reference to the cell in the Lead column. If you want to use the table listed</t>
        </is>
      </c>
      <c r="D155" s="103" t="n"/>
      <c r="E155" s="246" t="inlineStr">
        <is>
          <t>k</t>
        </is>
      </c>
    </row>
    <row r="156" ht="15" customHeight="1" s="99">
      <c r="B156" s="61" t="inlineStr">
        <is>
          <t>to the right of this help section, you can use the following formula in the Color column:</t>
        </is>
      </c>
      <c r="D156" s="103" t="n"/>
      <c r="E156" s="246" t="inlineStr">
        <is>
          <t>r</t>
        </is>
      </c>
    </row>
    <row r="157" ht="15" customHeight="1" s="99">
      <c r="B157" s="106" t="inlineStr">
        <is>
          <t xml:space="preserve"> =IFERROR( INDEX( lead_color, MATCH( ref, lead, 0) ), "")</t>
        </is>
      </c>
      <c r="D157" s="103" t="n"/>
      <c r="E157" s="246" t="inlineStr">
        <is>
          <t>o</t>
        </is>
      </c>
    </row>
    <row r="158" ht="15" customHeight="1" s="99">
      <c r="B158" s="61" t="n"/>
      <c r="D158" s="103" t="n"/>
      <c r="E158" s="246" t="inlineStr">
        <is>
          <t>y</t>
        </is>
      </c>
    </row>
    <row r="159" ht="15" customHeight="1" s="99">
      <c r="B159" s="65" t="inlineStr">
        <is>
          <t>Color-coding based on Urgency or Slippage</t>
        </is>
      </c>
    </row>
    <row r="160" ht="15" customHeight="1" s="99">
      <c r="B160" s="61" t="inlineStr">
        <is>
          <t>You can enter a formula in the Color column to display the incomplete portion as orange based</t>
        </is>
      </c>
      <c r="E160" s="56" t="inlineStr">
        <is>
          <t>Urgency (Days)</t>
        </is>
      </c>
    </row>
    <row r="161" ht="15" customHeight="1" s="99">
      <c r="B161" s="61" t="inlineStr">
        <is>
          <t>on a comparison of the End date and Today's date. For example, the formula below would give</t>
        </is>
      </c>
      <c r="D161" s="247" t="inlineStr">
        <is>
          <t>red</t>
        </is>
      </c>
      <c r="E161" s="104" t="n">
        <v>2</v>
      </c>
    </row>
    <row r="162" ht="15" customHeight="1" s="99">
      <c r="B162" s="61" t="inlineStr">
        <is>
          <t>you a 10 day warning:  =IF(end_date &lt; TODAY() + 10, "o" , "")</t>
        </is>
      </c>
      <c r="D162" s="247" t="inlineStr">
        <is>
          <t>orange</t>
        </is>
      </c>
      <c r="E162" s="104" t="n">
        <v>14</v>
      </c>
    </row>
    <row r="163" ht="15" customHeight="1" s="99">
      <c r="B163" s="61" t="inlineStr">
        <is>
          <t>The example below makes the 10-day warning orange and a 2-day warning red.</t>
        </is>
      </c>
      <c r="D163" s="247" t="inlineStr">
        <is>
          <t>yellow</t>
        </is>
      </c>
      <c r="E163" s="104" t="n">
        <v>28</v>
      </c>
    </row>
    <row r="164" ht="15" customHeight="1" s="99">
      <c r="B164" s="106" t="inlineStr">
        <is>
          <t xml:space="preserve">  = IF(end_date &lt; TODAY() + 2,"r",IF(end_date &lt; TODAY() + 10,"o",""))</t>
        </is>
      </c>
    </row>
    <row r="165" ht="15" customHeight="1" s="99">
      <c r="B165" s="61" t="inlineStr">
        <is>
          <t>Below the Template Rows section in the GanttChart worksheet, you'll find a few color-coding</t>
        </is>
      </c>
    </row>
    <row r="166" ht="15" customHeight="1" s="99">
      <c r="B166" s="61" t="inlineStr">
        <is>
          <t>formulas that you can copy and paste that use the two tables to the right of this help section.</t>
        </is>
      </c>
    </row>
    <row r="167" ht="15" customHeight="1" s="99">
      <c r="B167" s="59" t="n"/>
    </row>
    <row r="168" ht="18" customHeight="1" s="99">
      <c r="A168" s="52" t="inlineStr">
        <is>
          <t>Frequently Asked Questions</t>
        </is>
      </c>
      <c r="B168" s="45" t="n"/>
    </row>
    <row r="169" ht="15" customHeight="1" s="99">
      <c r="B169" s="50" t="n"/>
    </row>
    <row r="170" ht="15" customHeight="1" s="99">
      <c r="A170" s="56" t="inlineStr">
        <is>
          <t>Q:</t>
        </is>
      </c>
      <c r="B170" s="106" t="inlineStr">
        <is>
          <t>How do I display or "unhide" hidden rows or columns?</t>
        </is>
      </c>
    </row>
    <row r="171" ht="15" customHeight="1" s="99">
      <c r="B171" s="50" t="inlineStr">
        <is>
          <t>To display a hidden row, select the row above and below the rows you want to display.</t>
        </is>
      </c>
    </row>
    <row r="172" ht="15" customHeight="1" s="99">
      <c r="B172" s="50" t="inlineStr">
        <is>
          <t>Right-click on one of the selected row numbers and then choose Unhide.</t>
        </is>
      </c>
    </row>
    <row r="173" ht="15" customHeight="1" s="99">
      <c r="B173" s="50" t="inlineStr">
        <is>
          <t>Tip: to quickly select the column of the currently selected cell, press Ctrl+Spacebar</t>
        </is>
      </c>
    </row>
    <row r="175" ht="15" customHeight="1" s="99">
      <c r="A175" s="56" t="inlineStr">
        <is>
          <t>Q:</t>
        </is>
      </c>
      <c r="B175" s="106" t="inlineStr">
        <is>
          <t>My project spans 2 years. How do I print the entire chart without scrolling?</t>
        </is>
      </c>
    </row>
    <row r="176" ht="15" customHeight="1" s="99">
      <c r="B176" s="50" t="inlineStr">
        <is>
          <t>Sorry, but you can't do that without first adding columns to the display range of the</t>
        </is>
      </c>
    </row>
    <row r="177" ht="15" customHeight="1" s="99">
      <c r="B177" s="50" t="inlineStr">
        <is>
          <t>Gantt chart. There is a video on the support page showing how to do this.</t>
        </is>
      </c>
    </row>
    <row r="178" s="99">
      <c r="B178" s="107" t="inlineStr">
        <is>
          <t>View the Video</t>
        </is>
      </c>
    </row>
    <row r="179" ht="15" customHeight="1" s="99">
      <c r="B179" s="50" t="n"/>
    </row>
    <row r="180" ht="15" customHeight="1" s="99">
      <c r="A180" s="56" t="inlineStr">
        <is>
          <t>Q:</t>
        </is>
      </c>
      <c r="B180" s="106" t="inlineStr">
        <is>
          <t>How do I use Grouping?</t>
        </is>
      </c>
    </row>
    <row r="181" ht="15" customHeight="1" s="99">
      <c r="B181" s="50" t="inlineStr">
        <is>
          <t>You can expand or collapse a group of rows using Excel's "Group and Outline" feature.</t>
        </is>
      </c>
    </row>
    <row r="182" ht="15" customHeight="1" s="99">
      <c r="B182" s="50" t="inlineStr">
        <is>
          <t>To define a group of rows, select the rows and go to Data &gt; Group</t>
        </is>
      </c>
    </row>
    <row r="184" ht="15" customHeight="1" s="99">
      <c r="A184" s="56" t="inlineStr">
        <is>
          <t>Q:</t>
        </is>
      </c>
      <c r="B184" s="106" t="inlineStr">
        <is>
          <t>How do I change the Print Settings?</t>
        </is>
      </c>
    </row>
    <row r="185" ht="15" customHeight="1" s="99">
      <c r="B185" s="50" t="inlineStr">
        <is>
          <t>Select the entire range of cells you want to print and go to Page Layout &gt; Print Area &gt; Set Print Area</t>
        </is>
      </c>
    </row>
    <row r="186" ht="15" customHeight="1" s="99">
      <c r="B186" s="50" t="inlineStr">
        <is>
          <t>Open the Page Setup dialog box to adjust the Scaling, such as fitting to 1 page wide.</t>
        </is>
      </c>
    </row>
    <row r="188" ht="15" customHeight="1" s="99">
      <c r="A188" s="56" t="inlineStr">
        <is>
          <t>Q:</t>
        </is>
      </c>
      <c r="B188" s="61" t="inlineStr">
        <is>
          <t>The Start date, End date, or %Complete for the Level 1 task is wrong. How do I fix it?</t>
        </is>
      </c>
    </row>
    <row r="189" ht="15" customHeight="1" s="99">
      <c r="B189" s="50" t="inlineStr">
        <is>
          <t>By default, the Level 1 tasks are set up to show the completion status for all sub tasks</t>
        </is>
      </c>
    </row>
    <row r="190" ht="15" customHeight="1" s="99">
      <c r="B190" s="50" t="inlineStr">
        <is>
          <t xml:space="preserve">combined. Inserting and re-ordering rows may often mess up these formulas. You may </t>
        </is>
      </c>
    </row>
    <row r="191" ht="15" customHeight="1" s="99">
      <c r="B191" s="50" t="inlineStr">
        <is>
          <t>need to edit the formula to make sure that the correct cells are referenced.</t>
        </is>
      </c>
    </row>
    <row r="192" ht="15" customHeight="1" s="99">
      <c r="B192" s="67" t="n"/>
    </row>
    <row r="204" hidden="1" ht="15" customHeight="1" s="99">
      <c r="A204" s="56" t="inlineStr">
        <is>
          <t>Q:</t>
        </is>
      </c>
      <c r="B204" s="61" t="inlineStr">
        <is>
          <t>How can I display week numbers (e.g. 2011-W05-3) for the labels in the chart area?</t>
        </is>
      </c>
    </row>
    <row r="205" hidden="1" ht="15" customHeight="1" s="99">
      <c r="B205" s="50" t="inlineStr">
        <is>
          <t>For U.S. week numbering, you can place the following formula in cell P10 and then</t>
        </is>
      </c>
    </row>
    <row r="206" hidden="1" ht="15" customHeight="1" s="99">
      <c r="B206" s="50" t="inlineStr">
        <is>
          <t>copy that cell to the right.</t>
        </is>
      </c>
    </row>
    <row r="207" hidden="1" s="99">
      <c r="B207" s="248" t="inlineStr">
        <is>
          <t>=YEAR(P9)&amp;" - "&amp;"W"&amp;TEXT(WEEKNUM(P9,1),"00")&amp;" - "&amp;WEEKDAY(P9,1)</t>
        </is>
      </c>
    </row>
    <row r="208" hidden="1" ht="15" customHeight="1" s="99">
      <c r="B208" s="50" t="inlineStr">
        <is>
          <t>For ISO week numbering, the formula would be:</t>
        </is>
      </c>
    </row>
    <row r="209" hidden="1" s="99">
      <c r="B209" s="248" t="inlineStr">
        <is>
          <t>=YEAR(P9)&amp;" - "&amp;"W"&amp;TEXT(1+INT((P9-DATE(YEAR(P9+4-WEEKDAY(P9+6)),1,5)+WEEKDAY(DATE(YEAR(P9+4-WEEKDAY(P9+6)),1,3)))/7),"00")&amp;" - "&amp;WEEKDAY(P9,2)</t>
        </is>
      </c>
    </row>
    <row r="210" hidden="1" s="99">
      <c r="B210" s="107" t="inlineStr">
        <is>
          <t>See this article on week numbering in Excel</t>
        </is>
      </c>
    </row>
    <row r="211" hidden="1" s="99"/>
    <row r="212" ht="15" customHeight="1" s="99">
      <c r="A212" s="56" t="inlineStr">
        <is>
          <t>Q:</t>
        </is>
      </c>
      <c r="B212" s="106" t="inlineStr">
        <is>
          <t>Can I add more color codes?</t>
        </is>
      </c>
    </row>
    <row r="213" ht="15" customHeight="1" s="99">
      <c r="B213" s="50" t="inlineStr">
        <is>
          <t>Yes, but you'll need to create your own set of conditional formats. If you've been rearranging</t>
        </is>
      </c>
    </row>
    <row r="214" ht="15" customHeight="1" s="99">
      <c r="B214" s="50" t="inlineStr">
        <is>
          <t>rows a lot, the set of conditional formats can get pretty messed up, so look at a fresh</t>
        </is>
      </c>
    </row>
    <row r="215" ht="15" customHeight="1" s="99">
      <c r="B215" s="50" t="inlineStr">
        <is>
          <t>copy of this template to see how the conditional formats are set up. Go to Conditional Formatting</t>
        </is>
      </c>
    </row>
    <row r="216" ht="15" customHeight="1" s="99">
      <c r="B216" s="50" t="inlineStr">
        <is>
          <t>and select Manage Rules and choose This Worksheet from the drop-down.</t>
        </is>
      </c>
    </row>
    <row r="218" ht="15" customHeight="1" s="99">
      <c r="A218" s="56" t="inlineStr">
        <is>
          <t>Q:</t>
        </is>
      </c>
      <c r="B218" s="106" t="inlineStr">
        <is>
          <t>How do I calculate the % Complete for a level 1 task that contains other summary tasks?</t>
        </is>
      </c>
    </row>
    <row r="219" ht="15" customHeight="1" s="99">
      <c r="B219" s="50" t="inlineStr">
        <is>
          <t>If WBS 1.2 is calculating the % Complete for its own set of sub tasks, 1.2.1, 1.2.2, 1.2.3, etc.</t>
        </is>
      </c>
    </row>
    <row r="220" ht="15" customHeight="1" s="99">
      <c r="B220" s="50" t="inlineStr">
        <is>
          <t>then when calculating the overall % Complete for the top-level 1 task, you would need to exclude</t>
        </is>
      </c>
    </row>
    <row r="221" ht="15" customHeight="1" s="99">
      <c r="B221" s="50" t="inlineStr">
        <is>
          <t>task 1.2's sub tasks, or risk double-counting them. The % Complete formula for the level 1 task</t>
        </is>
      </c>
    </row>
    <row r="222" ht="15" customHeight="1" s="99">
      <c r="B222" s="50" t="inlineStr">
        <is>
          <t>would get complicated, so the easiest thing is to avoid calculating the % Complete for task 1.2.</t>
        </is>
      </c>
    </row>
    <row r="223" ht="15" customHeight="1" s="99">
      <c r="B223" s="50" t="inlineStr">
        <is>
          <t xml:space="preserve">For task 1.2, you can still use MIN() and MAX() for the start and end dates, but delete the </t>
        </is>
      </c>
    </row>
    <row r="224" ht="15" customHeight="1" s="99">
      <c r="B224" s="50" t="inlineStr">
        <is>
          <t>formula for the % Complete.</t>
        </is>
      </c>
    </row>
    <row r="225" ht="15" customHeight="1" s="99">
      <c r="B225" s="50" t="n"/>
    </row>
    <row r="226" ht="15" customHeight="1" s="99">
      <c r="B226" s="50" t="inlineStr">
        <is>
          <t>The following is an example of a Level 1 task that calculates the % Complete for a non-contiguous</t>
        </is>
      </c>
    </row>
    <row r="227" ht="15" customHeight="1" s="99">
      <c r="B227" s="50" t="inlineStr">
        <is>
          <t>range of tasks:</t>
        </is>
      </c>
    </row>
    <row r="228" ht="15" customHeight="1" s="99">
      <c r="B228" s="110" t="inlineStr">
        <is>
          <t xml:space="preserve"> = ( SUMPRODUCT(days1, pdone1) + SUMPRODUCT(days2, pdone2) ) / SUM(days1, days2)</t>
        </is>
      </c>
    </row>
    <row r="229" ht="15" customHeight="1" s="99">
      <c r="B229" s="50" t="inlineStr">
        <is>
          <t>where days1, days2, pdone1 and pdone2 are references to ranges of cells in the Work Days</t>
        </is>
      </c>
    </row>
    <row r="230" ht="15" customHeight="1" s="99">
      <c r="B230" s="50" t="inlineStr">
        <is>
          <t>and % Done columns.</t>
        </is>
      </c>
    </row>
  </sheetData>
  <hyperlinks>
    <hyperlink xmlns:r="http://schemas.openxmlformats.org/officeDocument/2006/relationships" ref="C3" r:id="rId1"/>
    <hyperlink xmlns:r="http://schemas.openxmlformats.org/officeDocument/2006/relationships" ref="B19" r:id="rId2"/>
    <hyperlink xmlns:r="http://schemas.openxmlformats.org/officeDocument/2006/relationships" ref="B178" r:id="rId3"/>
    <hyperlink xmlns:r="http://schemas.openxmlformats.org/officeDocument/2006/relationships" ref="B210" display="See this article for the formulas for week numbering in Excel" r:id="rId4"/>
  </hyperlinks>
  <pageMargins left="0.25" right="0.25" top="0.25" bottom="0.25" header="0.5" footer="0.5"/>
  <pageSetup orientation="portrait" scale="96" fitToHeight="0"/>
  <drawing xmlns:r="http://schemas.openxmlformats.org/officeDocument/2006/relationships" r:id="rId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37"/>
  <sheetViews>
    <sheetView showGridLines="0" workbookViewId="0">
      <selection activeCell="A2" sqref="A2"/>
    </sheetView>
  </sheetViews>
  <sheetFormatPr baseColWidth="8" defaultRowHeight="12.75"/>
  <cols>
    <col width="95.7109375" customWidth="1" style="99" min="1" max="1"/>
    <col width="9.140625" customWidth="1" style="99" min="2" max="256"/>
    <col width="95.7109375" customWidth="1" style="99" min="257" max="257"/>
    <col width="9.140625" customWidth="1" style="99" min="258" max="512"/>
    <col width="95.7109375" customWidth="1" style="99" min="513" max="513"/>
    <col width="9.140625" customWidth="1" style="99" min="514" max="768"/>
    <col width="95.7109375" customWidth="1" style="99" min="769" max="769"/>
    <col width="9.140625" customWidth="1" style="99" min="770" max="1024"/>
    <col width="95.7109375" customWidth="1" style="99" min="1025" max="1025"/>
    <col width="9.140625" customWidth="1" style="99" min="1026" max="1280"/>
    <col width="95.7109375" customWidth="1" style="99" min="1281" max="1281"/>
    <col width="9.140625" customWidth="1" style="99" min="1282" max="1536"/>
    <col width="95.7109375" customWidth="1" style="99" min="1537" max="1537"/>
    <col width="9.140625" customWidth="1" style="99" min="1538" max="1792"/>
    <col width="95.7109375" customWidth="1" style="99" min="1793" max="1793"/>
    <col width="9.140625" customWidth="1" style="99" min="1794" max="2048"/>
    <col width="95.7109375" customWidth="1" style="99" min="2049" max="2049"/>
    <col width="9.140625" customWidth="1" style="99" min="2050" max="2304"/>
    <col width="95.7109375" customWidth="1" style="99" min="2305" max="2305"/>
    <col width="9.140625" customWidth="1" style="99" min="2306" max="2560"/>
    <col width="95.7109375" customWidth="1" style="99" min="2561" max="2561"/>
    <col width="9.140625" customWidth="1" style="99" min="2562" max="2816"/>
    <col width="95.7109375" customWidth="1" style="99" min="2817" max="2817"/>
    <col width="9.140625" customWidth="1" style="99" min="2818" max="3072"/>
    <col width="95.7109375" customWidth="1" style="99" min="3073" max="3073"/>
    <col width="9.140625" customWidth="1" style="99" min="3074" max="3328"/>
    <col width="95.7109375" customWidth="1" style="99" min="3329" max="3329"/>
    <col width="9.140625" customWidth="1" style="99" min="3330" max="3584"/>
    <col width="95.7109375" customWidth="1" style="99" min="3585" max="3585"/>
    <col width="9.140625" customWidth="1" style="99" min="3586" max="3840"/>
    <col width="95.7109375" customWidth="1" style="99" min="3841" max="3841"/>
    <col width="9.140625" customWidth="1" style="99" min="3842" max="4096"/>
    <col width="95.7109375" customWidth="1" style="99" min="4097" max="4097"/>
    <col width="9.140625" customWidth="1" style="99" min="4098" max="4352"/>
    <col width="95.7109375" customWidth="1" style="99" min="4353" max="4353"/>
    <col width="9.140625" customWidth="1" style="99" min="4354" max="4608"/>
    <col width="95.7109375" customWidth="1" style="99" min="4609" max="4609"/>
    <col width="9.140625" customWidth="1" style="99" min="4610" max="4864"/>
    <col width="95.7109375" customWidth="1" style="99" min="4865" max="4865"/>
    <col width="9.140625" customWidth="1" style="99" min="4866" max="5120"/>
    <col width="95.7109375" customWidth="1" style="99" min="5121" max="5121"/>
    <col width="9.140625" customWidth="1" style="99" min="5122" max="5376"/>
    <col width="95.7109375" customWidth="1" style="99" min="5377" max="5377"/>
    <col width="9.140625" customWidth="1" style="99" min="5378" max="5632"/>
    <col width="95.7109375" customWidth="1" style="99" min="5633" max="5633"/>
    <col width="9.140625" customWidth="1" style="99" min="5634" max="5888"/>
    <col width="95.7109375" customWidth="1" style="99" min="5889" max="5889"/>
    <col width="9.140625" customWidth="1" style="99" min="5890" max="6144"/>
    <col width="95.7109375" customWidth="1" style="99" min="6145" max="6145"/>
    <col width="9.140625" customWidth="1" style="99" min="6146" max="6400"/>
    <col width="95.7109375" customWidth="1" style="99" min="6401" max="6401"/>
    <col width="9.140625" customWidth="1" style="99" min="6402" max="6656"/>
    <col width="95.7109375" customWidth="1" style="99" min="6657" max="6657"/>
    <col width="9.140625" customWidth="1" style="99" min="6658" max="6912"/>
    <col width="95.7109375" customWidth="1" style="99" min="6913" max="6913"/>
    <col width="9.140625" customWidth="1" style="99" min="6914" max="7168"/>
    <col width="95.7109375" customWidth="1" style="99" min="7169" max="7169"/>
    <col width="9.140625" customWidth="1" style="99" min="7170" max="7424"/>
    <col width="95.7109375" customWidth="1" style="99" min="7425" max="7425"/>
    <col width="9.140625" customWidth="1" style="99" min="7426" max="7680"/>
    <col width="95.7109375" customWidth="1" style="99" min="7681" max="7681"/>
    <col width="9.140625" customWidth="1" style="99" min="7682" max="7936"/>
    <col width="95.7109375" customWidth="1" style="99" min="7937" max="7937"/>
    <col width="9.140625" customWidth="1" style="99" min="7938" max="8192"/>
    <col width="95.7109375" customWidth="1" style="99" min="8193" max="8193"/>
    <col width="9.140625" customWidth="1" style="99" min="8194" max="8448"/>
    <col width="95.7109375" customWidth="1" style="99" min="8449" max="8449"/>
    <col width="9.140625" customWidth="1" style="99" min="8450" max="8704"/>
    <col width="95.7109375" customWidth="1" style="99" min="8705" max="8705"/>
    <col width="9.140625" customWidth="1" style="99" min="8706" max="8960"/>
    <col width="95.7109375" customWidth="1" style="99" min="8961" max="8961"/>
    <col width="9.140625" customWidth="1" style="99" min="8962" max="9216"/>
    <col width="95.7109375" customWidth="1" style="99" min="9217" max="9217"/>
    <col width="9.140625" customWidth="1" style="99" min="9218" max="9472"/>
    <col width="95.7109375" customWidth="1" style="99" min="9473" max="9473"/>
    <col width="9.140625" customWidth="1" style="99" min="9474" max="9728"/>
    <col width="95.7109375" customWidth="1" style="99" min="9729" max="9729"/>
    <col width="9.140625" customWidth="1" style="99" min="9730" max="9984"/>
    <col width="95.7109375" customWidth="1" style="99" min="9985" max="9985"/>
    <col width="9.140625" customWidth="1" style="99" min="9986" max="10240"/>
    <col width="95.7109375" customWidth="1" style="99" min="10241" max="10241"/>
    <col width="9.140625" customWidth="1" style="99" min="10242" max="10496"/>
    <col width="95.7109375" customWidth="1" style="99" min="10497" max="10497"/>
    <col width="9.140625" customWidth="1" style="99" min="10498" max="10752"/>
    <col width="95.7109375" customWidth="1" style="99" min="10753" max="10753"/>
    <col width="9.140625" customWidth="1" style="99" min="10754" max="11008"/>
    <col width="95.7109375" customWidth="1" style="99" min="11009" max="11009"/>
    <col width="9.140625" customWidth="1" style="99" min="11010" max="11264"/>
    <col width="95.7109375" customWidth="1" style="99" min="11265" max="11265"/>
    <col width="9.140625" customWidth="1" style="99" min="11266" max="11520"/>
    <col width="95.7109375" customWidth="1" style="99" min="11521" max="11521"/>
    <col width="9.140625" customWidth="1" style="99" min="11522" max="11776"/>
    <col width="95.7109375" customWidth="1" style="99" min="11777" max="11777"/>
    <col width="9.140625" customWidth="1" style="99" min="11778" max="12032"/>
    <col width="95.7109375" customWidth="1" style="99" min="12033" max="12033"/>
    <col width="9.140625" customWidth="1" style="99" min="12034" max="12288"/>
    <col width="95.7109375" customWidth="1" style="99" min="12289" max="12289"/>
    <col width="9.140625" customWidth="1" style="99" min="12290" max="12544"/>
    <col width="95.7109375" customWidth="1" style="99" min="12545" max="12545"/>
    <col width="9.140625" customWidth="1" style="99" min="12546" max="12800"/>
    <col width="95.7109375" customWidth="1" style="99" min="12801" max="12801"/>
    <col width="9.140625" customWidth="1" style="99" min="12802" max="13056"/>
    <col width="95.7109375" customWidth="1" style="99" min="13057" max="13057"/>
    <col width="9.140625" customWidth="1" style="99" min="13058" max="13312"/>
    <col width="95.7109375" customWidth="1" style="99" min="13313" max="13313"/>
    <col width="9.140625" customWidth="1" style="99" min="13314" max="13568"/>
    <col width="95.7109375" customWidth="1" style="99" min="13569" max="13569"/>
    <col width="9.140625" customWidth="1" style="99" min="13570" max="13824"/>
    <col width="95.7109375" customWidth="1" style="99" min="13825" max="13825"/>
    <col width="9.140625" customWidth="1" style="99" min="13826" max="14080"/>
    <col width="95.7109375" customWidth="1" style="99" min="14081" max="14081"/>
    <col width="9.140625" customWidth="1" style="99" min="14082" max="14336"/>
    <col width="95.7109375" customWidth="1" style="99" min="14337" max="14337"/>
    <col width="9.140625" customWidth="1" style="99" min="14338" max="14592"/>
    <col width="95.7109375" customWidth="1" style="99" min="14593" max="14593"/>
    <col width="9.140625" customWidth="1" style="99" min="14594" max="14848"/>
    <col width="95.7109375" customWidth="1" style="99" min="14849" max="14849"/>
    <col width="9.140625" customWidth="1" style="99" min="14850" max="15104"/>
    <col width="95.7109375" customWidth="1" style="99" min="15105" max="15105"/>
    <col width="9.140625" customWidth="1" style="99" min="15106" max="15360"/>
    <col width="95.7109375" customWidth="1" style="99" min="15361" max="15361"/>
    <col width="9.140625" customWidth="1" style="99" min="15362" max="15616"/>
    <col width="95.7109375" customWidth="1" style="99" min="15617" max="15617"/>
    <col width="9.140625" customWidth="1" style="99" min="15618" max="15872"/>
    <col width="95.7109375" customWidth="1" style="99" min="15873" max="15873"/>
    <col width="9.140625" customWidth="1" style="99" min="15874" max="16128"/>
    <col width="95.7109375" customWidth="1" style="99" min="16129" max="16129"/>
    <col width="9.140625" customWidth="1" style="99" min="16130" max="16384"/>
  </cols>
  <sheetData>
    <row r="1" ht="30" customFormat="1" customHeight="1" s="90">
      <c r="A1" s="89" t="inlineStr">
        <is>
          <t>Terms of Use</t>
        </is>
      </c>
    </row>
    <row r="2" ht="15" customFormat="1" customHeight="1" s="92">
      <c r="A2" s="91" t="n"/>
    </row>
    <row r="3" ht="15" customFormat="1" customHeight="1" s="92">
      <c r="A3" s="91" t="inlineStr">
        <is>
          <t>© 2006-2014 Vertex42 LLC. All rights reserved.</t>
        </is>
      </c>
      <c r="B3" s="93" t="n"/>
    </row>
    <row r="4" ht="15" customFormat="1" customHeight="1" s="92">
      <c r="A4" s="91" t="n"/>
    </row>
    <row r="5" ht="45" customFormat="1" customHeight="1" s="92">
      <c r="A5" s="94" t="inlineStr">
        <is>
          <t>This template is considered a copyrighted work under the United States and other copyright laws and is the property of Vertex42 LLC. The items listed below are additional points to help clarify how you may use this template.</t>
        </is>
      </c>
    </row>
    <row r="6" ht="15" customFormat="1" customHeight="1" s="92">
      <c r="A6" s="94" t="n"/>
    </row>
    <row r="7" ht="15" customFormat="1" customHeight="1" s="92">
      <c r="A7" s="95" t="n"/>
    </row>
    <row r="8" ht="18" customFormat="1" customHeight="1" s="92">
      <c r="A8" s="96" t="inlineStr">
        <is>
          <t>Not for Resale or Public Sharing</t>
        </is>
      </c>
    </row>
    <row r="9" ht="15.75" customFormat="1" customHeight="1" s="92">
      <c r="A9" s="97" t="n"/>
    </row>
    <row r="10" ht="31.5" customFormat="1" customHeight="1" s="92">
      <c r="A10" s="98" t="inlineStr">
        <is>
          <t>You may make archival copies and customize this template only for your personal use or use within your company or organization and not for resale or public sharing.</t>
        </is>
      </c>
    </row>
    <row r="11" ht="15.75" customFormat="1" customHeight="1" s="92">
      <c r="A11" s="97" t="n"/>
    </row>
    <row r="12" ht="31.5" customFormat="1" customHeight="1" s="92">
      <c r="A12" s="98" t="inlineStr">
        <is>
          <t>You may not remove or alter any logo, trademark, copyright, disclaimer, brand, terms of use, attribution, or other proprietary notices or marks within this template.</t>
        </is>
      </c>
    </row>
    <row r="13" ht="15" customFormat="1" customHeight="1" s="92">
      <c r="A13" s="94" t="n"/>
    </row>
    <row r="14" ht="47.25" customFormat="1" customHeight="1" s="92">
      <c r="A14" s="98" t="inlineStr">
        <is>
          <t>This template and any customized or modified version of this template may NOT be sold, distributed, published to an online gallery, hosted on a website, or placed on a public server.</t>
        </is>
      </c>
    </row>
    <row r="15" ht="15" customFormat="1" customHeight="1" s="92">
      <c r="A15" s="91" t="n"/>
    </row>
    <row r="16" ht="15" customFormat="1" customHeight="1" s="92"/>
    <row r="17" ht="18" customFormat="1" customHeight="1" s="92">
      <c r="A17" s="96" t="inlineStr">
        <is>
          <t>Limited Private Sharing</t>
        </is>
      </c>
    </row>
    <row r="18" ht="15" customFormat="1" customHeight="1" s="92">
      <c r="A18" s="94" t="n"/>
    </row>
    <row r="19" ht="45.75" customFormat="1" customHeight="1" s="92">
      <c r="A19" s="94" t="inlineStr">
        <is>
          <t>Provided that you observe the above terms, you may share your edited version of this template *privately* with those specific people who **require** access to it within your immediate family, organization, team, or company.</t>
        </is>
      </c>
    </row>
    <row r="20" ht="15" customHeight="1" s="99">
      <c r="A20" s="94" t="n"/>
    </row>
    <row r="21" ht="45.75" customHeight="1" s="99">
      <c r="A21" s="94" t="inlineStr">
        <is>
          <t>* "Privately" means only accessible to those few people who you expressively give permission to view or edit your file. It is your responsibility to ensure that adequate security measures are used so that your file is not available to the public.</t>
        </is>
      </c>
    </row>
    <row r="22" ht="15" customHeight="1" s="99">
      <c r="A22" s="94" t="n"/>
    </row>
    <row r="23" ht="45" customHeight="1" s="99">
      <c r="A23" s="94" t="inlineStr">
        <is>
          <t>** Examples of acceptable private sharing with people who "require access" may include (a) sharing a budget spreadsheet with a spouse, (b) sharing a project schedule with your project team, or (c) sharing a timesheet with your employee or manager.</t>
        </is>
      </c>
    </row>
    <row r="24" ht="15" customHeight="1" s="99">
      <c r="A24" s="94" t="n"/>
    </row>
    <row r="25" ht="75.75" customHeight="1" s="99">
      <c r="A25" s="94" t="inlineStr">
        <is>
          <t>Note: If your project team includes an individual outside your organization or company who requires access to the template: Before you share the file you must obtain a written statement from the individual (via email for example) that they agree to only use the template in connection with your specific project and that if they wish to use the template for another purpose, they understand that they must purchase their own license.</t>
        </is>
      </c>
    </row>
    <row r="26" ht="15" customHeight="1" s="99">
      <c r="A26" s="94" t="n"/>
    </row>
    <row r="27" ht="30" customHeight="1" s="99">
      <c r="A27" s="94" t="inlineStr">
        <is>
          <t>See the following page on Vertex42.com for the complete license agreement and examples of other allowed uses:</t>
        </is>
      </c>
    </row>
    <row r="28" ht="15" customHeight="1" s="99">
      <c r="A28" s="100" t="inlineStr">
        <is>
          <t>http://www.vertex42.com/licensing/EULA_privateuse.html</t>
        </is>
      </c>
    </row>
    <row r="29" ht="15" customHeight="1" s="99">
      <c r="A29" s="94" t="n"/>
    </row>
    <row r="30" ht="15" customHeight="1" s="99">
      <c r="A30" s="94" t="n"/>
    </row>
    <row r="31" ht="18" customFormat="1" customHeight="1" s="92">
      <c r="A31" s="96" t="inlineStr">
        <is>
          <t>Disclaimer</t>
        </is>
      </c>
    </row>
    <row r="33" ht="30" customHeight="1" s="99">
      <c r="A33" s="94" t="inlineStr">
        <is>
          <t>This template is provided for informational or educational use only and is not intended to be relied on as medical, financial, legal, or other professional advice.</t>
        </is>
      </c>
    </row>
    <row r="35" ht="30" customHeight="1" s="99">
      <c r="A35" s="94" t="inlineStr">
        <is>
          <t>Vertex42 LLC makes no guarantee or representations about this template, or the accuracy or completeness of the content contained within this template.</t>
        </is>
      </c>
    </row>
    <row r="37" ht="30" customHeight="1" s="99">
      <c r="A37" s="94" t="inlineStr">
        <is>
          <t>Vertex42 LLC encourages you to seek the aid of a qualified professional before making decisions regarding health, financial, or legal issues.</t>
        </is>
      </c>
    </row>
  </sheetData>
  <hyperlinks>
    <hyperlink xmlns:r="http://schemas.openxmlformats.org/officeDocument/2006/relationships" ref="A28" r:id="rId1"/>
  </hyperlinks>
  <pageMargins left="0.75" right="0.75" top="1" bottom="1" header="0.5" footer="0.5"/>
  <pageSetup orientation="portrait"/>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Vertex42.com</dc:creator>
  <dc:title xmlns:dc="http://purl.org/dc/elements/1.1/">Gantt Chart Template Pro</dc:title>
  <dc:description xmlns:dc="http://purl.org/dc/elements/1.1/">(c) 2006-2014 Vertex42 LLC. All Rights Reserved.</dc:description>
  <dcterms:created xmlns:dcterms="http://purl.org/dc/terms/" xmlns:xsi="http://www.w3.org/2001/XMLSchema-instance" xsi:type="dcterms:W3CDTF">2010-06-09T16:05:03Z</dcterms:created>
  <dcterms:modified xmlns:dcterms="http://purl.org/dc/terms/" xmlns:xsi="http://www.w3.org/2001/XMLSchema-instance" xsi:type="dcterms:W3CDTF">2026-08-03T14:00:27Z</dcterms:modified>
  <cp:lastModifiedBy>stefan@sckcontractors.com</cp:lastModifiedBy>
</cp:coreProperties>
</file>

<file path=docProps/custom.xml><?xml version="1.0" encoding="utf-8"?>
<Properties xmlns="http://schemas.openxmlformats.org/officeDocument/2006/custom-properties">
  <property name="Copyright" fmtid="{D5CDD505-2E9C-101B-9397-08002B2CF9AE}" pid="2">
    <vt:lpwstr xmlns:vt="http://schemas.openxmlformats.org/officeDocument/2006/docPropsVTypes">2006-2014 Vertex42 LLC</vt:lpwstr>
  </property>
  <property name="Version" fmtid="{D5CDD505-2E9C-101B-9397-08002B2CF9AE}" pid="3">
    <vt:lpwstr xmlns:vt="http://schemas.openxmlformats.org/officeDocument/2006/docPropsVTypes">2.4.6 - BETA</vt:lpwstr>
  </property>
</Properties>
</file>